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 codeName="ThisWorkbook" defaultThemeVersion="124226"/>
  <xr:revisionPtr revIDLastSave="0" documentId="13_ncr:1_{3D84DE6A-6F1B-488B-A6D8-D063EB3DE009}" xr6:coauthVersionLast="47" xr6:coauthVersionMax="47" xr10:uidLastSave="{00000000-0000-0000-0000-000000000000}"/>
  <bookViews>
    <workbookView xWindow="-120" yWindow="-120" windowWidth="38640" windowHeight="21120" tabRatio="718" activeTab="2" xr2:uid="{00000000-000D-0000-FFFF-FFFF00000000}"/>
  </bookViews>
  <sheets>
    <sheet name="猫统计" sheetId="11" r:id="rId1"/>
    <sheet name="数量统计" sheetId="26" r:id="rId2"/>
    <sheet name="繁育统计" sheetId="12" r:id="rId3"/>
    <sheet name="账单" sheetId="1" r:id="rId4"/>
    <sheet name="卖猫" sheetId="2" r:id="rId5"/>
    <sheet name="2024-10" sheetId="70" r:id="rId6"/>
    <sheet name="2024-09" sheetId="69" r:id="rId7"/>
    <sheet name="2024-08" sheetId="68" r:id="rId8"/>
    <sheet name="2024-07" sheetId="67" r:id="rId9"/>
    <sheet name="2024-06" sheetId="66" r:id="rId10"/>
    <sheet name="2024-05" sheetId="65" r:id="rId11"/>
    <sheet name="2024-04" sheetId="64" r:id="rId12"/>
    <sheet name="2024-03" sheetId="63" r:id="rId13"/>
    <sheet name="2024-02" sheetId="62" r:id="rId14"/>
    <sheet name="2024-01" sheetId="61" r:id="rId15"/>
    <sheet name="2023-12" sheetId="60" r:id="rId16"/>
    <sheet name="2023-11" sheetId="59" r:id="rId17"/>
    <sheet name="2023-10" sheetId="58" r:id="rId18"/>
    <sheet name="2023-09" sheetId="57" r:id="rId19"/>
    <sheet name="2023-08" sheetId="56" r:id="rId20"/>
    <sheet name="2023-07" sheetId="55" r:id="rId21"/>
    <sheet name="2023-06" sheetId="54" r:id="rId22"/>
    <sheet name="2023-05" sheetId="53" r:id="rId23"/>
    <sheet name="2023-04" sheetId="52" r:id="rId24"/>
    <sheet name="2023-03" sheetId="51" r:id="rId25"/>
    <sheet name="2023-02" sheetId="50" r:id="rId26"/>
    <sheet name="2023-01" sheetId="49" r:id="rId27"/>
    <sheet name="2022-12" sheetId="47" r:id="rId28"/>
    <sheet name="2022-11" sheetId="46" r:id="rId29"/>
    <sheet name="2022-10" sheetId="45" r:id="rId30"/>
    <sheet name="2022-09" sheetId="44" r:id="rId31"/>
    <sheet name="2022-08" sheetId="43" r:id="rId32"/>
    <sheet name="2022-07" sheetId="42" r:id="rId33"/>
    <sheet name="2022-06" sheetId="35" r:id="rId34"/>
    <sheet name="2022-05" sheetId="33" r:id="rId35"/>
    <sheet name="2022-04" sheetId="32" r:id="rId36"/>
    <sheet name="2022-03" sheetId="31" r:id="rId37"/>
    <sheet name="2022-02" sheetId="30" r:id="rId38"/>
    <sheet name="2022-01" sheetId="28" r:id="rId39"/>
    <sheet name="2021-12" sheetId="22" r:id="rId40"/>
    <sheet name="2021-11" sheetId="21" r:id="rId41"/>
    <sheet name="2021-10" sheetId="20" r:id="rId42"/>
    <sheet name="2021-09" sheetId="19" r:id="rId43"/>
    <sheet name="2021-08" sheetId="18" r:id="rId44"/>
    <sheet name="2021-07" sheetId="17" r:id="rId45"/>
    <sheet name="2021-06" sheetId="16" r:id="rId46"/>
    <sheet name="2021-05" sheetId="15" r:id="rId47"/>
    <sheet name="2021-04" sheetId="14" r:id="rId48"/>
    <sheet name="2021-03" sheetId="13" r:id="rId49"/>
    <sheet name="2021-02" sheetId="10" r:id="rId50"/>
    <sheet name="2021-01" sheetId="9" r:id="rId51"/>
    <sheet name="2020-12" sheetId="8" r:id="rId52"/>
    <sheet name="2020-11" sheetId="7" r:id="rId53"/>
    <sheet name="2020-10" sheetId="6" r:id="rId54"/>
    <sheet name="2020-09" sheetId="5" r:id="rId55"/>
    <sheet name="2020-08" sheetId="4" r:id="rId56"/>
    <sheet name="2020-07" sheetId="3" r:id="rId57"/>
    <sheet name="南希合作店铺" sheetId="23" r:id="rId58"/>
  </sheets>
  <definedNames>
    <definedName name="_xlnm._FilterDatabase" localSheetId="53" hidden="1">'2020-10'!$B$1:$B$43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55" i="12" l="1"/>
  <c r="G55" i="12"/>
  <c r="B53" i="12"/>
  <c r="D53" i="12"/>
  <c r="C53" i="12" s="1"/>
  <c r="E53" i="12"/>
  <c r="B54" i="12"/>
  <c r="D54" i="12"/>
  <c r="C54" i="12" s="1"/>
  <c r="E54" i="12"/>
  <c r="B55" i="12"/>
  <c r="D55" i="12"/>
  <c r="C55" i="12" s="1"/>
  <c r="E55" i="12"/>
  <c r="C20" i="11"/>
  <c r="C21" i="11"/>
  <c r="C22" i="11"/>
  <c r="AG25" i="1"/>
  <c r="AH25" i="1" s="1"/>
  <c r="AF25" i="1"/>
  <c r="T25" i="1"/>
  <c r="U25" i="1"/>
  <c r="V25" i="1"/>
  <c r="W25" i="1"/>
  <c r="X25" i="1"/>
  <c r="Y25" i="1"/>
  <c r="Z25" i="1"/>
  <c r="AA25" i="1"/>
  <c r="AB25" i="1"/>
  <c r="AC25" i="1"/>
  <c r="AD25" i="1"/>
  <c r="AE25" i="1"/>
  <c r="S25" i="1"/>
  <c r="M68" i="1"/>
  <c r="N68" i="1"/>
  <c r="O68" i="1" s="1"/>
  <c r="P68" i="1" s="1"/>
  <c r="L68" i="1"/>
  <c r="K68" i="1"/>
  <c r="J68" i="1"/>
  <c r="I68" i="1"/>
  <c r="H68" i="1"/>
  <c r="G68" i="1"/>
  <c r="F68" i="1"/>
  <c r="E68" i="1"/>
  <c r="D68" i="1"/>
  <c r="C68" i="1"/>
  <c r="B68" i="1"/>
  <c r="F12" i="70"/>
  <c r="F11" i="70"/>
  <c r="F10" i="70"/>
  <c r="F9" i="70"/>
  <c r="F8" i="70"/>
  <c r="F7" i="70"/>
  <c r="F6" i="70"/>
  <c r="F5" i="70"/>
  <c r="F4" i="70"/>
  <c r="F3" i="70"/>
  <c r="F2" i="70"/>
  <c r="C6" i="11"/>
  <c r="C13" i="11"/>
  <c r="W12" i="11"/>
  <c r="C29" i="11"/>
  <c r="C30" i="11"/>
  <c r="C31" i="11"/>
  <c r="AU28" i="11"/>
  <c r="F12" i="69"/>
  <c r="L67" i="1" s="1"/>
  <c r="F11" i="69"/>
  <c r="K67" i="1" s="1"/>
  <c r="F10" i="69"/>
  <c r="J67" i="1" s="1"/>
  <c r="F9" i="69"/>
  <c r="I67" i="1" s="1"/>
  <c r="F8" i="69"/>
  <c r="H67" i="1" s="1"/>
  <c r="F7" i="69"/>
  <c r="G67" i="1" s="1"/>
  <c r="F6" i="69"/>
  <c r="F67" i="1" s="1"/>
  <c r="F5" i="69"/>
  <c r="E67" i="1" s="1"/>
  <c r="F4" i="69"/>
  <c r="D67" i="1" s="1"/>
  <c r="F3" i="69"/>
  <c r="C67" i="1" s="1"/>
  <c r="F2" i="69"/>
  <c r="K19" i="11"/>
  <c r="K14" i="11"/>
  <c r="C16" i="11"/>
  <c r="C17" i="11"/>
  <c r="C18" i="11"/>
  <c r="C15" i="11"/>
  <c r="B52" i="12"/>
  <c r="D52" i="12"/>
  <c r="E52" i="12"/>
  <c r="B50" i="12"/>
  <c r="D50" i="12"/>
  <c r="E50" i="12"/>
  <c r="B51" i="12"/>
  <c r="D51" i="12"/>
  <c r="E51" i="12"/>
  <c r="K86" i="11"/>
  <c r="AO28" i="11"/>
  <c r="AI28" i="11"/>
  <c r="AC28" i="11"/>
  <c r="W28" i="11"/>
  <c r="Q28" i="11"/>
  <c r="K28" i="11"/>
  <c r="G28" i="11"/>
  <c r="C28" i="11"/>
  <c r="F12" i="68"/>
  <c r="L66" i="1" s="1"/>
  <c r="F11" i="68"/>
  <c r="K66" i="1" s="1"/>
  <c r="F10" i="68"/>
  <c r="J66" i="1" s="1"/>
  <c r="F9" i="68"/>
  <c r="I66" i="1" s="1"/>
  <c r="F8" i="68"/>
  <c r="H66" i="1" s="1"/>
  <c r="F7" i="68"/>
  <c r="G66" i="1" s="1"/>
  <c r="F6" i="68"/>
  <c r="F66" i="1" s="1"/>
  <c r="F5" i="68"/>
  <c r="E66" i="1" s="1"/>
  <c r="F4" i="68"/>
  <c r="D66" i="1" s="1"/>
  <c r="F3" i="68"/>
  <c r="C66" i="1" s="1"/>
  <c r="F2" i="68"/>
  <c r="M60" i="2"/>
  <c r="N65" i="1" s="1"/>
  <c r="N60" i="2"/>
  <c r="O60" i="2"/>
  <c r="P60" i="2"/>
  <c r="Q60" i="2"/>
  <c r="R60" i="2"/>
  <c r="S60" i="2"/>
  <c r="M61" i="2"/>
  <c r="N66" i="1" s="1"/>
  <c r="N61" i="2"/>
  <c r="O61" i="2"/>
  <c r="P61" i="2"/>
  <c r="Q61" i="2"/>
  <c r="R61" i="2"/>
  <c r="S61" i="2"/>
  <c r="M62" i="2"/>
  <c r="N67" i="1" s="1"/>
  <c r="N62" i="2"/>
  <c r="O62" i="2"/>
  <c r="P62" i="2"/>
  <c r="Q62" i="2"/>
  <c r="R62" i="2"/>
  <c r="S62" i="2"/>
  <c r="AG24" i="1"/>
  <c r="F12" i="67"/>
  <c r="L65" i="1" s="1"/>
  <c r="F11" i="67"/>
  <c r="K65" i="1" s="1"/>
  <c r="F10" i="67"/>
  <c r="J65" i="1" s="1"/>
  <c r="F9" i="67"/>
  <c r="I65" i="1" s="1"/>
  <c r="F8" i="67"/>
  <c r="H65" i="1" s="1"/>
  <c r="F7" i="67"/>
  <c r="G65" i="1" s="1"/>
  <c r="F6" i="67"/>
  <c r="F65" i="1" s="1"/>
  <c r="F5" i="67"/>
  <c r="E65" i="1" s="1"/>
  <c r="F4" i="67"/>
  <c r="D65" i="1" s="1"/>
  <c r="F3" i="67"/>
  <c r="C65" i="1" s="1"/>
  <c r="F2" i="67"/>
  <c r="C23" i="11"/>
  <c r="C24" i="11"/>
  <c r="AC5" i="11"/>
  <c r="C8" i="11"/>
  <c r="C9" i="11"/>
  <c r="C7" i="11"/>
  <c r="M59" i="2"/>
  <c r="N64" i="1" s="1"/>
  <c r="N59" i="2"/>
  <c r="O59" i="2"/>
  <c r="P59" i="2"/>
  <c r="Q59" i="2"/>
  <c r="R59" i="2"/>
  <c r="S59" i="2"/>
  <c r="F12" i="66"/>
  <c r="L64" i="1" s="1"/>
  <c r="F11" i="66"/>
  <c r="K64" i="1" s="1"/>
  <c r="F10" i="66"/>
  <c r="J64" i="1" s="1"/>
  <c r="F9" i="66"/>
  <c r="I64" i="1" s="1"/>
  <c r="F8" i="66"/>
  <c r="H64" i="1" s="1"/>
  <c r="F7" i="66"/>
  <c r="G64" i="1" s="1"/>
  <c r="F6" i="66"/>
  <c r="F64" i="1" s="1"/>
  <c r="F5" i="66"/>
  <c r="E64" i="1" s="1"/>
  <c r="F4" i="66"/>
  <c r="D64" i="1" s="1"/>
  <c r="F3" i="66"/>
  <c r="C64" i="1" s="1"/>
  <c r="F2" i="66"/>
  <c r="C2" i="11"/>
  <c r="C3" i="11"/>
  <c r="C26" i="11"/>
  <c r="C25" i="11"/>
  <c r="C4" i="11"/>
  <c r="AI85" i="11"/>
  <c r="AI82" i="11"/>
  <c r="G83" i="11"/>
  <c r="K83" i="11"/>
  <c r="M58" i="2"/>
  <c r="N63" i="1" s="1"/>
  <c r="N58" i="2"/>
  <c r="O58" i="2"/>
  <c r="P58" i="2"/>
  <c r="Q58" i="2"/>
  <c r="R58" i="2"/>
  <c r="S58" i="2"/>
  <c r="W81" i="11"/>
  <c r="AG23" i="1"/>
  <c r="B47" i="12"/>
  <c r="D47" i="12"/>
  <c r="E47" i="12"/>
  <c r="B48" i="12"/>
  <c r="D48" i="12"/>
  <c r="E48" i="12"/>
  <c r="B49" i="12"/>
  <c r="D49" i="12"/>
  <c r="E49" i="12"/>
  <c r="M57" i="2"/>
  <c r="N62" i="1" s="1"/>
  <c r="N57" i="2"/>
  <c r="O57" i="2"/>
  <c r="P57" i="2"/>
  <c r="Q57" i="2"/>
  <c r="R57" i="2"/>
  <c r="S57" i="2"/>
  <c r="I62" i="1"/>
  <c r="H62" i="1"/>
  <c r="F12" i="65"/>
  <c r="L63" i="1" s="1"/>
  <c r="F11" i="65"/>
  <c r="K63" i="1" s="1"/>
  <c r="F10" i="65"/>
  <c r="J63" i="1" s="1"/>
  <c r="F9" i="65"/>
  <c r="I63" i="1" s="1"/>
  <c r="F8" i="65"/>
  <c r="H63" i="1" s="1"/>
  <c r="F7" i="65"/>
  <c r="G63" i="1" s="1"/>
  <c r="F6" i="65"/>
  <c r="F63" i="1" s="1"/>
  <c r="F5" i="65"/>
  <c r="E63" i="1" s="1"/>
  <c r="F4" i="65"/>
  <c r="D63" i="1" s="1"/>
  <c r="F3" i="65"/>
  <c r="C63" i="1" s="1"/>
  <c r="F2" i="65"/>
  <c r="B63" i="1" s="1"/>
  <c r="W80" i="11"/>
  <c r="Q12" i="11"/>
  <c r="F12" i="64"/>
  <c r="L62" i="1" s="1"/>
  <c r="F11" i="64"/>
  <c r="K62" i="1" s="1"/>
  <c r="F10" i="64"/>
  <c r="J62" i="1" s="1"/>
  <c r="F9" i="64"/>
  <c r="F8" i="64"/>
  <c r="F7" i="64"/>
  <c r="G62" i="1" s="1"/>
  <c r="F6" i="64"/>
  <c r="F62" i="1" s="1"/>
  <c r="F5" i="64"/>
  <c r="E62" i="1" s="1"/>
  <c r="F4" i="64"/>
  <c r="D62" i="1" s="1"/>
  <c r="F3" i="64"/>
  <c r="C62" i="1" s="1"/>
  <c r="F2" i="64"/>
  <c r="B62" i="1" s="1"/>
  <c r="G12" i="11"/>
  <c r="F12" i="63"/>
  <c r="L61" i="1" s="1"/>
  <c r="F11" i="63"/>
  <c r="K61" i="1" s="1"/>
  <c r="F10" i="63"/>
  <c r="J61" i="1" s="1"/>
  <c r="F9" i="63"/>
  <c r="I61" i="1" s="1"/>
  <c r="F8" i="63"/>
  <c r="H61" i="1" s="1"/>
  <c r="F7" i="63"/>
  <c r="G61" i="1" s="1"/>
  <c r="F6" i="63"/>
  <c r="F61" i="1" s="1"/>
  <c r="F5" i="63"/>
  <c r="E61" i="1" s="1"/>
  <c r="F4" i="63"/>
  <c r="D61" i="1" s="1"/>
  <c r="F3" i="63"/>
  <c r="C61" i="1" s="1"/>
  <c r="F2" i="63"/>
  <c r="C27" i="11"/>
  <c r="AC79" i="11"/>
  <c r="G78" i="11"/>
  <c r="F12" i="62"/>
  <c r="L60" i="1" s="1"/>
  <c r="F11" i="62"/>
  <c r="K60" i="1" s="1"/>
  <c r="F10" i="62"/>
  <c r="J60" i="1" s="1"/>
  <c r="F9" i="62"/>
  <c r="I60" i="1" s="1"/>
  <c r="F8" i="62"/>
  <c r="H60" i="1" s="1"/>
  <c r="F7" i="62"/>
  <c r="G60" i="1" s="1"/>
  <c r="F6" i="62"/>
  <c r="F60" i="1" s="1"/>
  <c r="F5" i="62"/>
  <c r="E60" i="1" s="1"/>
  <c r="F4" i="62"/>
  <c r="D60" i="1" s="1"/>
  <c r="F3" i="62"/>
  <c r="C60" i="1" s="1"/>
  <c r="F2" i="62"/>
  <c r="B60" i="1" s="1"/>
  <c r="AG22" i="1"/>
  <c r="B44" i="12"/>
  <c r="D44" i="12"/>
  <c r="E44" i="12"/>
  <c r="B45" i="12"/>
  <c r="D45" i="12"/>
  <c r="E45" i="12"/>
  <c r="B46" i="12"/>
  <c r="D46" i="12"/>
  <c r="E46" i="12"/>
  <c r="K12" i="11"/>
  <c r="K78" i="11"/>
  <c r="AC82" i="11"/>
  <c r="W77" i="11"/>
  <c r="M54" i="2"/>
  <c r="N59" i="1" s="1"/>
  <c r="N54" i="2"/>
  <c r="O54" i="2"/>
  <c r="P54" i="2"/>
  <c r="Q54" i="2"/>
  <c r="R54" i="2"/>
  <c r="S54" i="2"/>
  <c r="M55" i="2"/>
  <c r="N60" i="1" s="1"/>
  <c r="N55" i="2"/>
  <c r="O55" i="2"/>
  <c r="P55" i="2"/>
  <c r="Q55" i="2"/>
  <c r="R55" i="2"/>
  <c r="S55" i="2"/>
  <c r="M56" i="2"/>
  <c r="N61" i="1" s="1"/>
  <c r="N56" i="2"/>
  <c r="O56" i="2"/>
  <c r="P56" i="2"/>
  <c r="Q56" i="2"/>
  <c r="R56" i="2"/>
  <c r="S56" i="2"/>
  <c r="F12" i="61"/>
  <c r="L59" i="1" s="1"/>
  <c r="F11" i="61"/>
  <c r="K59" i="1" s="1"/>
  <c r="F10" i="61"/>
  <c r="J59" i="1" s="1"/>
  <c r="F9" i="61"/>
  <c r="I59" i="1" s="1"/>
  <c r="F8" i="61"/>
  <c r="H59" i="1" s="1"/>
  <c r="F7" i="61"/>
  <c r="G59" i="1" s="1"/>
  <c r="F6" i="61"/>
  <c r="F59" i="1" s="1"/>
  <c r="F5" i="61"/>
  <c r="E59" i="1" s="1"/>
  <c r="F4" i="61"/>
  <c r="D59" i="1" s="1"/>
  <c r="F3" i="61"/>
  <c r="C59" i="1" s="1"/>
  <c r="F2" i="61"/>
  <c r="B59" i="1" s="1"/>
  <c r="Q80" i="11"/>
  <c r="AG21" i="1"/>
  <c r="B41" i="12"/>
  <c r="D41" i="12"/>
  <c r="E41" i="12"/>
  <c r="B42" i="12"/>
  <c r="D42" i="12"/>
  <c r="E42" i="12"/>
  <c r="B43" i="12"/>
  <c r="D43" i="12"/>
  <c r="E43" i="12"/>
  <c r="F12" i="60"/>
  <c r="L58" i="1" s="1"/>
  <c r="F11" i="60"/>
  <c r="K58" i="1" s="1"/>
  <c r="F10" i="60"/>
  <c r="J58" i="1" s="1"/>
  <c r="F9" i="60"/>
  <c r="I58" i="1" s="1"/>
  <c r="F8" i="60"/>
  <c r="H58" i="1" s="1"/>
  <c r="F7" i="60"/>
  <c r="G58" i="1" s="1"/>
  <c r="F6" i="60"/>
  <c r="F58" i="1" s="1"/>
  <c r="F5" i="60"/>
  <c r="E58" i="1" s="1"/>
  <c r="F4" i="60"/>
  <c r="D58" i="1" s="1"/>
  <c r="F3" i="60"/>
  <c r="C58" i="1" s="1"/>
  <c r="F2" i="60"/>
  <c r="F12" i="59"/>
  <c r="L57" i="1" s="1"/>
  <c r="F11" i="59"/>
  <c r="K57" i="1" s="1"/>
  <c r="F10" i="59"/>
  <c r="J57" i="1" s="1"/>
  <c r="F9" i="59"/>
  <c r="I57" i="1" s="1"/>
  <c r="F8" i="59"/>
  <c r="H57" i="1" s="1"/>
  <c r="F7" i="59"/>
  <c r="G57" i="1" s="1"/>
  <c r="F6" i="59"/>
  <c r="F57" i="1" s="1"/>
  <c r="F5" i="59"/>
  <c r="E57" i="1" s="1"/>
  <c r="F4" i="59"/>
  <c r="D57" i="1" s="1"/>
  <c r="F3" i="59"/>
  <c r="C57" i="1" s="1"/>
  <c r="F2" i="59"/>
  <c r="B57" i="1" s="1"/>
  <c r="F12" i="58"/>
  <c r="L56" i="1" s="1"/>
  <c r="F11" i="58"/>
  <c r="K56" i="1" s="1"/>
  <c r="F10" i="58"/>
  <c r="J56" i="1" s="1"/>
  <c r="F9" i="58"/>
  <c r="I56" i="1" s="1"/>
  <c r="F8" i="58"/>
  <c r="H56" i="1" s="1"/>
  <c r="F7" i="58"/>
  <c r="G56" i="1" s="1"/>
  <c r="F6" i="58"/>
  <c r="F56" i="1" s="1"/>
  <c r="F5" i="58"/>
  <c r="E56" i="1" s="1"/>
  <c r="F4" i="58"/>
  <c r="D56" i="1" s="1"/>
  <c r="F3" i="58"/>
  <c r="C56" i="1" s="1"/>
  <c r="F2" i="58"/>
  <c r="B56" i="1" s="1"/>
  <c r="M51" i="2"/>
  <c r="N56" i="1" s="1"/>
  <c r="N51" i="2"/>
  <c r="O51" i="2"/>
  <c r="P51" i="2"/>
  <c r="Q51" i="2"/>
  <c r="R51" i="2"/>
  <c r="S51" i="2"/>
  <c r="M52" i="2"/>
  <c r="N57" i="1" s="1"/>
  <c r="N52" i="2"/>
  <c r="O52" i="2"/>
  <c r="P52" i="2"/>
  <c r="Q52" i="2"/>
  <c r="R52" i="2"/>
  <c r="S52" i="2"/>
  <c r="M53" i="2"/>
  <c r="N58" i="1" s="1"/>
  <c r="N53" i="2"/>
  <c r="O53" i="2"/>
  <c r="P53" i="2"/>
  <c r="Q53" i="2"/>
  <c r="R53" i="2"/>
  <c r="S53" i="2"/>
  <c r="G75" i="11"/>
  <c r="AI76" i="11"/>
  <c r="Q81" i="11"/>
  <c r="M49" i="2"/>
  <c r="N54" i="1" s="1"/>
  <c r="N49" i="2"/>
  <c r="O49" i="2"/>
  <c r="P49" i="2"/>
  <c r="Q49" i="2"/>
  <c r="R49" i="2"/>
  <c r="S49" i="2"/>
  <c r="M50" i="2"/>
  <c r="N55" i="1" s="1"/>
  <c r="N50" i="2"/>
  <c r="O50" i="2"/>
  <c r="P50" i="2"/>
  <c r="Q50" i="2"/>
  <c r="R50" i="2"/>
  <c r="S50" i="2"/>
  <c r="L54" i="1"/>
  <c r="K54" i="1"/>
  <c r="J54" i="1"/>
  <c r="I54" i="1"/>
  <c r="H54" i="1"/>
  <c r="M54" i="1" s="1"/>
  <c r="G54" i="1"/>
  <c r="F54" i="1"/>
  <c r="E54" i="1"/>
  <c r="D54" i="1"/>
  <c r="C54" i="1"/>
  <c r="B54" i="1"/>
  <c r="K75" i="11"/>
  <c r="F12" i="57"/>
  <c r="L55" i="1" s="1"/>
  <c r="F11" i="57"/>
  <c r="K55" i="1" s="1"/>
  <c r="F10" i="57"/>
  <c r="J55" i="1" s="1"/>
  <c r="F9" i="57"/>
  <c r="I55" i="1" s="1"/>
  <c r="F8" i="57"/>
  <c r="H55" i="1" s="1"/>
  <c r="F7" i="57"/>
  <c r="G55" i="1" s="1"/>
  <c r="F6" i="57"/>
  <c r="F55" i="1" s="1"/>
  <c r="F5" i="57"/>
  <c r="E55" i="1" s="1"/>
  <c r="F4" i="57"/>
  <c r="D55" i="1" s="1"/>
  <c r="F3" i="57"/>
  <c r="C55" i="1" s="1"/>
  <c r="F2" i="57"/>
  <c r="B55" i="1" s="1"/>
  <c r="F12" i="56"/>
  <c r="F11" i="56"/>
  <c r="F10" i="56"/>
  <c r="F9" i="56"/>
  <c r="F8" i="56"/>
  <c r="F7" i="56"/>
  <c r="F6" i="56"/>
  <c r="F5" i="56"/>
  <c r="F4" i="56"/>
  <c r="F3" i="56"/>
  <c r="F2" i="56"/>
  <c r="Q77" i="11"/>
  <c r="Q72" i="11"/>
  <c r="AG20" i="1"/>
  <c r="F12" i="55"/>
  <c r="L53" i="1" s="1"/>
  <c r="F11" i="55"/>
  <c r="K53" i="1" s="1"/>
  <c r="F10" i="55"/>
  <c r="J53" i="1" s="1"/>
  <c r="F9" i="55"/>
  <c r="I53" i="1" s="1"/>
  <c r="F8" i="55"/>
  <c r="H53" i="1" s="1"/>
  <c r="F7" i="55"/>
  <c r="G53" i="1" s="1"/>
  <c r="F6" i="55"/>
  <c r="F53" i="1" s="1"/>
  <c r="F5" i="55"/>
  <c r="E53" i="1" s="1"/>
  <c r="F4" i="55"/>
  <c r="D53" i="1" s="1"/>
  <c r="F3" i="55"/>
  <c r="C53" i="1" s="1"/>
  <c r="F2" i="55"/>
  <c r="B53" i="1" s="1"/>
  <c r="M48" i="2"/>
  <c r="N53" i="1" s="1"/>
  <c r="N48" i="2"/>
  <c r="O48" i="2"/>
  <c r="P48" i="2"/>
  <c r="Q48" i="2"/>
  <c r="R48" i="2"/>
  <c r="S48" i="2"/>
  <c r="C12" i="11"/>
  <c r="J26" i="23"/>
  <c r="Q26" i="23" s="1"/>
  <c r="Q27" i="23" s="1"/>
  <c r="Q28" i="23" s="1"/>
  <c r="K26" i="23"/>
  <c r="R26" i="23" s="1"/>
  <c r="R27" i="23" s="1"/>
  <c r="R28" i="23" s="1"/>
  <c r="L26" i="23"/>
  <c r="M26" i="23"/>
  <c r="O26" i="23" s="1"/>
  <c r="P26" i="23" s="1"/>
  <c r="P27" i="23" s="1"/>
  <c r="P28" i="23" s="1"/>
  <c r="N26" i="23"/>
  <c r="S26" i="23"/>
  <c r="T26" i="23"/>
  <c r="J27" i="23"/>
  <c r="K27" i="23"/>
  <c r="L27" i="23"/>
  <c r="M27" i="23"/>
  <c r="O27" i="23" s="1"/>
  <c r="N27" i="23"/>
  <c r="S27" i="23"/>
  <c r="J28" i="23"/>
  <c r="K28" i="23"/>
  <c r="L28" i="23"/>
  <c r="M28" i="23"/>
  <c r="O28" i="23" s="1"/>
  <c r="N28" i="23"/>
  <c r="S28" i="23"/>
  <c r="W82" i="11"/>
  <c r="F12" i="54"/>
  <c r="L52" i="1" s="1"/>
  <c r="F11" i="54"/>
  <c r="K52" i="1" s="1"/>
  <c r="F10" i="54"/>
  <c r="J52" i="1" s="1"/>
  <c r="F9" i="54"/>
  <c r="I52" i="1" s="1"/>
  <c r="F8" i="54"/>
  <c r="H52" i="1" s="1"/>
  <c r="F7" i="54"/>
  <c r="G52" i="1" s="1"/>
  <c r="F6" i="54"/>
  <c r="F52" i="1" s="1"/>
  <c r="F5" i="54"/>
  <c r="E52" i="1" s="1"/>
  <c r="F4" i="54"/>
  <c r="D52" i="1" s="1"/>
  <c r="F3" i="54"/>
  <c r="C52" i="1" s="1"/>
  <c r="F2" i="54"/>
  <c r="B52" i="1" s="1"/>
  <c r="AG16" i="1"/>
  <c r="G65" i="11"/>
  <c r="G59" i="11"/>
  <c r="G77" i="11"/>
  <c r="G72" i="11"/>
  <c r="G82" i="11"/>
  <c r="G71" i="11"/>
  <c r="G80" i="11"/>
  <c r="G81" i="11"/>
  <c r="G73" i="11"/>
  <c r="Q71" i="11"/>
  <c r="K80" i="11"/>
  <c r="Q73" i="11"/>
  <c r="F12" i="53"/>
  <c r="L51" i="1" s="1"/>
  <c r="F11" i="53"/>
  <c r="K51" i="1" s="1"/>
  <c r="F10" i="53"/>
  <c r="J51" i="1" s="1"/>
  <c r="F9" i="53"/>
  <c r="I51" i="1" s="1"/>
  <c r="F8" i="53"/>
  <c r="H51" i="1" s="1"/>
  <c r="F7" i="53"/>
  <c r="G51" i="1" s="1"/>
  <c r="F6" i="53"/>
  <c r="F51" i="1" s="1"/>
  <c r="F5" i="53"/>
  <c r="E51" i="1" s="1"/>
  <c r="F4" i="53"/>
  <c r="D51" i="1" s="1"/>
  <c r="F3" i="53"/>
  <c r="C51" i="1" s="1"/>
  <c r="F2" i="53"/>
  <c r="B51" i="1" s="1"/>
  <c r="M45" i="2"/>
  <c r="N45" i="2"/>
  <c r="O45" i="2"/>
  <c r="P45" i="2"/>
  <c r="Q45" i="2"/>
  <c r="R45" i="2"/>
  <c r="S45" i="2"/>
  <c r="M46" i="2"/>
  <c r="N51" i="1" s="1"/>
  <c r="N46" i="2"/>
  <c r="O46" i="2"/>
  <c r="P46" i="2"/>
  <c r="Q46" i="2"/>
  <c r="R46" i="2"/>
  <c r="S46" i="2"/>
  <c r="M47" i="2"/>
  <c r="N52" i="1" s="1"/>
  <c r="N47" i="2"/>
  <c r="O47" i="2"/>
  <c r="P47" i="2"/>
  <c r="Q47" i="2"/>
  <c r="R47" i="2"/>
  <c r="S47" i="2"/>
  <c r="AG19" i="1"/>
  <c r="AC76" i="11"/>
  <c r="W70" i="11"/>
  <c r="W5" i="11"/>
  <c r="AG18" i="1"/>
  <c r="C14" i="11"/>
  <c r="K81" i="11"/>
  <c r="Q74" i="11"/>
  <c r="K72" i="11"/>
  <c r="J25" i="23"/>
  <c r="K25" i="23"/>
  <c r="L25" i="23"/>
  <c r="M25" i="23"/>
  <c r="N25" i="23"/>
  <c r="F12" i="52"/>
  <c r="L50" i="1" s="1"/>
  <c r="F11" i="52"/>
  <c r="K50" i="1" s="1"/>
  <c r="F10" i="52"/>
  <c r="J50" i="1" s="1"/>
  <c r="F9" i="52"/>
  <c r="I50" i="1" s="1"/>
  <c r="F8" i="52"/>
  <c r="H50" i="1" s="1"/>
  <c r="F7" i="52"/>
  <c r="G50" i="1" s="1"/>
  <c r="F6" i="52"/>
  <c r="F50" i="1" s="1"/>
  <c r="F5" i="52"/>
  <c r="E50" i="1" s="1"/>
  <c r="F4" i="52"/>
  <c r="D50" i="1" s="1"/>
  <c r="F3" i="52"/>
  <c r="C50" i="1" s="1"/>
  <c r="F2" i="52"/>
  <c r="B50" i="1" s="1"/>
  <c r="R2" i="26"/>
  <c r="Q2" i="26"/>
  <c r="P2" i="26"/>
  <c r="O2" i="26"/>
  <c r="N2" i="26"/>
  <c r="M2" i="26"/>
  <c r="F13" i="70" l="1"/>
  <c r="F13" i="69"/>
  <c r="B67" i="1"/>
  <c r="M67" i="1" s="1"/>
  <c r="O67" i="1" s="1"/>
  <c r="V62" i="2"/>
  <c r="F13" i="68"/>
  <c r="W24" i="1"/>
  <c r="C52" i="12"/>
  <c r="C50" i="12"/>
  <c r="C51" i="12"/>
  <c r="G52" i="12"/>
  <c r="T62" i="2"/>
  <c r="X62" i="2"/>
  <c r="W62" i="2"/>
  <c r="Y62" i="2"/>
  <c r="U62" i="2"/>
  <c r="AE24" i="1"/>
  <c r="X24" i="1"/>
  <c r="Z24" i="1"/>
  <c r="B66" i="1"/>
  <c r="M66" i="1" s="1"/>
  <c r="O66" i="1" s="1"/>
  <c r="Y24" i="1"/>
  <c r="AA24" i="1"/>
  <c r="T24" i="1"/>
  <c r="AB24" i="1"/>
  <c r="U24" i="1"/>
  <c r="AC24" i="1"/>
  <c r="V24" i="1"/>
  <c r="F13" i="67"/>
  <c r="B65" i="1"/>
  <c r="F13" i="66"/>
  <c r="B64" i="1"/>
  <c r="S23" i="1" s="1"/>
  <c r="T59" i="2"/>
  <c r="AC23" i="1"/>
  <c r="V23" i="1"/>
  <c r="U23" i="1"/>
  <c r="Z23" i="1"/>
  <c r="X23" i="1"/>
  <c r="AA23" i="1"/>
  <c r="T23" i="1"/>
  <c r="AB23" i="1"/>
  <c r="U59" i="2"/>
  <c r="X59" i="2"/>
  <c r="W59" i="2"/>
  <c r="V59" i="2"/>
  <c r="Y59" i="2"/>
  <c r="W23" i="1"/>
  <c r="AE23" i="1"/>
  <c r="Y23" i="1"/>
  <c r="M63" i="1"/>
  <c r="O63" i="1" s="1"/>
  <c r="C47" i="12"/>
  <c r="C48" i="12"/>
  <c r="G49" i="12"/>
  <c r="C49" i="12"/>
  <c r="M62" i="1"/>
  <c r="O62" i="1"/>
  <c r="F13" i="65"/>
  <c r="F13" i="64"/>
  <c r="F13" i="63"/>
  <c r="B61" i="1"/>
  <c r="M61" i="1" s="1"/>
  <c r="O61" i="1" s="1"/>
  <c r="X22" i="1"/>
  <c r="M60" i="1"/>
  <c r="O60" i="1" s="1"/>
  <c r="T22" i="1"/>
  <c r="F13" i="62"/>
  <c r="U22" i="1"/>
  <c r="AC22" i="1"/>
  <c r="V22" i="1"/>
  <c r="W22" i="1"/>
  <c r="AE22" i="1"/>
  <c r="AB22" i="1"/>
  <c r="Z22" i="1"/>
  <c r="AA22" i="1"/>
  <c r="Y22" i="1"/>
  <c r="C45" i="12"/>
  <c r="G46" i="12"/>
  <c r="C44" i="12"/>
  <c r="C46" i="12"/>
  <c r="T56" i="2"/>
  <c r="U56" i="2"/>
  <c r="V56" i="2"/>
  <c r="Y56" i="2"/>
  <c r="X56" i="2"/>
  <c r="W56" i="2"/>
  <c r="M59" i="1"/>
  <c r="F13" i="61"/>
  <c r="F13" i="60"/>
  <c r="B58" i="1"/>
  <c r="M58" i="1" s="1"/>
  <c r="O58" i="1" s="1"/>
  <c r="X21" i="1"/>
  <c r="AA21" i="1"/>
  <c r="X53" i="2"/>
  <c r="V53" i="2"/>
  <c r="AE21" i="1"/>
  <c r="AC21" i="1"/>
  <c r="AB21" i="1"/>
  <c r="W21" i="1"/>
  <c r="U21" i="1"/>
  <c r="T21" i="1"/>
  <c r="V21" i="1"/>
  <c r="M57" i="1"/>
  <c r="O57" i="1" s="1"/>
  <c r="Y21" i="1"/>
  <c r="Z21" i="1"/>
  <c r="F13" i="59"/>
  <c r="U53" i="2"/>
  <c r="T53" i="2"/>
  <c r="W53" i="2"/>
  <c r="Y53" i="2"/>
  <c r="C43" i="12"/>
  <c r="C42" i="12"/>
  <c r="G43" i="12"/>
  <c r="C41" i="12"/>
  <c r="M56" i="1"/>
  <c r="F13" i="58"/>
  <c r="T50" i="2"/>
  <c r="X50" i="2"/>
  <c r="W50" i="2"/>
  <c r="V50" i="2"/>
  <c r="U50" i="2"/>
  <c r="Y50" i="2"/>
  <c r="S20" i="1"/>
  <c r="AA20" i="1"/>
  <c r="T20" i="1"/>
  <c r="V20" i="1"/>
  <c r="AE20" i="1"/>
  <c r="AB20" i="1"/>
  <c r="M55" i="1"/>
  <c r="O55" i="1" s="1"/>
  <c r="Y20" i="1"/>
  <c r="U20" i="1"/>
  <c r="AC20" i="1"/>
  <c r="W20" i="1"/>
  <c r="X20" i="1"/>
  <c r="O54" i="1"/>
  <c r="Z20" i="1"/>
  <c r="F13" i="57"/>
  <c r="F13" i="56"/>
  <c r="F13" i="55"/>
  <c r="M53" i="1"/>
  <c r="T27" i="23"/>
  <c r="T28" i="23" s="1"/>
  <c r="M52" i="1"/>
  <c r="O52" i="1" s="1"/>
  <c r="F13" i="54"/>
  <c r="AA19" i="1"/>
  <c r="S19" i="1"/>
  <c r="U19" i="1"/>
  <c r="Y19" i="1"/>
  <c r="V19" i="1"/>
  <c r="X19" i="1"/>
  <c r="AC19" i="1"/>
  <c r="Z19" i="1"/>
  <c r="W47" i="2"/>
  <c r="X47" i="2"/>
  <c r="V47" i="2"/>
  <c r="T47" i="2"/>
  <c r="Y47" i="2"/>
  <c r="U47" i="2"/>
  <c r="AB19" i="1"/>
  <c r="W19" i="1"/>
  <c r="M51" i="1"/>
  <c r="O51" i="1" s="1"/>
  <c r="T19" i="1"/>
  <c r="F13" i="53"/>
  <c r="N50" i="1"/>
  <c r="AE19" i="1" s="1"/>
  <c r="M50" i="1"/>
  <c r="O25" i="23"/>
  <c r="F13" i="52"/>
  <c r="U2" i="26"/>
  <c r="T2" i="26"/>
  <c r="S2" i="26"/>
  <c r="F52" i="12" l="1"/>
  <c r="M64" i="1"/>
  <c r="O64" i="1" s="1"/>
  <c r="S24" i="1"/>
  <c r="M65" i="1"/>
  <c r="AD24" i="1" s="1"/>
  <c r="AH24" i="1" s="1"/>
  <c r="F49" i="12"/>
  <c r="S22" i="1"/>
  <c r="F46" i="12"/>
  <c r="O59" i="1"/>
  <c r="AD22" i="1"/>
  <c r="S21" i="1"/>
  <c r="O56" i="1"/>
  <c r="AD21" i="1"/>
  <c r="F43" i="12"/>
  <c r="AD20" i="1"/>
  <c r="AH20" i="1" s="1"/>
  <c r="O53" i="1"/>
  <c r="O50" i="1"/>
  <c r="AD19" i="1"/>
  <c r="AH19" i="1" s="1"/>
  <c r="V2" i="26"/>
  <c r="AD23" i="1" l="1"/>
  <c r="AH23" i="1" s="1"/>
  <c r="AF24" i="1"/>
  <c r="O65" i="1"/>
  <c r="AF23" i="1"/>
  <c r="AH22" i="1"/>
  <c r="AF22" i="1"/>
  <c r="AF21" i="1"/>
  <c r="AH21" i="1"/>
  <c r="AF20" i="1"/>
  <c r="AF19" i="1"/>
  <c r="K77" i="11"/>
  <c r="AC69" i="11"/>
  <c r="K71" i="11"/>
  <c r="J24" i="23"/>
  <c r="K24" i="23"/>
  <c r="L24" i="23"/>
  <c r="M24" i="23"/>
  <c r="N24" i="23"/>
  <c r="W79" i="11"/>
  <c r="M44" i="2"/>
  <c r="N49" i="1" s="1"/>
  <c r="N44" i="2"/>
  <c r="O44" i="2"/>
  <c r="P44" i="2"/>
  <c r="Q44" i="2"/>
  <c r="R44" i="2"/>
  <c r="S44" i="2"/>
  <c r="M43" i="2"/>
  <c r="N48" i="1" s="1"/>
  <c r="N43" i="2"/>
  <c r="O43" i="2"/>
  <c r="P43" i="2"/>
  <c r="Q43" i="2"/>
  <c r="R43" i="2"/>
  <c r="S43" i="2"/>
  <c r="M42" i="2"/>
  <c r="N42" i="2"/>
  <c r="O42" i="2"/>
  <c r="P42" i="2"/>
  <c r="Q42" i="2"/>
  <c r="R42" i="2"/>
  <c r="S42" i="2"/>
  <c r="J23" i="23"/>
  <c r="K23" i="23"/>
  <c r="L23" i="23"/>
  <c r="M23" i="23"/>
  <c r="N23" i="23"/>
  <c r="Q68" i="11"/>
  <c r="Q82" i="11"/>
  <c r="K73" i="11"/>
  <c r="F12" i="51"/>
  <c r="L49" i="1" s="1"/>
  <c r="F11" i="51"/>
  <c r="K49" i="1" s="1"/>
  <c r="F10" i="51"/>
  <c r="J49" i="1" s="1"/>
  <c r="F9" i="51"/>
  <c r="I49" i="1" s="1"/>
  <c r="F8" i="51"/>
  <c r="H49" i="1" s="1"/>
  <c r="F7" i="51"/>
  <c r="G49" i="1" s="1"/>
  <c r="F6" i="51"/>
  <c r="F49" i="1" s="1"/>
  <c r="F5" i="51"/>
  <c r="E49" i="1" s="1"/>
  <c r="F4" i="51"/>
  <c r="D49" i="1" s="1"/>
  <c r="F3" i="51"/>
  <c r="C49" i="1" s="1"/>
  <c r="F2" i="51"/>
  <c r="B49" i="1" s="1"/>
  <c r="F12" i="50"/>
  <c r="L48" i="1" s="1"/>
  <c r="F11" i="50"/>
  <c r="K48" i="1" s="1"/>
  <c r="F10" i="50"/>
  <c r="J48" i="1" s="1"/>
  <c r="F9" i="50"/>
  <c r="I48" i="1" s="1"/>
  <c r="F8" i="50"/>
  <c r="H48" i="1" s="1"/>
  <c r="F7" i="50"/>
  <c r="G48" i="1" s="1"/>
  <c r="F6" i="50"/>
  <c r="F48" i="1" s="1"/>
  <c r="F5" i="50"/>
  <c r="E48" i="1" s="1"/>
  <c r="F4" i="50"/>
  <c r="D48" i="1" s="1"/>
  <c r="F3" i="50"/>
  <c r="C48" i="1" s="1"/>
  <c r="F2" i="50"/>
  <c r="F12" i="49"/>
  <c r="L47" i="1" s="1"/>
  <c r="F11" i="49"/>
  <c r="K47" i="1" s="1"/>
  <c r="F10" i="49"/>
  <c r="J47" i="1" s="1"/>
  <c r="F9" i="49"/>
  <c r="I47" i="1" s="1"/>
  <c r="F8" i="49"/>
  <c r="H47" i="1" s="1"/>
  <c r="F7" i="49"/>
  <c r="G47" i="1" s="1"/>
  <c r="F6" i="49"/>
  <c r="F47" i="1" s="1"/>
  <c r="F5" i="49"/>
  <c r="E47" i="1" s="1"/>
  <c r="F4" i="49"/>
  <c r="D47" i="1" s="1"/>
  <c r="F3" i="49"/>
  <c r="C47" i="1" s="1"/>
  <c r="F2" i="49"/>
  <c r="B47" i="1" s="1"/>
  <c r="AG17" i="1"/>
  <c r="AG15" i="1"/>
  <c r="AG14" i="1"/>
  <c r="AG13" i="1"/>
  <c r="B38" i="12"/>
  <c r="D38" i="12"/>
  <c r="E38" i="12"/>
  <c r="B39" i="12"/>
  <c r="D39" i="12"/>
  <c r="E39" i="12"/>
  <c r="B40" i="12"/>
  <c r="D40" i="12"/>
  <c r="E40" i="12"/>
  <c r="B32" i="12"/>
  <c r="D32" i="12"/>
  <c r="E32" i="12"/>
  <c r="B33" i="12"/>
  <c r="D33" i="12"/>
  <c r="E33" i="12"/>
  <c r="B34" i="12"/>
  <c r="D34" i="12"/>
  <c r="E34" i="12"/>
  <c r="B35" i="12"/>
  <c r="D35" i="12"/>
  <c r="E35" i="12"/>
  <c r="B36" i="12"/>
  <c r="D36" i="12"/>
  <c r="E36" i="12"/>
  <c r="B37" i="12"/>
  <c r="D37" i="12"/>
  <c r="E37" i="12"/>
  <c r="J21" i="23"/>
  <c r="K21" i="23"/>
  <c r="L21" i="23"/>
  <c r="M21" i="23"/>
  <c r="N21" i="23"/>
  <c r="J22" i="23"/>
  <c r="K22" i="23"/>
  <c r="L22" i="23"/>
  <c r="M22" i="23"/>
  <c r="N22" i="23"/>
  <c r="M40" i="2"/>
  <c r="N45" i="1" s="1"/>
  <c r="N40" i="2"/>
  <c r="O40" i="2"/>
  <c r="P40" i="2"/>
  <c r="Q40" i="2"/>
  <c r="R40" i="2"/>
  <c r="S40" i="2"/>
  <c r="M41" i="2"/>
  <c r="N46" i="1" s="1"/>
  <c r="N41" i="2"/>
  <c r="O41" i="2"/>
  <c r="P41" i="2"/>
  <c r="Q41" i="2"/>
  <c r="R41" i="2"/>
  <c r="S41" i="2"/>
  <c r="B29" i="12"/>
  <c r="D29" i="12"/>
  <c r="E29" i="12"/>
  <c r="B30" i="12"/>
  <c r="D30" i="12"/>
  <c r="E30" i="12"/>
  <c r="B31" i="12"/>
  <c r="D31" i="12"/>
  <c r="E31" i="12"/>
  <c r="J20" i="23"/>
  <c r="K20" i="23"/>
  <c r="L20" i="23"/>
  <c r="M20" i="23"/>
  <c r="N20" i="23"/>
  <c r="M39" i="2"/>
  <c r="N44" i="1" s="1"/>
  <c r="N39" i="2"/>
  <c r="O39" i="2"/>
  <c r="P39" i="2"/>
  <c r="Q39" i="2"/>
  <c r="R39" i="2"/>
  <c r="S39" i="2"/>
  <c r="M38" i="2"/>
  <c r="N43" i="1" s="1"/>
  <c r="N38" i="2"/>
  <c r="O38" i="2"/>
  <c r="P38" i="2"/>
  <c r="Q38" i="2"/>
  <c r="R38" i="2"/>
  <c r="S38" i="2"/>
  <c r="J19" i="23"/>
  <c r="K19" i="23"/>
  <c r="L19" i="23"/>
  <c r="M19" i="23"/>
  <c r="N19" i="23"/>
  <c r="L43" i="1"/>
  <c r="K43" i="1"/>
  <c r="J43" i="1"/>
  <c r="I43" i="1"/>
  <c r="H43" i="1"/>
  <c r="G43" i="1"/>
  <c r="F43" i="1"/>
  <c r="E43" i="1"/>
  <c r="D43" i="1"/>
  <c r="C43" i="1"/>
  <c r="B43" i="1"/>
  <c r="W76" i="11"/>
  <c r="Q66" i="11"/>
  <c r="J18" i="23"/>
  <c r="K18" i="23"/>
  <c r="L18" i="23"/>
  <c r="M18" i="23"/>
  <c r="N18" i="23"/>
  <c r="Q64" i="11"/>
  <c r="G76" i="11"/>
  <c r="K76" i="11"/>
  <c r="Q76" i="11"/>
  <c r="K68" i="11"/>
  <c r="K65" i="11"/>
  <c r="Q70" i="11"/>
  <c r="Q79" i="11"/>
  <c r="K74" i="11"/>
  <c r="B27" i="12"/>
  <c r="D27" i="12"/>
  <c r="E27" i="12"/>
  <c r="B28" i="12"/>
  <c r="D28" i="12"/>
  <c r="E28" i="12"/>
  <c r="B26" i="12"/>
  <c r="D26" i="12"/>
  <c r="E26" i="12"/>
  <c r="K67" i="11"/>
  <c r="J17" i="23"/>
  <c r="K17" i="23"/>
  <c r="L17" i="23"/>
  <c r="M17" i="23"/>
  <c r="N17" i="23"/>
  <c r="W63" i="11"/>
  <c r="K59" i="11"/>
  <c r="M36" i="2"/>
  <c r="N41" i="1" s="1"/>
  <c r="N36" i="2"/>
  <c r="O36" i="2"/>
  <c r="P36" i="2"/>
  <c r="Q36" i="2"/>
  <c r="R36" i="2"/>
  <c r="S36" i="2"/>
  <c r="M37" i="2"/>
  <c r="N42" i="1" s="1"/>
  <c r="N37" i="2"/>
  <c r="O37" i="2"/>
  <c r="P37" i="2"/>
  <c r="Q37" i="2"/>
  <c r="R37" i="2"/>
  <c r="S37" i="2"/>
  <c r="Q5" i="11"/>
  <c r="Q61" i="11"/>
  <c r="J16" i="23"/>
  <c r="K16" i="23"/>
  <c r="L16" i="23"/>
  <c r="M16" i="23"/>
  <c r="N16" i="23"/>
  <c r="K82" i="11"/>
  <c r="Q63" i="11"/>
  <c r="Q60" i="11"/>
  <c r="J15" i="23"/>
  <c r="K15" i="23"/>
  <c r="L15" i="23"/>
  <c r="M15" i="23"/>
  <c r="N15" i="23"/>
  <c r="K58" i="11"/>
  <c r="K79" i="11"/>
  <c r="D18" i="12"/>
  <c r="E18" i="12"/>
  <c r="D19" i="12"/>
  <c r="E19" i="12"/>
  <c r="D20" i="12"/>
  <c r="E20" i="12"/>
  <c r="D21" i="12"/>
  <c r="E21" i="12"/>
  <c r="D22" i="12"/>
  <c r="E22" i="12"/>
  <c r="D23" i="12"/>
  <c r="E23" i="12"/>
  <c r="D24" i="12"/>
  <c r="E24" i="12"/>
  <c r="D25" i="12"/>
  <c r="E25" i="12"/>
  <c r="B2" i="12"/>
  <c r="C11" i="11"/>
  <c r="C5" i="11"/>
  <c r="C10" i="11"/>
  <c r="K62" i="11"/>
  <c r="J14" i="23"/>
  <c r="K14" i="23"/>
  <c r="L14" i="23"/>
  <c r="M14" i="23"/>
  <c r="N14" i="23"/>
  <c r="M34" i="2"/>
  <c r="N39" i="1" s="1"/>
  <c r="N34" i="2"/>
  <c r="O34" i="2"/>
  <c r="P34" i="2"/>
  <c r="Q34" i="2"/>
  <c r="R34" i="2"/>
  <c r="S34" i="2"/>
  <c r="M35" i="2"/>
  <c r="N40" i="1" s="1"/>
  <c r="N35" i="2"/>
  <c r="O35" i="2"/>
  <c r="P35" i="2"/>
  <c r="Q35" i="2"/>
  <c r="R35" i="2"/>
  <c r="S35" i="2"/>
  <c r="M33" i="2"/>
  <c r="N38" i="1" s="1"/>
  <c r="N33" i="2"/>
  <c r="O33" i="2"/>
  <c r="P33" i="2"/>
  <c r="Q33" i="2"/>
  <c r="R33" i="2"/>
  <c r="S33" i="2"/>
  <c r="B24" i="12"/>
  <c r="B25" i="12"/>
  <c r="K64" i="11"/>
  <c r="B23" i="12"/>
  <c r="G74" i="11"/>
  <c r="AF2" i="1"/>
  <c r="M3" i="1"/>
  <c r="O3" i="1" s="1"/>
  <c r="M4" i="1"/>
  <c r="O4" i="1" s="1"/>
  <c r="M5" i="1"/>
  <c r="O5" i="1" s="1"/>
  <c r="M6" i="1"/>
  <c r="O6" i="1" s="1"/>
  <c r="M7" i="1"/>
  <c r="M8" i="1"/>
  <c r="M9" i="1"/>
  <c r="M10" i="1"/>
  <c r="M11" i="1"/>
  <c r="M12" i="1"/>
  <c r="M13" i="1"/>
  <c r="M14" i="1"/>
  <c r="M15" i="1"/>
  <c r="M16" i="1"/>
  <c r="M2" i="1"/>
  <c r="O2" i="1" s="1"/>
  <c r="S3" i="1"/>
  <c r="T3" i="1"/>
  <c r="U3" i="1"/>
  <c r="V3" i="1"/>
  <c r="W3" i="1"/>
  <c r="X3" i="1"/>
  <c r="Y3" i="1"/>
  <c r="Z3" i="1"/>
  <c r="AA3" i="1"/>
  <c r="AB3" i="1"/>
  <c r="AC3" i="1"/>
  <c r="AE3" i="1"/>
  <c r="S4" i="1"/>
  <c r="T4" i="1"/>
  <c r="U4" i="1"/>
  <c r="V4" i="1"/>
  <c r="W4" i="1"/>
  <c r="X4" i="1"/>
  <c r="Y4" i="1"/>
  <c r="Z4" i="1"/>
  <c r="AA4" i="1"/>
  <c r="AB4" i="1"/>
  <c r="AC4" i="1"/>
  <c r="S5" i="1"/>
  <c r="T5" i="1"/>
  <c r="U5" i="1"/>
  <c r="V5" i="1"/>
  <c r="W5" i="1"/>
  <c r="X5" i="1"/>
  <c r="Y5" i="1"/>
  <c r="Z5" i="1"/>
  <c r="AA5" i="1"/>
  <c r="AB5" i="1"/>
  <c r="AC5" i="1"/>
  <c r="S6" i="1"/>
  <c r="T6" i="1"/>
  <c r="U6" i="1"/>
  <c r="V6" i="1"/>
  <c r="W6" i="1"/>
  <c r="X6" i="1"/>
  <c r="Y6" i="1"/>
  <c r="Z6" i="1"/>
  <c r="AA6" i="1"/>
  <c r="AB6" i="1"/>
  <c r="AC6" i="1"/>
  <c r="S7" i="1"/>
  <c r="T7" i="1"/>
  <c r="U7" i="1"/>
  <c r="V7" i="1"/>
  <c r="W7" i="1"/>
  <c r="X7" i="1"/>
  <c r="Y7" i="1"/>
  <c r="Z7" i="1"/>
  <c r="AA7" i="1"/>
  <c r="AB7" i="1"/>
  <c r="AC7" i="1"/>
  <c r="F12" i="47"/>
  <c r="L46" i="1" s="1"/>
  <c r="F11" i="47"/>
  <c r="K46" i="1" s="1"/>
  <c r="F10" i="47"/>
  <c r="J46" i="1" s="1"/>
  <c r="F9" i="47"/>
  <c r="I46" i="1" s="1"/>
  <c r="F8" i="47"/>
  <c r="H46" i="1" s="1"/>
  <c r="F7" i="47"/>
  <c r="G46" i="1" s="1"/>
  <c r="F6" i="47"/>
  <c r="F46" i="1" s="1"/>
  <c r="F5" i="47"/>
  <c r="E46" i="1" s="1"/>
  <c r="F4" i="47"/>
  <c r="D46" i="1" s="1"/>
  <c r="F3" i="47"/>
  <c r="C46" i="1" s="1"/>
  <c r="F2" i="47"/>
  <c r="B46" i="1" s="1"/>
  <c r="F12" i="46"/>
  <c r="L45" i="1" s="1"/>
  <c r="F11" i="46"/>
  <c r="K45" i="1" s="1"/>
  <c r="F10" i="46"/>
  <c r="J45" i="1" s="1"/>
  <c r="F9" i="46"/>
  <c r="I45" i="1" s="1"/>
  <c r="F8" i="46"/>
  <c r="H45" i="1" s="1"/>
  <c r="F7" i="46"/>
  <c r="G45" i="1" s="1"/>
  <c r="F6" i="46"/>
  <c r="F45" i="1" s="1"/>
  <c r="F5" i="46"/>
  <c r="E45" i="1" s="1"/>
  <c r="F4" i="46"/>
  <c r="D45" i="1" s="1"/>
  <c r="F3" i="46"/>
  <c r="C45" i="1" s="1"/>
  <c r="F2" i="46"/>
  <c r="B45" i="1" s="1"/>
  <c r="F12" i="45"/>
  <c r="L44" i="1" s="1"/>
  <c r="F11" i="45"/>
  <c r="K44" i="1" s="1"/>
  <c r="F10" i="45"/>
  <c r="J44" i="1" s="1"/>
  <c r="F9" i="45"/>
  <c r="I44" i="1" s="1"/>
  <c r="F8" i="45"/>
  <c r="H44" i="1" s="1"/>
  <c r="F7" i="45"/>
  <c r="G44" i="1" s="1"/>
  <c r="F6" i="45"/>
  <c r="F44" i="1" s="1"/>
  <c r="F5" i="45"/>
  <c r="E44" i="1" s="1"/>
  <c r="F4" i="45"/>
  <c r="D44" i="1" s="1"/>
  <c r="F3" i="45"/>
  <c r="C44" i="1" s="1"/>
  <c r="F2" i="45"/>
  <c r="B44" i="1" s="1"/>
  <c r="F12" i="44"/>
  <c r="F11" i="44"/>
  <c r="F10" i="44"/>
  <c r="F9" i="44"/>
  <c r="F8" i="44"/>
  <c r="F7" i="44"/>
  <c r="F6" i="44"/>
  <c r="F5" i="44"/>
  <c r="F4" i="44"/>
  <c r="F3" i="44"/>
  <c r="F2" i="44"/>
  <c r="F12" i="43"/>
  <c r="L42" i="1" s="1"/>
  <c r="F11" i="43"/>
  <c r="K42" i="1" s="1"/>
  <c r="F10" i="43"/>
  <c r="J42" i="1" s="1"/>
  <c r="F9" i="43"/>
  <c r="I42" i="1" s="1"/>
  <c r="F8" i="43"/>
  <c r="H42" i="1" s="1"/>
  <c r="F7" i="43"/>
  <c r="G42" i="1" s="1"/>
  <c r="F6" i="43"/>
  <c r="F42" i="1" s="1"/>
  <c r="F5" i="43"/>
  <c r="E42" i="1" s="1"/>
  <c r="F4" i="43"/>
  <c r="D42" i="1" s="1"/>
  <c r="F3" i="43"/>
  <c r="C42" i="1" s="1"/>
  <c r="F2" i="43"/>
  <c r="B42" i="1" s="1"/>
  <c r="F12" i="42"/>
  <c r="L41" i="1" s="1"/>
  <c r="F11" i="42"/>
  <c r="K41" i="1" s="1"/>
  <c r="F10" i="42"/>
  <c r="J41" i="1" s="1"/>
  <c r="F9" i="42"/>
  <c r="I41" i="1" s="1"/>
  <c r="F8" i="42"/>
  <c r="H41" i="1" s="1"/>
  <c r="F7" i="42"/>
  <c r="G41" i="1" s="1"/>
  <c r="F6" i="42"/>
  <c r="F41" i="1" s="1"/>
  <c r="F5" i="42"/>
  <c r="E41" i="1" s="1"/>
  <c r="F4" i="42"/>
  <c r="D41" i="1" s="1"/>
  <c r="F3" i="42"/>
  <c r="C41" i="1" s="1"/>
  <c r="F2" i="42"/>
  <c r="B41" i="1" s="1"/>
  <c r="F12" i="35"/>
  <c r="L40" i="1" s="1"/>
  <c r="F11" i="35"/>
  <c r="K40" i="1" s="1"/>
  <c r="F10" i="35"/>
  <c r="J40" i="1" s="1"/>
  <c r="F9" i="35"/>
  <c r="I40" i="1" s="1"/>
  <c r="F8" i="35"/>
  <c r="H40" i="1" s="1"/>
  <c r="F7" i="35"/>
  <c r="G40" i="1" s="1"/>
  <c r="F6" i="35"/>
  <c r="F40" i="1" s="1"/>
  <c r="F5" i="35"/>
  <c r="E40" i="1" s="1"/>
  <c r="F4" i="35"/>
  <c r="D40" i="1" s="1"/>
  <c r="F3" i="35"/>
  <c r="C40" i="1" s="1"/>
  <c r="F2" i="35"/>
  <c r="B40" i="1" s="1"/>
  <c r="F12" i="33"/>
  <c r="L39" i="1" s="1"/>
  <c r="F11" i="33"/>
  <c r="K39" i="1" s="1"/>
  <c r="F10" i="33"/>
  <c r="J39" i="1" s="1"/>
  <c r="F9" i="33"/>
  <c r="I39" i="1" s="1"/>
  <c r="F8" i="33"/>
  <c r="H39" i="1" s="1"/>
  <c r="F7" i="33"/>
  <c r="G39" i="1" s="1"/>
  <c r="F6" i="33"/>
  <c r="F39" i="1" s="1"/>
  <c r="F5" i="33"/>
  <c r="E39" i="1" s="1"/>
  <c r="F4" i="33"/>
  <c r="D39" i="1" s="1"/>
  <c r="F3" i="33"/>
  <c r="F2" i="33"/>
  <c r="B39" i="1" s="1"/>
  <c r="F12" i="32"/>
  <c r="L38" i="1" s="1"/>
  <c r="F11" i="32"/>
  <c r="K38" i="1" s="1"/>
  <c r="F10" i="32"/>
  <c r="J38" i="1" s="1"/>
  <c r="F9" i="32"/>
  <c r="I38" i="1" s="1"/>
  <c r="F8" i="32"/>
  <c r="H38" i="1" s="1"/>
  <c r="F7" i="32"/>
  <c r="G38" i="1" s="1"/>
  <c r="F6" i="32"/>
  <c r="F38" i="1" s="1"/>
  <c r="F5" i="32"/>
  <c r="F4" i="32"/>
  <c r="D38" i="1" s="1"/>
  <c r="F3" i="32"/>
  <c r="C38" i="1" s="1"/>
  <c r="F2" i="32"/>
  <c r="B38" i="1" s="1"/>
  <c r="B22" i="12"/>
  <c r="K70" i="11"/>
  <c r="K56" i="11"/>
  <c r="G64" i="11"/>
  <c r="M32" i="2"/>
  <c r="N37" i="1" s="1"/>
  <c r="N32" i="2"/>
  <c r="O32" i="2"/>
  <c r="P32" i="2"/>
  <c r="Q32" i="2"/>
  <c r="R32" i="2"/>
  <c r="S32" i="2"/>
  <c r="J13" i="23"/>
  <c r="K13" i="23"/>
  <c r="L13" i="23"/>
  <c r="M13" i="23"/>
  <c r="N13" i="23"/>
  <c r="G67" i="11"/>
  <c r="M31" i="2"/>
  <c r="N36" i="1" s="1"/>
  <c r="N31" i="2"/>
  <c r="O31" i="2"/>
  <c r="P31" i="2"/>
  <c r="Q31" i="2"/>
  <c r="R31" i="2"/>
  <c r="S31" i="2"/>
  <c r="B21" i="12"/>
  <c r="J12" i="23"/>
  <c r="K12" i="23"/>
  <c r="L12" i="23"/>
  <c r="M12" i="23"/>
  <c r="N12" i="23"/>
  <c r="K66" i="11"/>
  <c r="Q53" i="1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2" i="2"/>
  <c r="R2" i="2"/>
  <c r="P3" i="2"/>
  <c r="Q3" i="2"/>
  <c r="R3" i="2"/>
  <c r="P4" i="2"/>
  <c r="Q4" i="2"/>
  <c r="R4" i="2"/>
  <c r="P5" i="2"/>
  <c r="Q5" i="2"/>
  <c r="R5" i="2"/>
  <c r="P6" i="2"/>
  <c r="Q6" i="2"/>
  <c r="R6" i="2"/>
  <c r="P7" i="2"/>
  <c r="Q7" i="2"/>
  <c r="R7" i="2"/>
  <c r="P8" i="2"/>
  <c r="Q8" i="2"/>
  <c r="R8" i="2"/>
  <c r="P9" i="2"/>
  <c r="Q9" i="2"/>
  <c r="R9" i="2"/>
  <c r="P10" i="2"/>
  <c r="Q10" i="2"/>
  <c r="R10" i="2"/>
  <c r="P11" i="2"/>
  <c r="Q11" i="2"/>
  <c r="R11" i="2"/>
  <c r="P12" i="2"/>
  <c r="Q12" i="2"/>
  <c r="R12" i="2"/>
  <c r="P13" i="2"/>
  <c r="Q13" i="2"/>
  <c r="R13" i="2"/>
  <c r="P14" i="2"/>
  <c r="Q14" i="2"/>
  <c r="R14" i="2"/>
  <c r="P15" i="2"/>
  <c r="Q15" i="2"/>
  <c r="R15" i="2"/>
  <c r="P16" i="2"/>
  <c r="Q16" i="2"/>
  <c r="R16" i="2"/>
  <c r="P17" i="2"/>
  <c r="Q17" i="2"/>
  <c r="R17" i="2"/>
  <c r="P18" i="2"/>
  <c r="Q18" i="2"/>
  <c r="R18" i="2"/>
  <c r="P19" i="2"/>
  <c r="Q19" i="2"/>
  <c r="R19" i="2"/>
  <c r="P20" i="2"/>
  <c r="Q20" i="2"/>
  <c r="R20" i="2"/>
  <c r="P21" i="2"/>
  <c r="Q21" i="2"/>
  <c r="R21" i="2"/>
  <c r="P22" i="2"/>
  <c r="Q22" i="2"/>
  <c r="R22" i="2"/>
  <c r="P23" i="2"/>
  <c r="Q23" i="2"/>
  <c r="R23" i="2"/>
  <c r="P24" i="2"/>
  <c r="Q24" i="2"/>
  <c r="R24" i="2"/>
  <c r="P25" i="2"/>
  <c r="Q25" i="2"/>
  <c r="R25" i="2"/>
  <c r="P26" i="2"/>
  <c r="Q26" i="2"/>
  <c r="R26" i="2"/>
  <c r="P27" i="2"/>
  <c r="Q27" i="2"/>
  <c r="R27" i="2"/>
  <c r="P28" i="2"/>
  <c r="Q28" i="2"/>
  <c r="R28" i="2"/>
  <c r="P29" i="2"/>
  <c r="Q29" i="2"/>
  <c r="R29" i="2"/>
  <c r="P30" i="2"/>
  <c r="Q30" i="2"/>
  <c r="R30" i="2"/>
  <c r="Q2" i="2"/>
  <c r="P2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" i="2"/>
  <c r="O2" i="2"/>
  <c r="B20" i="12"/>
  <c r="F12" i="31"/>
  <c r="L37" i="1" s="1"/>
  <c r="F11" i="31"/>
  <c r="K37" i="1" s="1"/>
  <c r="F10" i="31"/>
  <c r="J37" i="1" s="1"/>
  <c r="F9" i="31"/>
  <c r="I37" i="1" s="1"/>
  <c r="F8" i="31"/>
  <c r="H37" i="1" s="1"/>
  <c r="F7" i="31"/>
  <c r="G37" i="1" s="1"/>
  <c r="F6" i="31"/>
  <c r="F37" i="1" s="1"/>
  <c r="F5" i="31"/>
  <c r="E37" i="1" s="1"/>
  <c r="F4" i="31"/>
  <c r="D37" i="1" s="1"/>
  <c r="F3" i="31"/>
  <c r="C37" i="1" s="1"/>
  <c r="F2" i="31"/>
  <c r="B37" i="1" s="1"/>
  <c r="F12" i="30"/>
  <c r="L36" i="1" s="1"/>
  <c r="F11" i="30"/>
  <c r="K36" i="1" s="1"/>
  <c r="F10" i="30"/>
  <c r="J36" i="1" s="1"/>
  <c r="F9" i="30"/>
  <c r="I36" i="1" s="1"/>
  <c r="F8" i="30"/>
  <c r="H36" i="1" s="1"/>
  <c r="F7" i="30"/>
  <c r="G36" i="1" s="1"/>
  <c r="F6" i="30"/>
  <c r="F36" i="1" s="1"/>
  <c r="F5" i="30"/>
  <c r="E36" i="1" s="1"/>
  <c r="F4" i="30"/>
  <c r="D36" i="1" s="1"/>
  <c r="F3" i="30"/>
  <c r="C36" i="1" s="1"/>
  <c r="F2" i="30"/>
  <c r="B36" i="1" s="1"/>
  <c r="M30" i="2"/>
  <c r="N35" i="1" s="1"/>
  <c r="N30" i="2"/>
  <c r="F12" i="28"/>
  <c r="L35" i="1" s="1"/>
  <c r="F11" i="28"/>
  <c r="K35" i="1" s="1"/>
  <c r="F10" i="28"/>
  <c r="J35" i="1" s="1"/>
  <c r="F9" i="28"/>
  <c r="I35" i="1" s="1"/>
  <c r="F8" i="28"/>
  <c r="H35" i="1" s="1"/>
  <c r="F7" i="28"/>
  <c r="G35" i="1" s="1"/>
  <c r="F6" i="28"/>
  <c r="F35" i="1" s="1"/>
  <c r="F5" i="28"/>
  <c r="E35" i="1" s="1"/>
  <c r="F4" i="28"/>
  <c r="D35" i="1" s="1"/>
  <c r="F3" i="28"/>
  <c r="C35" i="1" s="1"/>
  <c r="F2" i="28"/>
  <c r="B35" i="1" s="1"/>
  <c r="J11" i="23"/>
  <c r="K11" i="23"/>
  <c r="L11" i="23"/>
  <c r="M11" i="23"/>
  <c r="N11" i="23"/>
  <c r="F12" i="22"/>
  <c r="F11" i="22"/>
  <c r="F10" i="22"/>
  <c r="F9" i="22"/>
  <c r="F8" i="22"/>
  <c r="F7" i="22"/>
  <c r="F6" i="22"/>
  <c r="F5" i="22"/>
  <c r="F4" i="22"/>
  <c r="F3" i="22"/>
  <c r="F2" i="22"/>
  <c r="F12" i="21"/>
  <c r="F11" i="21"/>
  <c r="F10" i="21"/>
  <c r="F9" i="21"/>
  <c r="F8" i="21"/>
  <c r="F7" i="21"/>
  <c r="F6" i="21"/>
  <c r="F5" i="21"/>
  <c r="F4" i="21"/>
  <c r="F3" i="21"/>
  <c r="F2" i="21"/>
  <c r="F12" i="20"/>
  <c r="F11" i="20"/>
  <c r="F10" i="20"/>
  <c r="F9" i="20"/>
  <c r="F8" i="20"/>
  <c r="F7" i="20"/>
  <c r="F6" i="20"/>
  <c r="F5" i="20"/>
  <c r="F4" i="20"/>
  <c r="F3" i="20"/>
  <c r="F2" i="20"/>
  <c r="F12" i="19"/>
  <c r="F11" i="19"/>
  <c r="F10" i="19"/>
  <c r="F9" i="19"/>
  <c r="F8" i="19"/>
  <c r="F7" i="19"/>
  <c r="F6" i="19"/>
  <c r="F5" i="19"/>
  <c r="F4" i="19"/>
  <c r="F3" i="19"/>
  <c r="F2" i="19"/>
  <c r="F12" i="18"/>
  <c r="F11" i="18"/>
  <c r="F10" i="18"/>
  <c r="F9" i="18"/>
  <c r="F8" i="18"/>
  <c r="F7" i="18"/>
  <c r="F6" i="18"/>
  <c r="F5" i="18"/>
  <c r="F4" i="18"/>
  <c r="F3" i="18"/>
  <c r="F2" i="18"/>
  <c r="F12" i="17"/>
  <c r="F11" i="17"/>
  <c r="F10" i="17"/>
  <c r="F9" i="17"/>
  <c r="F8" i="17"/>
  <c r="F7" i="17"/>
  <c r="F6" i="17"/>
  <c r="F5" i="17"/>
  <c r="F4" i="17"/>
  <c r="F3" i="17"/>
  <c r="F2" i="17"/>
  <c r="F12" i="16"/>
  <c r="F11" i="16"/>
  <c r="F10" i="16"/>
  <c r="F9" i="16"/>
  <c r="F8" i="16"/>
  <c r="F7" i="16"/>
  <c r="G28" i="1" s="1"/>
  <c r="F6" i="16"/>
  <c r="F5" i="16"/>
  <c r="F4" i="16"/>
  <c r="F3" i="16"/>
  <c r="F2" i="16"/>
  <c r="F12" i="15"/>
  <c r="F11" i="15"/>
  <c r="F10" i="15"/>
  <c r="F9" i="15"/>
  <c r="F8" i="15"/>
  <c r="F7" i="15"/>
  <c r="F6" i="15"/>
  <c r="F5" i="15"/>
  <c r="F4" i="15"/>
  <c r="F3" i="15"/>
  <c r="F2" i="15"/>
  <c r="F12" i="14"/>
  <c r="F11" i="14"/>
  <c r="F10" i="14"/>
  <c r="F9" i="14"/>
  <c r="F8" i="14"/>
  <c r="F7" i="14"/>
  <c r="F6" i="14"/>
  <c r="F5" i="14"/>
  <c r="F4" i="14"/>
  <c r="F3" i="14"/>
  <c r="F2" i="14"/>
  <c r="F12" i="13"/>
  <c r="F11" i="13"/>
  <c r="F10" i="13"/>
  <c r="F9" i="13"/>
  <c r="F8" i="13"/>
  <c r="F7" i="13"/>
  <c r="F6" i="13"/>
  <c r="F5" i="13"/>
  <c r="F4" i="13"/>
  <c r="F3" i="13"/>
  <c r="F2" i="13"/>
  <c r="F12" i="10"/>
  <c r="F11" i="10"/>
  <c r="F10" i="10"/>
  <c r="F9" i="10"/>
  <c r="F8" i="10"/>
  <c r="F7" i="10"/>
  <c r="F6" i="10"/>
  <c r="F5" i="10"/>
  <c r="F4" i="10"/>
  <c r="F3" i="10"/>
  <c r="F2" i="10"/>
  <c r="F12" i="9"/>
  <c r="F11" i="9"/>
  <c r="F10" i="9"/>
  <c r="F9" i="9"/>
  <c r="F8" i="9"/>
  <c r="F7" i="9"/>
  <c r="F6" i="9"/>
  <c r="F5" i="9"/>
  <c r="F4" i="9"/>
  <c r="F3" i="9"/>
  <c r="F2" i="9"/>
  <c r="F12" i="8"/>
  <c r="F11" i="8"/>
  <c r="F10" i="8"/>
  <c r="F9" i="8"/>
  <c r="F8" i="8"/>
  <c r="F7" i="8"/>
  <c r="F6" i="8"/>
  <c r="F5" i="8"/>
  <c r="F4" i="8"/>
  <c r="F3" i="8"/>
  <c r="F2" i="8"/>
  <c r="F12" i="7"/>
  <c r="F11" i="7"/>
  <c r="F10" i="7"/>
  <c r="F9" i="7"/>
  <c r="F8" i="7"/>
  <c r="F7" i="7"/>
  <c r="F6" i="7"/>
  <c r="F5" i="7"/>
  <c r="F4" i="7"/>
  <c r="F3" i="7"/>
  <c r="F2" i="7"/>
  <c r="F12" i="6"/>
  <c r="F11" i="6"/>
  <c r="F10" i="6"/>
  <c r="F9" i="6"/>
  <c r="F8" i="6"/>
  <c r="F7" i="6"/>
  <c r="F6" i="6"/>
  <c r="F5" i="6"/>
  <c r="F4" i="6"/>
  <c r="F3" i="6"/>
  <c r="F2" i="6"/>
  <c r="F12" i="5"/>
  <c r="F11" i="5"/>
  <c r="F10" i="5"/>
  <c r="F9" i="5"/>
  <c r="F8" i="5"/>
  <c r="F7" i="5"/>
  <c r="F6" i="5"/>
  <c r="F5" i="5"/>
  <c r="F4" i="5"/>
  <c r="F3" i="5"/>
  <c r="F2" i="5"/>
  <c r="F12" i="4"/>
  <c r="F11" i="4"/>
  <c r="F10" i="4"/>
  <c r="F9" i="4"/>
  <c r="F8" i="4"/>
  <c r="F7" i="4"/>
  <c r="F6" i="4"/>
  <c r="F5" i="4"/>
  <c r="F4" i="4"/>
  <c r="F3" i="4"/>
  <c r="F2" i="4"/>
  <c r="F9" i="3"/>
  <c r="I17" i="1" s="1"/>
  <c r="F10" i="3"/>
  <c r="J17" i="1" s="1"/>
  <c r="F11" i="3"/>
  <c r="K17" i="1" s="1"/>
  <c r="F12" i="3"/>
  <c r="L17" i="1" s="1"/>
  <c r="K63" i="11"/>
  <c r="J10" i="23"/>
  <c r="K10" i="23"/>
  <c r="L10" i="23"/>
  <c r="M10" i="23"/>
  <c r="N10" i="23"/>
  <c r="M29" i="2"/>
  <c r="N29" i="2"/>
  <c r="K5" i="11"/>
  <c r="J9" i="23"/>
  <c r="K9" i="23"/>
  <c r="L9" i="23"/>
  <c r="M9" i="23"/>
  <c r="N9" i="23"/>
  <c r="M28" i="2"/>
  <c r="N28" i="2"/>
  <c r="K60" i="11"/>
  <c r="K54" i="11"/>
  <c r="B13" i="12"/>
  <c r="D13" i="12"/>
  <c r="E13" i="12"/>
  <c r="B14" i="12"/>
  <c r="D14" i="12"/>
  <c r="E14" i="12"/>
  <c r="B15" i="12"/>
  <c r="D15" i="12"/>
  <c r="E15" i="12"/>
  <c r="B16" i="12"/>
  <c r="D16" i="12"/>
  <c r="E16" i="12"/>
  <c r="B17" i="12"/>
  <c r="D17" i="12"/>
  <c r="E17" i="12"/>
  <c r="Q52" i="11"/>
  <c r="M27" i="2"/>
  <c r="N27" i="2"/>
  <c r="N8" i="23"/>
  <c r="M8" i="23"/>
  <c r="L8" i="23"/>
  <c r="K8" i="23"/>
  <c r="J8" i="23"/>
  <c r="AC85" i="11"/>
  <c r="Q49" i="11"/>
  <c r="K57" i="11"/>
  <c r="Q48" i="11"/>
  <c r="J7" i="23"/>
  <c r="K7" i="23"/>
  <c r="L7" i="23"/>
  <c r="M7" i="23"/>
  <c r="N7" i="23"/>
  <c r="Q47" i="11"/>
  <c r="B18" i="12"/>
  <c r="B19" i="12"/>
  <c r="M26" i="2"/>
  <c r="N26" i="2"/>
  <c r="W55" i="11"/>
  <c r="K61" i="11"/>
  <c r="K51" i="11"/>
  <c r="J6" i="23"/>
  <c r="K6" i="23"/>
  <c r="L6" i="23"/>
  <c r="M6" i="23"/>
  <c r="N6" i="23"/>
  <c r="M25" i="2"/>
  <c r="N30" i="1" s="1"/>
  <c r="N25" i="2"/>
  <c r="W69" i="11"/>
  <c r="K50" i="11"/>
  <c r="G34" i="11"/>
  <c r="G35" i="11"/>
  <c r="G36" i="11"/>
  <c r="G37" i="11"/>
  <c r="G38" i="11"/>
  <c r="G53" i="11"/>
  <c r="G39" i="11"/>
  <c r="G40" i="11"/>
  <c r="G41" i="11"/>
  <c r="G55" i="11"/>
  <c r="G85" i="11"/>
  <c r="G48" i="11"/>
  <c r="G42" i="11"/>
  <c r="G66" i="11"/>
  <c r="G49" i="11"/>
  <c r="G56" i="11"/>
  <c r="G61" i="11"/>
  <c r="G45" i="11"/>
  <c r="G52" i="11"/>
  <c r="G47" i="11"/>
  <c r="G79" i="11"/>
  <c r="G62" i="11"/>
  <c r="G43" i="11"/>
  <c r="G54" i="11"/>
  <c r="G46" i="11"/>
  <c r="G51" i="11"/>
  <c r="G50" i="11"/>
  <c r="G63" i="11"/>
  <c r="G70" i="11"/>
  <c r="G68" i="11"/>
  <c r="G44" i="11"/>
  <c r="G5" i="11"/>
  <c r="G57" i="11"/>
  <c r="G58" i="11"/>
  <c r="G60" i="11"/>
  <c r="G69" i="11"/>
  <c r="B3" i="12"/>
  <c r="D3" i="12"/>
  <c r="E3" i="12"/>
  <c r="B4" i="12"/>
  <c r="D4" i="12"/>
  <c r="E4" i="12"/>
  <c r="B5" i="12"/>
  <c r="D5" i="12"/>
  <c r="E5" i="12"/>
  <c r="B6" i="12"/>
  <c r="D6" i="12"/>
  <c r="E6" i="12"/>
  <c r="B7" i="12"/>
  <c r="D7" i="12"/>
  <c r="E7" i="12"/>
  <c r="B8" i="12"/>
  <c r="D8" i="12"/>
  <c r="E8" i="12"/>
  <c r="B9" i="12"/>
  <c r="D9" i="12"/>
  <c r="E9" i="12"/>
  <c r="B10" i="12"/>
  <c r="D10" i="12"/>
  <c r="E10" i="12"/>
  <c r="B11" i="12"/>
  <c r="D11" i="12"/>
  <c r="E11" i="12"/>
  <c r="B12" i="12"/>
  <c r="D12" i="12"/>
  <c r="E12" i="12"/>
  <c r="E2" i="12"/>
  <c r="D2" i="12"/>
  <c r="N24" i="2"/>
  <c r="Q45" i="11"/>
  <c r="W46" i="11"/>
  <c r="N5" i="23"/>
  <c r="M5" i="23"/>
  <c r="L5" i="23"/>
  <c r="K5" i="23"/>
  <c r="J5" i="23"/>
  <c r="N4" i="23"/>
  <c r="M4" i="23"/>
  <c r="L4" i="23"/>
  <c r="K4" i="23"/>
  <c r="J4" i="23"/>
  <c r="N3" i="23"/>
  <c r="M3" i="23"/>
  <c r="T3" i="23" s="1"/>
  <c r="L3" i="23"/>
  <c r="S3" i="23" s="1"/>
  <c r="K3" i="23"/>
  <c r="R3" i="23" s="1"/>
  <c r="J3" i="23"/>
  <c r="Q3" i="23" s="1"/>
  <c r="N2" i="23"/>
  <c r="M2" i="23"/>
  <c r="L2" i="23"/>
  <c r="K2" i="23"/>
  <c r="J2" i="23"/>
  <c r="M24" i="2"/>
  <c r="N29" i="1" s="1"/>
  <c r="K41" i="11"/>
  <c r="K40" i="11"/>
  <c r="K39" i="11"/>
  <c r="K53" i="11"/>
  <c r="K38" i="11"/>
  <c r="G40" i="12" l="1"/>
  <c r="G37" i="12"/>
  <c r="O24" i="23"/>
  <c r="M49" i="1"/>
  <c r="O49" i="1" s="1"/>
  <c r="F13" i="51"/>
  <c r="O23" i="23"/>
  <c r="F13" i="50"/>
  <c r="Z18" i="1"/>
  <c r="V18" i="1"/>
  <c r="AA18" i="1"/>
  <c r="B48" i="1"/>
  <c r="M48" i="1" s="1"/>
  <c r="O48" i="1" s="1"/>
  <c r="T18" i="1"/>
  <c r="AB18" i="1"/>
  <c r="U18" i="1"/>
  <c r="X44" i="2"/>
  <c r="W44" i="2"/>
  <c r="V44" i="2"/>
  <c r="U44" i="2"/>
  <c r="T44" i="2"/>
  <c r="Y44" i="2"/>
  <c r="N47" i="1"/>
  <c r="AE18" i="1" s="1"/>
  <c r="AC18" i="1"/>
  <c r="X18" i="1"/>
  <c r="W18" i="1"/>
  <c r="Y18" i="1"/>
  <c r="F13" i="49"/>
  <c r="G31" i="12"/>
  <c r="G34" i="12"/>
  <c r="M47" i="1"/>
  <c r="O20" i="23"/>
  <c r="O21" i="23"/>
  <c r="O22" i="23"/>
  <c r="X17" i="1"/>
  <c r="U17" i="1"/>
  <c r="AC17" i="1"/>
  <c r="Y17" i="1"/>
  <c r="V17" i="1"/>
  <c r="W17" i="1"/>
  <c r="Z17" i="1"/>
  <c r="S17" i="1"/>
  <c r="AA17" i="1"/>
  <c r="AB17" i="1"/>
  <c r="C36" i="12"/>
  <c r="C40" i="12"/>
  <c r="C33" i="12"/>
  <c r="C35" i="12"/>
  <c r="C39" i="12"/>
  <c r="C32" i="12"/>
  <c r="C37" i="12"/>
  <c r="C34" i="12"/>
  <c r="C38" i="12"/>
  <c r="T17" i="1"/>
  <c r="M46" i="1"/>
  <c r="O46" i="1" s="1"/>
  <c r="T41" i="2"/>
  <c r="AE17" i="1"/>
  <c r="M45" i="1"/>
  <c r="C30" i="12"/>
  <c r="C29" i="12"/>
  <c r="C31" i="12"/>
  <c r="W41" i="2"/>
  <c r="V41" i="2"/>
  <c r="U41" i="2"/>
  <c r="X41" i="2"/>
  <c r="M44" i="1"/>
  <c r="O44" i="1" s="1"/>
  <c r="Y41" i="2"/>
  <c r="Y38" i="2"/>
  <c r="O19" i="23"/>
  <c r="M43" i="1"/>
  <c r="O43" i="1" s="1"/>
  <c r="O18" i="23"/>
  <c r="T16" i="1"/>
  <c r="AB16" i="1"/>
  <c r="V16" i="1"/>
  <c r="W16" i="1"/>
  <c r="Y16" i="1"/>
  <c r="AC16" i="1"/>
  <c r="U16" i="1"/>
  <c r="M42" i="1"/>
  <c r="O42" i="1" s="1"/>
  <c r="X16" i="1"/>
  <c r="Z16" i="1"/>
  <c r="AA16" i="1"/>
  <c r="C27" i="12"/>
  <c r="C28" i="12"/>
  <c r="C26" i="12"/>
  <c r="G28" i="12"/>
  <c r="T38" i="2"/>
  <c r="X38" i="2"/>
  <c r="W38" i="2"/>
  <c r="V38" i="2"/>
  <c r="U38" i="2"/>
  <c r="O17" i="23"/>
  <c r="M41" i="1"/>
  <c r="S16" i="1"/>
  <c r="AE16" i="1"/>
  <c r="F13" i="44"/>
  <c r="M40" i="1"/>
  <c r="O40" i="1" s="1"/>
  <c r="F13" i="43"/>
  <c r="F13" i="46"/>
  <c r="F13" i="35"/>
  <c r="F13" i="42"/>
  <c r="F13" i="47"/>
  <c r="F13" i="45"/>
  <c r="O16" i="23"/>
  <c r="AB15" i="1"/>
  <c r="AC15" i="1"/>
  <c r="Z15" i="1"/>
  <c r="AA15" i="1"/>
  <c r="W15" i="1"/>
  <c r="F13" i="33"/>
  <c r="U15" i="1"/>
  <c r="X15" i="1"/>
  <c r="C39" i="1"/>
  <c r="M39" i="1" s="1"/>
  <c r="O39" i="1" s="1"/>
  <c r="Y15" i="1"/>
  <c r="M36" i="1"/>
  <c r="O36" i="1" s="1"/>
  <c r="O15" i="23"/>
  <c r="T35" i="2"/>
  <c r="V35" i="2"/>
  <c r="S15" i="1"/>
  <c r="F13" i="32"/>
  <c r="E38" i="1"/>
  <c r="V15" i="1" s="1"/>
  <c r="W35" i="2"/>
  <c r="X35" i="2"/>
  <c r="U35" i="2"/>
  <c r="Y35" i="2"/>
  <c r="AE15" i="1"/>
  <c r="M35" i="1"/>
  <c r="O35" i="1" s="1"/>
  <c r="O14" i="23"/>
  <c r="C25" i="12"/>
  <c r="C24" i="12"/>
  <c r="G25" i="12"/>
  <c r="AE14" i="1"/>
  <c r="C23" i="12"/>
  <c r="X14" i="1"/>
  <c r="Y14" i="1"/>
  <c r="AB14" i="1"/>
  <c r="W14" i="1"/>
  <c r="T14" i="1"/>
  <c r="M37" i="1"/>
  <c r="O37" i="1" s="1"/>
  <c r="U32" i="2"/>
  <c r="AA14" i="1"/>
  <c r="U14" i="1"/>
  <c r="Z14" i="1"/>
  <c r="S14" i="1"/>
  <c r="AC14" i="1"/>
  <c r="V14" i="1"/>
  <c r="X32" i="2"/>
  <c r="X8" i="2"/>
  <c r="V32" i="2"/>
  <c r="U17" i="2"/>
  <c r="V14" i="2"/>
  <c r="W11" i="2"/>
  <c r="Y29" i="2"/>
  <c r="T20" i="2"/>
  <c r="X23" i="2"/>
  <c r="W32" i="2"/>
  <c r="T5" i="2"/>
  <c r="T17" i="2"/>
  <c r="V29" i="2"/>
  <c r="W26" i="2"/>
  <c r="U8" i="2"/>
  <c r="V5" i="2"/>
  <c r="X20" i="2"/>
  <c r="T32" i="2"/>
  <c r="T14" i="2"/>
  <c r="U23" i="2"/>
  <c r="V20" i="2"/>
  <c r="W17" i="2"/>
  <c r="X17" i="2"/>
  <c r="Y26" i="2"/>
  <c r="T29" i="2"/>
  <c r="U20" i="2"/>
  <c r="V17" i="2"/>
  <c r="W14" i="2"/>
  <c r="U14" i="2"/>
  <c r="V11" i="2"/>
  <c r="W8" i="2"/>
  <c r="X14" i="2"/>
  <c r="T11" i="2"/>
  <c r="T26" i="2"/>
  <c r="W29" i="2"/>
  <c r="U11" i="2"/>
  <c r="V8" i="2"/>
  <c r="W5" i="2"/>
  <c r="X29" i="2"/>
  <c r="X5" i="2"/>
  <c r="T8" i="2"/>
  <c r="U29" i="2"/>
  <c r="V26" i="2"/>
  <c r="W23" i="2"/>
  <c r="U5" i="2"/>
  <c r="X11" i="2"/>
  <c r="Y32" i="2"/>
  <c r="T23" i="2"/>
  <c r="U26" i="2"/>
  <c r="V23" i="2"/>
  <c r="W20" i="2"/>
  <c r="X26" i="2"/>
  <c r="G7" i="12"/>
  <c r="G4" i="12"/>
  <c r="G22" i="12"/>
  <c r="G19" i="12"/>
  <c r="G16" i="12"/>
  <c r="G13" i="12"/>
  <c r="G10" i="12"/>
  <c r="C22" i="12"/>
  <c r="O13" i="23"/>
  <c r="C21" i="12"/>
  <c r="O12" i="23"/>
  <c r="C20" i="12"/>
  <c r="F13" i="31"/>
  <c r="F13" i="30"/>
  <c r="F13" i="28"/>
  <c r="O11" i="23"/>
  <c r="F13" i="4"/>
  <c r="F13" i="15"/>
  <c r="F13" i="22"/>
  <c r="F13" i="21"/>
  <c r="F13" i="20"/>
  <c r="F13" i="19"/>
  <c r="F13" i="18"/>
  <c r="F13" i="17"/>
  <c r="F13" i="16"/>
  <c r="F13" i="14"/>
  <c r="F13" i="13"/>
  <c r="F13" i="10"/>
  <c r="F13" i="9"/>
  <c r="F13" i="8"/>
  <c r="F13" i="7"/>
  <c r="F13" i="6"/>
  <c r="F13" i="5"/>
  <c r="J33" i="1"/>
  <c r="J28" i="1"/>
  <c r="J27" i="1"/>
  <c r="J23" i="1"/>
  <c r="J18" i="1"/>
  <c r="O10" i="23"/>
  <c r="N34" i="1"/>
  <c r="O9" i="23"/>
  <c r="N33" i="1"/>
  <c r="C15" i="12"/>
  <c r="C13" i="12"/>
  <c r="C17" i="12"/>
  <c r="C16" i="12"/>
  <c r="C14" i="12"/>
  <c r="N32" i="1"/>
  <c r="O8" i="23"/>
  <c r="O7" i="23"/>
  <c r="N31" i="1"/>
  <c r="O6" i="23"/>
  <c r="C8" i="12"/>
  <c r="C3" i="12"/>
  <c r="C11" i="12"/>
  <c r="C5" i="12"/>
  <c r="C10" i="12"/>
  <c r="C7" i="12"/>
  <c r="C12" i="12"/>
  <c r="C4" i="12"/>
  <c r="C9" i="12"/>
  <c r="C6" i="12"/>
  <c r="O4" i="23"/>
  <c r="S4" i="23"/>
  <c r="S5" i="23" s="1"/>
  <c r="S6" i="23" s="1"/>
  <c r="S7" i="23" s="1"/>
  <c r="S8" i="23" s="1"/>
  <c r="S9" i="23" s="1"/>
  <c r="S10" i="23" s="1"/>
  <c r="S11" i="23" s="1"/>
  <c r="S12" i="23" s="1"/>
  <c r="S13" i="23" s="1"/>
  <c r="S14" i="23" s="1"/>
  <c r="S15" i="23" s="1"/>
  <c r="S16" i="23" s="1"/>
  <c r="S17" i="23" s="1"/>
  <c r="S18" i="23" s="1"/>
  <c r="S19" i="23" s="1"/>
  <c r="S20" i="23" s="1"/>
  <c r="S21" i="23" s="1"/>
  <c r="S22" i="23" s="1"/>
  <c r="S23" i="23" s="1"/>
  <c r="S24" i="23" s="1"/>
  <c r="S25" i="23" s="1"/>
  <c r="Q4" i="23"/>
  <c r="Q5" i="23" s="1"/>
  <c r="Q6" i="23" s="1"/>
  <c r="Q7" i="23" s="1"/>
  <c r="Q8" i="23" s="1"/>
  <c r="Q9" i="23" s="1"/>
  <c r="Q10" i="23" s="1"/>
  <c r="Q11" i="23" s="1"/>
  <c r="Q12" i="23" s="1"/>
  <c r="Q13" i="23" s="1"/>
  <c r="Q14" i="23" s="1"/>
  <c r="Q15" i="23" s="1"/>
  <c r="Q16" i="23" s="1"/>
  <c r="Q17" i="23" s="1"/>
  <c r="Q18" i="23" s="1"/>
  <c r="Q19" i="23" s="1"/>
  <c r="Q20" i="23" s="1"/>
  <c r="Q21" i="23" s="1"/>
  <c r="Q22" i="23" s="1"/>
  <c r="Q23" i="23" s="1"/>
  <c r="Q24" i="23" s="1"/>
  <c r="Q25" i="23" s="1"/>
  <c r="T4" i="23"/>
  <c r="T5" i="23" s="1"/>
  <c r="T6" i="23" s="1"/>
  <c r="T7" i="23" s="1"/>
  <c r="T8" i="23" s="1"/>
  <c r="T9" i="23" s="1"/>
  <c r="T10" i="23" s="1"/>
  <c r="T11" i="23" s="1"/>
  <c r="T12" i="23" s="1"/>
  <c r="T13" i="23" s="1"/>
  <c r="T14" i="23" s="1"/>
  <c r="T15" i="23" s="1"/>
  <c r="T16" i="23" s="1"/>
  <c r="T17" i="23" s="1"/>
  <c r="T18" i="23" s="1"/>
  <c r="T19" i="23" s="1"/>
  <c r="T20" i="23" s="1"/>
  <c r="T21" i="23" s="1"/>
  <c r="T22" i="23" s="1"/>
  <c r="T23" i="23" s="1"/>
  <c r="T24" i="23" s="1"/>
  <c r="T25" i="23" s="1"/>
  <c r="O5" i="23"/>
  <c r="R4" i="23"/>
  <c r="R5" i="23" s="1"/>
  <c r="R6" i="23" s="1"/>
  <c r="R7" i="23" s="1"/>
  <c r="R8" i="23" s="1"/>
  <c r="R9" i="23" s="1"/>
  <c r="R10" i="23" s="1"/>
  <c r="R11" i="23" s="1"/>
  <c r="R12" i="23" s="1"/>
  <c r="R13" i="23" s="1"/>
  <c r="R14" i="23" s="1"/>
  <c r="R15" i="23" s="1"/>
  <c r="R16" i="23" s="1"/>
  <c r="R17" i="23" s="1"/>
  <c r="R18" i="23" s="1"/>
  <c r="R19" i="23" s="1"/>
  <c r="R20" i="23" s="1"/>
  <c r="R21" i="23" s="1"/>
  <c r="R22" i="23" s="1"/>
  <c r="R23" i="23" s="1"/>
  <c r="R24" i="23" s="1"/>
  <c r="R25" i="23" s="1"/>
  <c r="O2" i="23"/>
  <c r="O3" i="23"/>
  <c r="P3" i="23" s="1"/>
  <c r="M23" i="2"/>
  <c r="N28" i="1" s="1"/>
  <c r="N23" i="2"/>
  <c r="F40" i="12" l="1"/>
  <c r="F37" i="12"/>
  <c r="S18" i="1"/>
  <c r="O47" i="1"/>
  <c r="AD18" i="1"/>
  <c r="AH18" i="1" s="1"/>
  <c r="F34" i="12"/>
  <c r="F31" i="12"/>
  <c r="AD17" i="1"/>
  <c r="AH17" i="1" s="1"/>
  <c r="O45" i="1"/>
  <c r="AD16" i="1"/>
  <c r="AH16" i="1" s="1"/>
  <c r="F28" i="12"/>
  <c r="O41" i="1"/>
  <c r="T15" i="1"/>
  <c r="M38" i="1"/>
  <c r="F25" i="12"/>
  <c r="AE12" i="1"/>
  <c r="F22" i="12"/>
  <c r="AE13" i="1"/>
  <c r="AD14" i="1"/>
  <c r="F13" i="12"/>
  <c r="F10" i="12"/>
  <c r="F7" i="12"/>
  <c r="F16" i="12"/>
  <c r="J34" i="1"/>
  <c r="K33" i="1"/>
  <c r="J32" i="1"/>
  <c r="J31" i="1"/>
  <c r="J30" i="1"/>
  <c r="J29" i="1"/>
  <c r="K28" i="1"/>
  <c r="K27" i="1"/>
  <c r="J26" i="1"/>
  <c r="AA11" i="1" s="1"/>
  <c r="J25" i="1"/>
  <c r="J24" i="1"/>
  <c r="K24" i="1"/>
  <c r="K23" i="1"/>
  <c r="L23" i="1"/>
  <c r="J22" i="1"/>
  <c r="K22" i="1"/>
  <c r="J21" i="1"/>
  <c r="J20" i="1"/>
  <c r="K18" i="1"/>
  <c r="P4" i="23"/>
  <c r="P5" i="23" s="1"/>
  <c r="P6" i="23" s="1"/>
  <c r="P7" i="23" s="1"/>
  <c r="P8" i="23" s="1"/>
  <c r="P9" i="23" s="1"/>
  <c r="P10" i="23" s="1"/>
  <c r="P11" i="23" s="1"/>
  <c r="P12" i="23" s="1"/>
  <c r="P13" i="23" s="1"/>
  <c r="P14" i="23" s="1"/>
  <c r="P15" i="23" s="1"/>
  <c r="P16" i="23" s="1"/>
  <c r="P17" i="23" s="1"/>
  <c r="P18" i="23" s="1"/>
  <c r="P19" i="23" s="1"/>
  <c r="P20" i="23" s="1"/>
  <c r="P21" i="23" s="1"/>
  <c r="P22" i="23" s="1"/>
  <c r="P23" i="23" s="1"/>
  <c r="P24" i="23" s="1"/>
  <c r="P25" i="23" s="1"/>
  <c r="AF16" i="1" l="1"/>
  <c r="AF14" i="1"/>
  <c r="AH14" i="1"/>
  <c r="AF18" i="1"/>
  <c r="AF17" i="1"/>
  <c r="AA13" i="1"/>
  <c r="AA10" i="1"/>
  <c r="AD15" i="1"/>
  <c r="AH15" i="1" s="1"/>
  <c r="O38" i="1"/>
  <c r="AA12" i="1"/>
  <c r="AA9" i="1"/>
  <c r="L33" i="1"/>
  <c r="K31" i="1"/>
  <c r="L30" i="1"/>
  <c r="K29" i="1"/>
  <c r="L29" i="1"/>
  <c r="K26" i="1"/>
  <c r="AB11" i="1" s="1"/>
  <c r="L26" i="1"/>
  <c r="K25" i="1"/>
  <c r="AB10" i="1" s="1"/>
  <c r="L25" i="1"/>
  <c r="L24" i="1"/>
  <c r="L22" i="1"/>
  <c r="K21" i="1"/>
  <c r="K20" i="1"/>
  <c r="L20" i="1"/>
  <c r="J19" i="1"/>
  <c r="AA8" i="1" s="1"/>
  <c r="K19" i="1"/>
  <c r="AB8" i="1" s="1"/>
  <c r="K42" i="11"/>
  <c r="K49" i="11"/>
  <c r="AB9" i="1" l="1"/>
  <c r="AF15" i="1"/>
  <c r="AC10" i="1"/>
  <c r="K34" i="1"/>
  <c r="L34" i="1"/>
  <c r="K32" i="1"/>
  <c r="L32" i="1"/>
  <c r="K30" i="1"/>
  <c r="AB12" i="1" s="1"/>
  <c r="L28" i="1"/>
  <c r="L27" i="1"/>
  <c r="L21" i="1"/>
  <c r="AC9" i="1" s="1"/>
  <c r="L19" i="1"/>
  <c r="L18" i="1"/>
  <c r="M22" i="2"/>
  <c r="N27" i="1" s="1"/>
  <c r="N22" i="2"/>
  <c r="K37" i="11"/>
  <c r="AC13" i="1" l="1"/>
  <c r="AC11" i="1"/>
  <c r="AB13" i="1"/>
  <c r="AC8" i="1"/>
  <c r="L31" i="1"/>
  <c r="AC12" i="1" s="1"/>
  <c r="K48" i="11"/>
  <c r="K43" i="11" l="1"/>
  <c r="K36" i="11"/>
  <c r="Q35" i="11"/>
  <c r="K35" i="11"/>
  <c r="K52" i="11"/>
  <c r="M21" i="2" l="1"/>
  <c r="N21" i="2"/>
  <c r="N26" i="1" l="1"/>
  <c r="Y23" i="2"/>
  <c r="W85" i="11"/>
  <c r="AE11" i="1" l="1"/>
  <c r="Q55" i="11"/>
  <c r="Q46" i="11" l="1"/>
  <c r="K45" i="11"/>
  <c r="Q69" i="11"/>
  <c r="K69" i="11"/>
  <c r="H34" i="1"/>
  <c r="G34" i="1"/>
  <c r="F34" i="1"/>
  <c r="E34" i="1"/>
  <c r="D34" i="1"/>
  <c r="C34" i="1"/>
  <c r="B34" i="1"/>
  <c r="H33" i="1"/>
  <c r="G33" i="1"/>
  <c r="F33" i="1"/>
  <c r="E33" i="1"/>
  <c r="D33" i="1"/>
  <c r="C33" i="1"/>
  <c r="B33" i="1"/>
  <c r="H32" i="1"/>
  <c r="G32" i="1"/>
  <c r="F32" i="1"/>
  <c r="E32" i="1"/>
  <c r="D32" i="1"/>
  <c r="C32" i="1"/>
  <c r="B32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M20" i="2"/>
  <c r="N25" i="1" s="1"/>
  <c r="N20" i="2"/>
  <c r="V12" i="1" l="1"/>
  <c r="Y13" i="1"/>
  <c r="U11" i="1"/>
  <c r="Y12" i="1"/>
  <c r="T13" i="1"/>
  <c r="V11" i="1"/>
  <c r="U13" i="1"/>
  <c r="T12" i="1"/>
  <c r="W13" i="1"/>
  <c r="S12" i="1"/>
  <c r="V13" i="1"/>
  <c r="X11" i="1"/>
  <c r="Y11" i="1"/>
  <c r="U12" i="1"/>
  <c r="X13" i="1"/>
  <c r="W12" i="1"/>
  <c r="W11" i="1"/>
  <c r="S11" i="1"/>
  <c r="T11" i="1"/>
  <c r="X12" i="1"/>
  <c r="S13" i="1"/>
  <c r="I34" i="1"/>
  <c r="M34" i="1" s="1"/>
  <c r="O34" i="1" s="1"/>
  <c r="I33" i="1"/>
  <c r="M33" i="1" s="1"/>
  <c r="O33" i="1" s="1"/>
  <c r="I32" i="1"/>
  <c r="M32" i="1" s="1"/>
  <c r="O32" i="1" s="1"/>
  <c r="I31" i="1"/>
  <c r="M31" i="1" s="1"/>
  <c r="O31" i="1" s="1"/>
  <c r="I30" i="1"/>
  <c r="M30" i="1" s="1"/>
  <c r="O30" i="1" s="1"/>
  <c r="I29" i="1"/>
  <c r="M29" i="1" s="1"/>
  <c r="O29" i="1" s="1"/>
  <c r="I28" i="1"/>
  <c r="M28" i="1" s="1"/>
  <c r="O28" i="1" s="1"/>
  <c r="I27" i="1"/>
  <c r="M27" i="1" s="1"/>
  <c r="O27" i="1" s="1"/>
  <c r="I26" i="1"/>
  <c r="M26" i="1" s="1"/>
  <c r="O26" i="1" s="1"/>
  <c r="I25" i="1"/>
  <c r="M25" i="1" s="1"/>
  <c r="O25" i="1" s="1"/>
  <c r="K85" i="11"/>
  <c r="K46" i="11"/>
  <c r="Z13" i="1" l="1"/>
  <c r="Z11" i="1"/>
  <c r="Z12" i="1"/>
  <c r="AD13" i="1"/>
  <c r="AD12" i="1"/>
  <c r="AF12" i="1" s="1"/>
  <c r="AD11" i="1"/>
  <c r="AF11" i="1" s="1"/>
  <c r="K47" i="11"/>
  <c r="K55" i="11"/>
  <c r="AF13" i="1" l="1"/>
  <c r="AH13" i="1"/>
  <c r="K34" i="11"/>
  <c r="M19" i="2" l="1"/>
  <c r="N24" i="1" s="1"/>
  <c r="N19" i="2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2" i="2"/>
  <c r="Q85" i="11" l="1"/>
  <c r="M18" i="2" l="1"/>
  <c r="Y20" i="2" s="1"/>
  <c r="N23" i="1" l="1"/>
  <c r="AE10" i="1" l="1"/>
  <c r="M16" i="2"/>
  <c r="N21" i="1" s="1"/>
  <c r="M17" i="2"/>
  <c r="N22" i="1" l="1"/>
  <c r="C19" i="12"/>
  <c r="C18" i="12"/>
  <c r="C2" i="12"/>
  <c r="F4" i="12" s="1"/>
  <c r="M4" i="2"/>
  <c r="M5" i="2"/>
  <c r="M6" i="2"/>
  <c r="M7" i="2"/>
  <c r="M8" i="2"/>
  <c r="M9" i="2"/>
  <c r="M10" i="2"/>
  <c r="M11" i="2"/>
  <c r="M12" i="2"/>
  <c r="M13" i="2"/>
  <c r="M14" i="2"/>
  <c r="M15" i="2"/>
  <c r="Y17" i="2" s="1"/>
  <c r="M3" i="2"/>
  <c r="M2" i="2"/>
  <c r="Y2" i="2" s="1"/>
  <c r="F19" i="12" l="1"/>
  <c r="Y5" i="2"/>
  <c r="Y8" i="2"/>
  <c r="Y11" i="2"/>
  <c r="Y14" i="2"/>
  <c r="N8" i="1"/>
  <c r="N13" i="1"/>
  <c r="O13" i="1" s="1"/>
  <c r="N14" i="1"/>
  <c r="O14" i="1" s="1"/>
  <c r="N12" i="1"/>
  <c r="O12" i="1" s="1"/>
  <c r="N7" i="1"/>
  <c r="N11" i="1"/>
  <c r="O11" i="1" s="1"/>
  <c r="N20" i="1"/>
  <c r="N10" i="1"/>
  <c r="O10" i="1" s="1"/>
  <c r="N19" i="1"/>
  <c r="N9" i="1"/>
  <c r="O9" i="1" s="1"/>
  <c r="N18" i="1"/>
  <c r="N16" i="1"/>
  <c r="O16" i="1" s="1"/>
  <c r="N17" i="1"/>
  <c r="N15" i="1"/>
  <c r="O15" i="1" s="1"/>
  <c r="AE8" i="1" l="1"/>
  <c r="AE5" i="1"/>
  <c r="O8" i="1"/>
  <c r="AE9" i="1"/>
  <c r="AE4" i="1"/>
  <c r="O7" i="1"/>
  <c r="AE7" i="1"/>
  <c r="AE6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F3" i="3"/>
  <c r="C17" i="1" s="1"/>
  <c r="F4" i="3"/>
  <c r="D17" i="1" s="1"/>
  <c r="F5" i="3"/>
  <c r="E17" i="1" s="1"/>
  <c r="F6" i="3"/>
  <c r="F17" i="1" s="1"/>
  <c r="F7" i="3"/>
  <c r="G17" i="1" s="1"/>
  <c r="F8" i="3"/>
  <c r="H17" i="1" s="1"/>
  <c r="F2" i="3"/>
  <c r="X10" i="1" l="1"/>
  <c r="U10" i="1"/>
  <c r="T10" i="1"/>
  <c r="U9" i="1"/>
  <c r="U8" i="1"/>
  <c r="W8" i="1"/>
  <c r="Y9" i="1"/>
  <c r="X8" i="1"/>
  <c r="Y8" i="1"/>
  <c r="S9" i="1"/>
  <c r="V10" i="1"/>
  <c r="T9" i="1"/>
  <c r="W10" i="1"/>
  <c r="T8" i="1"/>
  <c r="V9" i="1"/>
  <c r="Y10" i="1"/>
  <c r="W9" i="1"/>
  <c r="V8" i="1"/>
  <c r="X9" i="1"/>
  <c r="S10" i="1"/>
  <c r="B17" i="1"/>
  <c r="M17" i="1" s="1"/>
  <c r="O17" i="1" s="1"/>
  <c r="I24" i="1"/>
  <c r="M24" i="1" s="1"/>
  <c r="O24" i="1" s="1"/>
  <c r="I23" i="1"/>
  <c r="M23" i="1" s="1"/>
  <c r="O23" i="1" s="1"/>
  <c r="I22" i="1"/>
  <c r="M22" i="1" s="1"/>
  <c r="O22" i="1" s="1"/>
  <c r="I21" i="1"/>
  <c r="M21" i="1" s="1"/>
  <c r="O21" i="1" s="1"/>
  <c r="I20" i="1"/>
  <c r="I19" i="1"/>
  <c r="M19" i="1" s="1"/>
  <c r="O19" i="1" s="1"/>
  <c r="I18" i="1"/>
  <c r="Z8" i="1" l="1"/>
  <c r="Z9" i="1"/>
  <c r="M18" i="1"/>
  <c r="O18" i="1" s="1"/>
  <c r="M20" i="1"/>
  <c r="O20" i="1" s="1"/>
  <c r="Z10" i="1"/>
  <c r="S8" i="1"/>
  <c r="F13" i="3"/>
  <c r="AD10" i="1"/>
  <c r="AF10" i="1" s="1"/>
  <c r="J3" i="2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AD3" i="1"/>
  <c r="AF3" i="1" s="1"/>
  <c r="J353" i="2" l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61" i="2" s="1"/>
  <c r="J352" i="2"/>
  <c r="AD8" i="1"/>
  <c r="AF8" i="1" s="1"/>
  <c r="AD9" i="1"/>
  <c r="AF9" i="1" s="1"/>
  <c r="J452" i="2" l="1"/>
  <c r="J453" i="2" s="1"/>
  <c r="J475" i="2"/>
  <c r="J476" i="2" s="1"/>
  <c r="J462" i="2"/>
  <c r="P3" i="1"/>
  <c r="P4" i="1" s="1"/>
  <c r="P5" i="1" s="1"/>
  <c r="J454" i="2" l="1"/>
  <c r="J455" i="2" s="1"/>
  <c r="J463" i="2"/>
  <c r="J477" i="2" s="1"/>
  <c r="AD4" i="1"/>
  <c r="AF4" i="1" s="1"/>
  <c r="P6" i="1"/>
  <c r="J464" i="2" l="1"/>
  <c r="J470" i="2"/>
  <c r="J456" i="2"/>
  <c r="J457" i="2" s="1"/>
  <c r="J465" i="2"/>
  <c r="J466" i="2" s="1"/>
  <c r="J473" i="2" s="1"/>
  <c r="P7" i="1"/>
  <c r="J471" i="2" l="1"/>
  <c r="J472" i="2" s="1"/>
  <c r="J478" i="2"/>
  <c r="J479" i="2" s="1"/>
  <c r="J480" i="2" s="1"/>
  <c r="J458" i="2"/>
  <c r="J467" i="2"/>
  <c r="P8" i="1"/>
  <c r="J459" i="2" l="1"/>
  <c r="J460" i="2" s="1"/>
  <c r="J474" i="2" s="1"/>
  <c r="J468" i="2"/>
  <c r="J469" i="2" s="1"/>
  <c r="P9" i="1"/>
  <c r="AD5" i="1"/>
  <c r="AF5" i="1" s="1"/>
  <c r="P10" i="1" l="1"/>
  <c r="P11" i="1" l="1"/>
  <c r="P12" i="1" l="1"/>
  <c r="AD6" i="1"/>
  <c r="AF6" i="1" s="1"/>
  <c r="P13" i="1" l="1"/>
  <c r="P14" i="1" l="1"/>
  <c r="P15" i="1" l="1"/>
  <c r="AD7" i="1"/>
  <c r="AF7" i="1" s="1"/>
  <c r="P16" i="1" l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</calcChain>
</file>

<file path=xl/sharedStrings.xml><?xml version="1.0" encoding="utf-8"?>
<sst xmlns="http://schemas.openxmlformats.org/spreadsheetml/2006/main" count="5704" uniqueCount="1300">
  <si>
    <t>日期</t>
    <phoneticPr fontId="2" type="noConversion"/>
  </si>
  <si>
    <t>猫粮</t>
    <phoneticPr fontId="2" type="noConversion"/>
  </si>
  <si>
    <t>猫砂</t>
    <phoneticPr fontId="2" type="noConversion"/>
  </si>
  <si>
    <t>零食</t>
    <phoneticPr fontId="2" type="noConversion"/>
  </si>
  <si>
    <t>药</t>
    <phoneticPr fontId="2" type="noConversion"/>
  </si>
  <si>
    <t>其它</t>
    <phoneticPr fontId="2" type="noConversion"/>
  </si>
  <si>
    <t>买猫</t>
    <phoneticPr fontId="2" type="noConversion"/>
  </si>
  <si>
    <t>月份</t>
    <phoneticPr fontId="2" type="noConversion"/>
  </si>
  <si>
    <t>猫名</t>
    <phoneticPr fontId="2" type="noConversion"/>
  </si>
  <si>
    <t>进价</t>
    <phoneticPr fontId="2" type="noConversion"/>
  </si>
  <si>
    <t>出售价</t>
    <phoneticPr fontId="2" type="noConversion"/>
  </si>
  <si>
    <t>累计</t>
    <phoneticPr fontId="2" type="noConversion"/>
  </si>
  <si>
    <t>月份</t>
    <phoneticPr fontId="2" type="noConversion"/>
  </si>
  <si>
    <t>土豆</t>
    <phoneticPr fontId="2" type="noConversion"/>
  </si>
  <si>
    <t>小红(尖尖儿子)</t>
    <phoneticPr fontId="2" type="noConversion"/>
  </si>
  <si>
    <t>蓝猫(腿腿女儿)</t>
    <phoneticPr fontId="2" type="noConversion"/>
  </si>
  <si>
    <t>布偶双色(机场家)</t>
    <phoneticPr fontId="2" type="noConversion"/>
  </si>
  <si>
    <t>大白(小白家)</t>
    <phoneticPr fontId="2" type="noConversion"/>
  </si>
  <si>
    <t>小粉(尖尖女儿)</t>
    <phoneticPr fontId="2" type="noConversion"/>
  </si>
  <si>
    <t>小墨(机场家)</t>
    <phoneticPr fontId="2" type="noConversion"/>
  </si>
  <si>
    <t>小紫(尖尖儿子)</t>
    <phoneticPr fontId="2" type="noConversion"/>
  </si>
  <si>
    <t xml:space="preserve">小蓝(尖尖儿子) </t>
    <phoneticPr fontId="2" type="noConversion"/>
  </si>
  <si>
    <t>小五</t>
    <phoneticPr fontId="2" type="noConversion"/>
  </si>
  <si>
    <t>金渐层长毛(长毛金渐层家)</t>
    <phoneticPr fontId="2" type="noConversion"/>
  </si>
  <si>
    <t>德文*3</t>
    <phoneticPr fontId="2" type="noConversion"/>
  </si>
  <si>
    <t>乳白矮脚(金州家)</t>
    <phoneticPr fontId="2" type="noConversion"/>
  </si>
  <si>
    <t>布偶母*2(金州家)</t>
    <phoneticPr fontId="2" type="noConversion"/>
  </si>
  <si>
    <t>柯尼斯</t>
    <phoneticPr fontId="2" type="noConversion"/>
  </si>
  <si>
    <t>蓝金长毛</t>
    <phoneticPr fontId="2" type="noConversion"/>
  </si>
  <si>
    <t>银渐层母</t>
    <phoneticPr fontId="2" type="noConversion"/>
  </si>
  <si>
    <t>银渐层公*2</t>
    <phoneticPr fontId="2" type="noConversion"/>
  </si>
  <si>
    <t>高峰银渐层</t>
    <phoneticPr fontId="2" type="noConversion"/>
  </si>
  <si>
    <t>银渐层妹妹</t>
    <phoneticPr fontId="2" type="noConversion"/>
  </si>
  <si>
    <t>小金+金渐层弟弟</t>
    <phoneticPr fontId="2" type="noConversion"/>
  </si>
  <si>
    <t>小山</t>
    <phoneticPr fontId="2" type="noConversion"/>
  </si>
  <si>
    <t>小黄(尖尖女儿)</t>
    <phoneticPr fontId="2" type="noConversion"/>
  </si>
  <si>
    <t>六度</t>
    <phoneticPr fontId="2" type="noConversion"/>
  </si>
  <si>
    <t>腿腿1+3</t>
    <phoneticPr fontId="2" type="noConversion"/>
  </si>
  <si>
    <t>乳白矮脚(金州家)</t>
    <phoneticPr fontId="2" type="noConversion"/>
  </si>
  <si>
    <t>乳白高脚</t>
    <phoneticPr fontId="2" type="noConversion"/>
  </si>
  <si>
    <t>发财</t>
    <phoneticPr fontId="2" type="noConversion"/>
  </si>
  <si>
    <t>金渐层青岛</t>
    <phoneticPr fontId="2" type="noConversion"/>
  </si>
  <si>
    <t>名称</t>
    <phoneticPr fontId="2" type="noConversion"/>
  </si>
  <si>
    <t>种类</t>
    <phoneticPr fontId="2" type="noConversion"/>
  </si>
  <si>
    <t>价格</t>
    <phoneticPr fontId="2" type="noConversion"/>
  </si>
  <si>
    <t>猫粮</t>
  </si>
  <si>
    <t>猫砂</t>
  </si>
  <si>
    <t>零食</t>
  </si>
  <si>
    <t>买猫</t>
  </si>
  <si>
    <t>其它</t>
  </si>
  <si>
    <t>药</t>
  </si>
  <si>
    <t>网球</t>
    <phoneticPr fontId="2" type="noConversion"/>
  </si>
  <si>
    <t>婴儿车</t>
    <phoneticPr fontId="2" type="noConversion"/>
  </si>
  <si>
    <t>拍照用的垫</t>
    <phoneticPr fontId="2" type="noConversion"/>
  </si>
  <si>
    <t>拍照用的框</t>
    <phoneticPr fontId="2" type="noConversion"/>
  </si>
  <si>
    <t>拍照用的花盆</t>
    <phoneticPr fontId="2" type="noConversion"/>
  </si>
  <si>
    <t>拍照用的玻璃瓶</t>
    <phoneticPr fontId="2" type="noConversion"/>
  </si>
  <si>
    <t>拍照用的垫</t>
    <phoneticPr fontId="2" type="noConversion"/>
  </si>
  <si>
    <t>滴眼液</t>
    <phoneticPr fontId="2" type="noConversion"/>
  </si>
  <si>
    <t>湿巾</t>
    <phoneticPr fontId="2" type="noConversion"/>
  </si>
  <si>
    <t>垃圾桶</t>
    <phoneticPr fontId="2" type="noConversion"/>
  </si>
  <si>
    <t>猫砂</t>
    <phoneticPr fontId="2" type="noConversion"/>
  </si>
  <si>
    <t>类别</t>
    <phoneticPr fontId="2" type="noConversion"/>
  </si>
  <si>
    <t>总金额</t>
    <phoneticPr fontId="2" type="noConversion"/>
  </si>
  <si>
    <t>猫粮</t>
    <phoneticPr fontId="2" type="noConversion"/>
  </si>
  <si>
    <t>猫砂</t>
    <phoneticPr fontId="2" type="noConversion"/>
  </si>
  <si>
    <t>收纳箱+洗手液</t>
    <phoneticPr fontId="2" type="noConversion"/>
  </si>
  <si>
    <t>尿垫</t>
    <phoneticPr fontId="2" type="noConversion"/>
  </si>
  <si>
    <t>蓝金拿破仑定金</t>
    <phoneticPr fontId="2" type="noConversion"/>
  </si>
  <si>
    <t>花卷借配</t>
    <phoneticPr fontId="2" type="noConversion"/>
  </si>
  <si>
    <t>七只小猫猫粮</t>
    <phoneticPr fontId="2" type="noConversion"/>
  </si>
  <si>
    <t>猫柜</t>
    <phoneticPr fontId="2" type="noConversion"/>
  </si>
  <si>
    <t>实木猫柜</t>
    <phoneticPr fontId="2" type="noConversion"/>
  </si>
  <si>
    <t>吉林家俩银渐层</t>
    <phoneticPr fontId="2" type="noConversion"/>
  </si>
  <si>
    <t>运费</t>
    <phoneticPr fontId="2" type="noConversion"/>
  </si>
  <si>
    <t>长毛蓝猫母</t>
    <phoneticPr fontId="2" type="noConversion"/>
  </si>
  <si>
    <t>25色带环金渐层母</t>
    <phoneticPr fontId="2" type="noConversion"/>
  </si>
  <si>
    <t>猫砂</t>
    <phoneticPr fontId="2" type="noConversion"/>
  </si>
  <si>
    <t>开发区家银点</t>
    <phoneticPr fontId="2" type="noConversion"/>
  </si>
  <si>
    <t>梅斯猫粮</t>
    <phoneticPr fontId="2" type="noConversion"/>
  </si>
  <si>
    <t>零食</t>
    <phoneticPr fontId="2" type="noConversion"/>
  </si>
  <si>
    <t>药</t>
    <phoneticPr fontId="2" type="noConversion"/>
  </si>
  <si>
    <t>冻干</t>
    <phoneticPr fontId="2" type="noConversion"/>
  </si>
  <si>
    <t>小笼子</t>
    <phoneticPr fontId="2" type="noConversion"/>
  </si>
  <si>
    <t>灯泡</t>
    <phoneticPr fontId="2" type="noConversion"/>
  </si>
  <si>
    <t>流浪猫猫粮</t>
    <phoneticPr fontId="2" type="noConversion"/>
  </si>
  <si>
    <t>两只长毛金渐层母</t>
    <phoneticPr fontId="2" type="noConversion"/>
  </si>
  <si>
    <t>腿腿的乳白短毛</t>
    <phoneticPr fontId="2" type="noConversion"/>
  </si>
  <si>
    <t>腿腿的乳白长毛</t>
    <phoneticPr fontId="2" type="noConversion"/>
  </si>
  <si>
    <t>卷毛大熊</t>
    <phoneticPr fontId="2" type="noConversion"/>
  </si>
  <si>
    <t>给大鼻贴治病</t>
    <phoneticPr fontId="2" type="noConversion"/>
  </si>
  <si>
    <t>猫砂</t>
    <phoneticPr fontId="2" type="noConversion"/>
  </si>
  <si>
    <t>地板革</t>
    <phoneticPr fontId="2" type="noConversion"/>
  </si>
  <si>
    <t>手套</t>
    <phoneticPr fontId="2" type="noConversion"/>
  </si>
  <si>
    <t>纸巾</t>
    <phoneticPr fontId="2" type="noConversion"/>
  </si>
  <si>
    <t>垃圾袋</t>
    <phoneticPr fontId="2" type="noConversion"/>
  </si>
  <si>
    <t>排风</t>
    <phoneticPr fontId="2" type="noConversion"/>
  </si>
  <si>
    <t>螺丝</t>
    <phoneticPr fontId="2" type="noConversion"/>
  </si>
  <si>
    <t>手套</t>
    <phoneticPr fontId="2" type="noConversion"/>
  </si>
  <si>
    <t>航空箱</t>
    <phoneticPr fontId="2" type="noConversion"/>
  </si>
  <si>
    <t>小灰灰尾款</t>
    <phoneticPr fontId="2" type="noConversion"/>
  </si>
  <si>
    <t>猫粮试吃</t>
    <phoneticPr fontId="2" type="noConversion"/>
  </si>
  <si>
    <t>猫柜吉林</t>
    <phoneticPr fontId="2" type="noConversion"/>
  </si>
  <si>
    <t>买药</t>
    <phoneticPr fontId="2" type="noConversion"/>
  </si>
  <si>
    <t>441青岛</t>
    <phoneticPr fontId="2" type="noConversion"/>
  </si>
  <si>
    <t>买药</t>
    <phoneticPr fontId="2" type="noConversion"/>
  </si>
  <si>
    <t>七只小猫猫粮</t>
    <phoneticPr fontId="2" type="noConversion"/>
  </si>
  <si>
    <t>银渐层公尾款</t>
    <phoneticPr fontId="2" type="noConversion"/>
  </si>
  <si>
    <t>福来恩</t>
    <phoneticPr fontId="2" type="noConversion"/>
  </si>
  <si>
    <t>小白家猫粮</t>
    <phoneticPr fontId="2" type="noConversion"/>
  </si>
  <si>
    <t>猫笼子</t>
    <phoneticPr fontId="2" type="noConversion"/>
  </si>
  <si>
    <t>电费</t>
    <phoneticPr fontId="2" type="noConversion"/>
  </si>
  <si>
    <t>猫笼子</t>
    <phoneticPr fontId="2" type="noConversion"/>
  </si>
  <si>
    <t>退猫粮钱</t>
    <phoneticPr fontId="2" type="noConversion"/>
  </si>
  <si>
    <t>航空箱</t>
    <phoneticPr fontId="2" type="noConversion"/>
  </si>
  <si>
    <t>饺子</t>
    <phoneticPr fontId="2" type="noConversion"/>
  </si>
  <si>
    <t>大鼻贴</t>
    <phoneticPr fontId="2" type="noConversion"/>
  </si>
  <si>
    <t>300家长毛卖给开发区家</t>
    <phoneticPr fontId="2" type="noConversion"/>
  </si>
  <si>
    <t>尖尖的三个手套</t>
    <phoneticPr fontId="2" type="noConversion"/>
  </si>
  <si>
    <t>帅帅借配</t>
    <phoneticPr fontId="2" type="noConversion"/>
  </si>
  <si>
    <t>奶酪的孩子</t>
    <phoneticPr fontId="2" type="noConversion"/>
  </si>
  <si>
    <t>知足常乐金点</t>
    <phoneticPr fontId="2" type="noConversion"/>
  </si>
  <si>
    <t>知足常乐丁香三花定金</t>
    <phoneticPr fontId="2" type="noConversion"/>
  </si>
  <si>
    <t>冻干鸡胸</t>
    <phoneticPr fontId="2" type="noConversion"/>
  </si>
  <si>
    <t>好好的银渐层</t>
    <phoneticPr fontId="2" type="noConversion"/>
  </si>
  <si>
    <t>猫砂</t>
    <phoneticPr fontId="2" type="noConversion"/>
  </si>
  <si>
    <t>南溪疫苗</t>
    <phoneticPr fontId="2" type="noConversion"/>
  </si>
  <si>
    <t>开发区银渐层定金</t>
    <phoneticPr fontId="2" type="noConversion"/>
  </si>
  <si>
    <t>猫笼子</t>
    <phoneticPr fontId="2" type="noConversion"/>
  </si>
  <si>
    <t>罐头</t>
    <phoneticPr fontId="2" type="noConversion"/>
  </si>
  <si>
    <t>知足常乐大熊</t>
    <phoneticPr fontId="2" type="noConversion"/>
  </si>
  <si>
    <t>大熊疫苗</t>
    <phoneticPr fontId="2" type="noConversion"/>
  </si>
  <si>
    <t>妞妞猫粮</t>
    <phoneticPr fontId="2" type="noConversion"/>
  </si>
  <si>
    <t>好好小灰灰运费</t>
    <phoneticPr fontId="2" type="noConversion"/>
  </si>
  <si>
    <t>冻干鸡胸</t>
    <phoneticPr fontId="2" type="noConversion"/>
  </si>
  <si>
    <t>牛肉冻干</t>
    <phoneticPr fontId="2" type="noConversion"/>
  </si>
  <si>
    <t>鸡蛋冻干</t>
    <phoneticPr fontId="2" type="noConversion"/>
  </si>
  <si>
    <t>鱼干</t>
    <phoneticPr fontId="2" type="noConversion"/>
  </si>
  <si>
    <t>药</t>
    <phoneticPr fontId="2" type="noConversion"/>
  </si>
  <si>
    <t>电动喷壶</t>
    <phoneticPr fontId="2" type="noConversion"/>
  </si>
  <si>
    <t>小笼子</t>
    <phoneticPr fontId="2" type="noConversion"/>
  </si>
  <si>
    <t>猫碗</t>
    <phoneticPr fontId="2" type="noConversion"/>
  </si>
  <si>
    <t>纸抽</t>
    <phoneticPr fontId="2" type="noConversion"/>
  </si>
  <si>
    <t>扎带</t>
    <phoneticPr fontId="2" type="noConversion"/>
  </si>
  <si>
    <t>罐头</t>
    <phoneticPr fontId="2" type="noConversion"/>
  </si>
  <si>
    <t>知足家金点</t>
    <phoneticPr fontId="2" type="noConversion"/>
  </si>
  <si>
    <t>卖杂货</t>
    <phoneticPr fontId="2" type="noConversion"/>
  </si>
  <si>
    <t>手套</t>
    <phoneticPr fontId="2" type="noConversion"/>
  </si>
  <si>
    <t>房租</t>
    <phoneticPr fontId="2" type="noConversion"/>
  </si>
  <si>
    <t>包子</t>
    <phoneticPr fontId="2" type="noConversion"/>
  </si>
  <si>
    <t>知足家白猫</t>
    <phoneticPr fontId="2" type="noConversion"/>
  </si>
  <si>
    <t>猫粮</t>
    <phoneticPr fontId="2" type="noConversion"/>
  </si>
  <si>
    <t>每月盈亏</t>
    <phoneticPr fontId="2" type="noConversion"/>
  </si>
  <si>
    <t>总盈亏</t>
    <phoneticPr fontId="2" type="noConversion"/>
  </si>
  <si>
    <t>阿比定金</t>
    <phoneticPr fontId="2" type="noConversion"/>
  </si>
  <si>
    <t>300家两只金吉拉</t>
    <phoneticPr fontId="2" type="noConversion"/>
  </si>
  <si>
    <t>2020第2季度</t>
    <phoneticPr fontId="2" type="noConversion"/>
  </si>
  <si>
    <t>2020第1季度</t>
    <phoneticPr fontId="2" type="noConversion"/>
  </si>
  <si>
    <t>2020第3季度</t>
    <phoneticPr fontId="2" type="noConversion"/>
  </si>
  <si>
    <t>2020第4季度</t>
    <phoneticPr fontId="2" type="noConversion"/>
  </si>
  <si>
    <t>猫粮</t>
    <phoneticPr fontId="2" type="noConversion"/>
  </si>
  <si>
    <t>姓名</t>
    <phoneticPr fontId="2" type="noConversion"/>
  </si>
  <si>
    <t>南瓜</t>
    <phoneticPr fontId="2" type="noConversion"/>
  </si>
  <si>
    <t>如意</t>
    <phoneticPr fontId="2" type="noConversion"/>
  </si>
  <si>
    <t>银点</t>
    <phoneticPr fontId="2" type="noConversion"/>
  </si>
  <si>
    <t>毛球</t>
    <phoneticPr fontId="2" type="noConversion"/>
  </si>
  <si>
    <t>腿腿</t>
    <phoneticPr fontId="2" type="noConversion"/>
  </si>
  <si>
    <t>琉璃</t>
    <phoneticPr fontId="2" type="noConversion"/>
  </si>
  <si>
    <t>YUKI</t>
    <phoneticPr fontId="2" type="noConversion"/>
  </si>
  <si>
    <t>糖糖</t>
    <phoneticPr fontId="2" type="noConversion"/>
  </si>
  <si>
    <t>果果</t>
    <phoneticPr fontId="2" type="noConversion"/>
  </si>
  <si>
    <t>玲珑</t>
    <phoneticPr fontId="2" type="noConversion"/>
  </si>
  <si>
    <t>咖啡</t>
    <phoneticPr fontId="2" type="noConversion"/>
  </si>
  <si>
    <t>菲菲</t>
    <phoneticPr fontId="2" type="noConversion"/>
  </si>
  <si>
    <t>花花</t>
    <phoneticPr fontId="2" type="noConversion"/>
  </si>
  <si>
    <t>奶酪</t>
    <phoneticPr fontId="2" type="noConversion"/>
  </si>
  <si>
    <t>小熊猫</t>
    <phoneticPr fontId="2" type="noConversion"/>
  </si>
  <si>
    <t>No.1</t>
    <phoneticPr fontId="2" type="noConversion"/>
  </si>
  <si>
    <t>No.2</t>
  </si>
  <si>
    <t>No.3</t>
  </si>
  <si>
    <t>抱枕</t>
    <phoneticPr fontId="2" type="noConversion"/>
  </si>
  <si>
    <t>眼药水</t>
    <phoneticPr fontId="2" type="noConversion"/>
  </si>
  <si>
    <t>手套</t>
    <phoneticPr fontId="2" type="noConversion"/>
  </si>
  <si>
    <t>猫砂</t>
    <phoneticPr fontId="2" type="noConversion"/>
  </si>
  <si>
    <t>配猫日期</t>
    <phoneticPr fontId="2" type="noConversion"/>
  </si>
  <si>
    <t>生产日期</t>
    <phoneticPr fontId="2" type="noConversion"/>
  </si>
  <si>
    <t>天数</t>
    <phoneticPr fontId="2" type="noConversion"/>
  </si>
  <si>
    <t>死亡</t>
    <phoneticPr fontId="2" type="noConversion"/>
  </si>
  <si>
    <t>生存</t>
    <phoneticPr fontId="2" type="noConversion"/>
  </si>
  <si>
    <t>数量</t>
    <phoneticPr fontId="2" type="noConversion"/>
  </si>
  <si>
    <t>小巧</t>
    <phoneticPr fontId="2" type="noConversion"/>
  </si>
  <si>
    <t>C3猫粮</t>
    <phoneticPr fontId="2" type="noConversion"/>
  </si>
  <si>
    <t>药</t>
    <phoneticPr fontId="2" type="noConversion"/>
  </si>
  <si>
    <t>奶粉</t>
    <phoneticPr fontId="2" type="noConversion"/>
  </si>
  <si>
    <t>药</t>
    <phoneticPr fontId="2" type="noConversion"/>
  </si>
  <si>
    <t>猫乐适猫粮</t>
    <phoneticPr fontId="2" type="noConversion"/>
  </si>
  <si>
    <t>运费</t>
    <phoneticPr fontId="2" type="noConversion"/>
  </si>
  <si>
    <t>猫乐适猫粮</t>
    <phoneticPr fontId="2" type="noConversion"/>
  </si>
  <si>
    <t>猫</t>
    <phoneticPr fontId="2" type="noConversion"/>
  </si>
  <si>
    <t>沐浴露</t>
    <phoneticPr fontId="2" type="noConversion"/>
  </si>
  <si>
    <t>开发区定金</t>
    <phoneticPr fontId="2" type="noConversion"/>
  </si>
  <si>
    <t>尿垫</t>
    <phoneticPr fontId="2" type="noConversion"/>
  </si>
  <si>
    <t>小太阳</t>
    <phoneticPr fontId="2" type="noConversion"/>
  </si>
  <si>
    <t>吉林家折耳银渐层</t>
    <phoneticPr fontId="2" type="noConversion"/>
  </si>
  <si>
    <t>吉林家美短一窝</t>
    <phoneticPr fontId="2" type="noConversion"/>
  </si>
  <si>
    <t>好好家4只折耳银渐层</t>
    <phoneticPr fontId="2" type="noConversion"/>
  </si>
  <si>
    <t>好好家美短一窝</t>
    <phoneticPr fontId="2" type="noConversion"/>
  </si>
  <si>
    <t>药</t>
    <phoneticPr fontId="2" type="noConversion"/>
  </si>
  <si>
    <t>尿垫</t>
    <phoneticPr fontId="2" type="noConversion"/>
  </si>
  <si>
    <t>抽纸</t>
    <phoneticPr fontId="2" type="noConversion"/>
  </si>
  <si>
    <t>灯线</t>
    <phoneticPr fontId="2" type="noConversion"/>
  </si>
  <si>
    <t>阿莫西林+头孢</t>
    <phoneticPr fontId="2" type="noConversion"/>
  </si>
  <si>
    <t>安利泰</t>
    <phoneticPr fontId="2" type="noConversion"/>
  </si>
  <si>
    <t>疫苗</t>
    <phoneticPr fontId="2" type="noConversion"/>
  </si>
  <si>
    <t>开发区定金</t>
    <phoneticPr fontId="2" type="noConversion"/>
  </si>
  <si>
    <t>药</t>
    <phoneticPr fontId="2" type="noConversion"/>
  </si>
  <si>
    <t>药</t>
    <phoneticPr fontId="2" type="noConversion"/>
  </si>
  <si>
    <t>药</t>
    <phoneticPr fontId="2" type="noConversion"/>
  </si>
  <si>
    <t>疫苗</t>
    <phoneticPr fontId="2" type="noConversion"/>
  </si>
  <si>
    <t>奶瓶</t>
    <phoneticPr fontId="2" type="noConversion"/>
  </si>
  <si>
    <t>尿垫</t>
    <phoneticPr fontId="2" type="noConversion"/>
  </si>
  <si>
    <t>地垫</t>
    <phoneticPr fontId="2" type="noConversion"/>
  </si>
  <si>
    <t>猫砂</t>
    <phoneticPr fontId="2" type="noConversion"/>
  </si>
  <si>
    <t>营养膏</t>
    <phoneticPr fontId="2" type="noConversion"/>
  </si>
  <si>
    <t>罐头</t>
    <phoneticPr fontId="2" type="noConversion"/>
  </si>
  <si>
    <t>开发区家两只银渐层</t>
    <phoneticPr fontId="2" type="noConversion"/>
  </si>
  <si>
    <t>妞妞的金渐层</t>
    <phoneticPr fontId="2" type="noConversion"/>
  </si>
  <si>
    <t>憨憨</t>
    <phoneticPr fontId="2" type="noConversion"/>
  </si>
  <si>
    <t>馒头</t>
    <phoneticPr fontId="2" type="noConversion"/>
  </si>
  <si>
    <t>馒头的黑白</t>
    <phoneticPr fontId="2" type="noConversion"/>
  </si>
  <si>
    <t>熊猫的孩子盼盼</t>
    <phoneticPr fontId="2" type="noConversion"/>
  </si>
  <si>
    <t>臭臭</t>
    <phoneticPr fontId="2" type="noConversion"/>
  </si>
  <si>
    <t>买猫</t>
    <phoneticPr fontId="2" type="noConversion"/>
  </si>
  <si>
    <t>其它</t>
    <phoneticPr fontId="2" type="noConversion"/>
  </si>
  <si>
    <t>腿腿的高脚金公</t>
    <phoneticPr fontId="2" type="noConversion"/>
  </si>
  <si>
    <t>黑色金吉拉旺旺</t>
    <phoneticPr fontId="2" type="noConversion"/>
  </si>
  <si>
    <t>手套</t>
    <phoneticPr fontId="2" type="noConversion"/>
  </si>
  <si>
    <t>公牛定时插座</t>
    <phoneticPr fontId="2" type="noConversion"/>
  </si>
  <si>
    <t>自动玩具</t>
    <phoneticPr fontId="2" type="noConversion"/>
  </si>
  <si>
    <t>断奶服</t>
    <phoneticPr fontId="2" type="noConversion"/>
  </si>
  <si>
    <t>头孢</t>
    <phoneticPr fontId="2" type="noConversion"/>
  </si>
  <si>
    <t>奥司他韦</t>
    <phoneticPr fontId="2" type="noConversion"/>
  </si>
  <si>
    <t>奥司他韦+其它一些药</t>
    <phoneticPr fontId="2" type="noConversion"/>
  </si>
  <si>
    <t>手套</t>
    <phoneticPr fontId="2" type="noConversion"/>
  </si>
  <si>
    <t>垃圾袋</t>
    <phoneticPr fontId="2" type="noConversion"/>
  </si>
  <si>
    <t>纸巾</t>
    <phoneticPr fontId="2" type="noConversion"/>
  </si>
  <si>
    <t>阿托品</t>
    <phoneticPr fontId="2" type="noConversion"/>
  </si>
  <si>
    <t>房租+取暖</t>
    <phoneticPr fontId="2" type="noConversion"/>
  </si>
  <si>
    <t>电费</t>
    <phoneticPr fontId="2" type="noConversion"/>
  </si>
  <si>
    <t>猫瘟试纸</t>
    <phoneticPr fontId="2" type="noConversion"/>
  </si>
  <si>
    <t>液体钙</t>
    <phoneticPr fontId="2" type="noConversion"/>
  </si>
  <si>
    <t>七只小猫猫粮</t>
    <phoneticPr fontId="2" type="noConversion"/>
  </si>
  <si>
    <t>消毒液</t>
    <phoneticPr fontId="2" type="noConversion"/>
  </si>
  <si>
    <t>断奶服</t>
    <phoneticPr fontId="2" type="noConversion"/>
  </si>
  <si>
    <t>猫砂盆</t>
    <phoneticPr fontId="2" type="noConversion"/>
  </si>
  <si>
    <t>玩具</t>
    <phoneticPr fontId="2" type="noConversion"/>
  </si>
  <si>
    <t>沐浴露</t>
    <phoneticPr fontId="2" type="noConversion"/>
  </si>
  <si>
    <t>药</t>
    <phoneticPr fontId="2" type="noConversion"/>
  </si>
  <si>
    <t>疫苗</t>
    <phoneticPr fontId="2" type="noConversion"/>
  </si>
  <si>
    <t>保温内胆</t>
    <phoneticPr fontId="2" type="noConversion"/>
  </si>
  <si>
    <t>原本猫粮</t>
    <phoneticPr fontId="2" type="noConversion"/>
  </si>
  <si>
    <t>大熊家的凯米尔</t>
    <phoneticPr fontId="2" type="noConversion"/>
  </si>
  <si>
    <t>猫瘟单抗</t>
    <phoneticPr fontId="2" type="noConversion"/>
  </si>
  <si>
    <t>猫砂</t>
    <phoneticPr fontId="2" type="noConversion"/>
  </si>
  <si>
    <t>托运定金</t>
    <phoneticPr fontId="2" type="noConversion"/>
  </si>
  <si>
    <t>牛奶的12色公金渐层</t>
    <phoneticPr fontId="2" type="noConversion"/>
  </si>
  <si>
    <t>牛奶的11色公金渐层</t>
    <phoneticPr fontId="2" type="noConversion"/>
  </si>
  <si>
    <t>馒头的异瞳</t>
    <phoneticPr fontId="2" type="noConversion"/>
  </si>
  <si>
    <t>300家的蓝乳</t>
    <phoneticPr fontId="2" type="noConversion"/>
  </si>
  <si>
    <t>300家的三花</t>
    <phoneticPr fontId="2" type="noConversion"/>
  </si>
  <si>
    <t>大熊家的三花</t>
    <phoneticPr fontId="2" type="noConversion"/>
  </si>
  <si>
    <t>小馒头</t>
    <phoneticPr fontId="2" type="noConversion"/>
  </si>
  <si>
    <t>帅帅借配</t>
    <phoneticPr fontId="2" type="noConversion"/>
  </si>
  <si>
    <t>手套</t>
    <phoneticPr fontId="2" type="noConversion"/>
  </si>
  <si>
    <t>垃圾袋</t>
    <phoneticPr fontId="2" type="noConversion"/>
  </si>
  <si>
    <t>纸巾</t>
    <phoneticPr fontId="2" type="noConversion"/>
  </si>
  <si>
    <t>阿托品</t>
    <phoneticPr fontId="2" type="noConversion"/>
  </si>
  <si>
    <t>头孢</t>
    <phoneticPr fontId="2" type="noConversion"/>
  </si>
  <si>
    <t>垃圾桶</t>
    <phoneticPr fontId="2" type="noConversion"/>
  </si>
  <si>
    <t>纸碗</t>
    <phoneticPr fontId="2" type="noConversion"/>
  </si>
  <si>
    <t>剪刀</t>
    <phoneticPr fontId="2" type="noConversion"/>
  </si>
  <si>
    <t>KIMI</t>
    <phoneticPr fontId="2" type="noConversion"/>
  </si>
  <si>
    <t>体重秤</t>
    <phoneticPr fontId="2" type="noConversion"/>
  </si>
  <si>
    <t>扣板</t>
    <phoneticPr fontId="2" type="noConversion"/>
  </si>
  <si>
    <t>原本猫粮</t>
    <phoneticPr fontId="2" type="noConversion"/>
  </si>
  <si>
    <t>疫苗</t>
    <phoneticPr fontId="2" type="noConversion"/>
  </si>
  <si>
    <t>笼子</t>
    <phoneticPr fontId="2" type="noConversion"/>
  </si>
  <si>
    <t>玻璃胶</t>
    <phoneticPr fontId="2" type="noConversion"/>
  </si>
  <si>
    <t>扣板</t>
    <phoneticPr fontId="2" type="noConversion"/>
  </si>
  <si>
    <t>冻干</t>
    <phoneticPr fontId="2" type="noConversion"/>
  </si>
  <si>
    <t>药</t>
    <phoneticPr fontId="2" type="noConversion"/>
  </si>
  <si>
    <t>馒头治病</t>
    <phoneticPr fontId="2" type="noConversion"/>
  </si>
  <si>
    <t>奶粉</t>
    <phoneticPr fontId="2" type="noConversion"/>
  </si>
  <si>
    <t>垫子</t>
    <phoneticPr fontId="2" type="noConversion"/>
  </si>
  <si>
    <t>疫苗</t>
    <phoneticPr fontId="2" type="noConversion"/>
  </si>
  <si>
    <t>杂项</t>
    <phoneticPr fontId="2" type="noConversion"/>
  </si>
  <si>
    <t>2021第1季度</t>
  </si>
  <si>
    <t>2021第2季度</t>
  </si>
  <si>
    <t>2021第3季度</t>
  </si>
  <si>
    <t>2021第4季度</t>
  </si>
  <si>
    <t>2022第1季度</t>
  </si>
  <si>
    <t>2022第2季度</t>
  </si>
  <si>
    <t>2022第3季度</t>
  </si>
  <si>
    <t>2022第4季度</t>
  </si>
  <si>
    <t>腿腿的长腿金渐层母</t>
  </si>
  <si>
    <t>熊猫</t>
  </si>
  <si>
    <t>腿腿的老二</t>
  </si>
  <si>
    <t>牛奶</t>
  </si>
  <si>
    <t>牛奶的金渐层母</t>
  </si>
  <si>
    <t>小白送给好好</t>
  </si>
  <si>
    <t>两只金吉拉送给好好</t>
  </si>
  <si>
    <t>大速诺片</t>
  </si>
  <si>
    <t>补血肝精</t>
  </si>
  <si>
    <t>驱虫</t>
  </si>
  <si>
    <t>穿心莲</t>
  </si>
  <si>
    <t>清开灵</t>
  </si>
  <si>
    <t>阿米卡星</t>
  </si>
  <si>
    <t>庆大霉素</t>
  </si>
  <si>
    <t>安利泰</t>
  </si>
  <si>
    <t>林可霉素</t>
  </si>
  <si>
    <t>止血</t>
  </si>
  <si>
    <t>猫砂盆</t>
  </si>
  <si>
    <t>猫碗</t>
  </si>
  <si>
    <t>猫眼镜</t>
  </si>
  <si>
    <t>烘干箱</t>
  </si>
  <si>
    <t>车费</t>
  </si>
  <si>
    <t>喜马拉雅</t>
  </si>
  <si>
    <t>奶粉</t>
  </si>
  <si>
    <t>快递费</t>
  </si>
  <si>
    <t>电费</t>
  </si>
  <si>
    <t>胃管</t>
  </si>
  <si>
    <t>塑料盒</t>
  </si>
  <si>
    <t>猫瘟试纸</t>
  </si>
  <si>
    <t>航空箱</t>
  </si>
  <si>
    <t>太空舱</t>
  </si>
  <si>
    <t>帅帅借配</t>
  </si>
  <si>
    <t>日期</t>
  </si>
  <si>
    <t>出生数</t>
  </si>
  <si>
    <t>死亡数</t>
  </si>
  <si>
    <t>存活数</t>
  </si>
  <si>
    <t>寿司</t>
  </si>
  <si>
    <t>丁香色三花</t>
  </si>
  <si>
    <t>毛豆的孩子</t>
  </si>
  <si>
    <t>白猫</t>
  </si>
  <si>
    <t>馒头的黑白短毛</t>
  </si>
  <si>
    <t>馒头的黑白长毛</t>
  </si>
  <si>
    <t>花花的乳白公</t>
  </si>
  <si>
    <t>品种</t>
  </si>
  <si>
    <t>英短</t>
  </si>
  <si>
    <t>布偶</t>
  </si>
  <si>
    <t>金渐层</t>
  </si>
  <si>
    <t>德文</t>
  </si>
  <si>
    <t>银渐层</t>
  </si>
  <si>
    <t>金血银渐层公</t>
  </si>
  <si>
    <t>借配</t>
  </si>
  <si>
    <t>美短</t>
  </si>
  <si>
    <t>加菲</t>
  </si>
  <si>
    <t>金吉拉</t>
  </si>
  <si>
    <t>赛尔凯克</t>
  </si>
  <si>
    <t>柯尼斯</t>
  </si>
  <si>
    <t>寿司的鱼骨刺</t>
  </si>
  <si>
    <t>奶酪的银渐层</t>
  </si>
  <si>
    <t>月芽</t>
  </si>
  <si>
    <t>小屁的孩子</t>
  </si>
  <si>
    <t>来源</t>
  </si>
  <si>
    <t>寶寳</t>
  </si>
  <si>
    <t>成交价</t>
  </si>
  <si>
    <t>店铺利润</t>
  </si>
  <si>
    <t>房间</t>
  </si>
  <si>
    <t>猫舍的三个铁笼</t>
  </si>
  <si>
    <t>妞妞</t>
  </si>
  <si>
    <t>排风扇</t>
  </si>
  <si>
    <t>抽纸</t>
  </si>
  <si>
    <t>慢呼停</t>
  </si>
  <si>
    <t>头孢</t>
  </si>
  <si>
    <t>疫苗</t>
  </si>
  <si>
    <t>笼子</t>
  </si>
  <si>
    <t>好好猫运费</t>
  </si>
  <si>
    <t>拉稀止吐</t>
  </si>
  <si>
    <t>猫粮+罐头</t>
  </si>
  <si>
    <t>狂犬疫苗</t>
  </si>
  <si>
    <t>顺风车</t>
  </si>
  <si>
    <t>马克西金红瓶</t>
  </si>
  <si>
    <t>打氧机</t>
  </si>
  <si>
    <t>房租</t>
  </si>
  <si>
    <t>湖北运费</t>
  </si>
  <si>
    <t>杨树花</t>
  </si>
  <si>
    <t>太空包</t>
  </si>
  <si>
    <t>剃毛机</t>
  </si>
  <si>
    <t>保温内胆</t>
  </si>
  <si>
    <t>纸壳箱</t>
  </si>
  <si>
    <t>尿垫</t>
  </si>
  <si>
    <t>保温外套</t>
  </si>
  <si>
    <t>小笼子</t>
  </si>
  <si>
    <t>菲菲的三只渐层三花</t>
  </si>
  <si>
    <t>琉璃的金渐层</t>
  </si>
  <si>
    <t>产妇数量</t>
  </si>
  <si>
    <t>订制猫笼</t>
  </si>
  <si>
    <t>小屁的布偶</t>
  </si>
  <si>
    <t>蜜芽</t>
  </si>
  <si>
    <t>猫舍1F客厅</t>
  </si>
  <si>
    <t>猫舍1F大卧室</t>
  </si>
  <si>
    <t>小花花</t>
  </si>
  <si>
    <t>猫舍1F小卧室</t>
  </si>
  <si>
    <t>2019第1季度</t>
  </si>
  <si>
    <t>2019第2季度</t>
  </si>
  <si>
    <t>2019第3季度</t>
  </si>
  <si>
    <t>2019第4季度</t>
  </si>
  <si>
    <t>总计</t>
  </si>
  <si>
    <t>南希的布偶</t>
  </si>
  <si>
    <t>南希店租金</t>
  </si>
  <si>
    <t>南希店猫笼</t>
  </si>
  <si>
    <t>滴眼液</t>
  </si>
  <si>
    <t>手套</t>
  </si>
  <si>
    <t>推车</t>
  </si>
  <si>
    <t>插头</t>
  </si>
  <si>
    <t>电线</t>
  </si>
  <si>
    <t>小扫把</t>
  </si>
  <si>
    <t>3M不粘胶</t>
  </si>
  <si>
    <t>储物柜</t>
  </si>
  <si>
    <t>玻璃刀</t>
  </si>
  <si>
    <t>垃圾袋</t>
  </si>
  <si>
    <t>防撞贴</t>
  </si>
  <si>
    <t>营养膏</t>
  </si>
  <si>
    <t>麦田金渐层</t>
  </si>
  <si>
    <t>滴滴</t>
  </si>
  <si>
    <t>货拉拉</t>
  </si>
  <si>
    <t>脚垫</t>
  </si>
  <si>
    <t>猫粮桶</t>
  </si>
  <si>
    <t>C3猫粮</t>
  </si>
  <si>
    <t>南希</t>
  </si>
  <si>
    <t>琉璃</t>
  </si>
  <si>
    <t>好好养的小美的黑白孩子</t>
  </si>
  <si>
    <t>好好养的小屁的布偶</t>
  </si>
  <si>
    <t>小美的黑白</t>
  </si>
  <si>
    <t>预估成本</t>
  </si>
  <si>
    <t>店铺总利润</t>
  </si>
  <si>
    <t>尖尖的小手套</t>
  </si>
  <si>
    <t>尖尖的手套</t>
  </si>
  <si>
    <t>南希店5月份猫粮成本</t>
  </si>
  <si>
    <t>垃圾桶</t>
  </si>
  <si>
    <t>浴盆</t>
  </si>
  <si>
    <t>凳子</t>
  </si>
  <si>
    <t>换风机</t>
  </si>
  <si>
    <t>运费</t>
  </si>
  <si>
    <t>拜有利</t>
  </si>
  <si>
    <t>消炎药</t>
  </si>
  <si>
    <t>猫罐头</t>
  </si>
  <si>
    <t>地毯</t>
  </si>
  <si>
    <t>猫笼</t>
  </si>
  <si>
    <t>猫爬架</t>
  </si>
  <si>
    <t>猫藓灯</t>
  </si>
  <si>
    <t>卖给麦田的两个笼子</t>
  </si>
  <si>
    <t>开发区买的金点</t>
  </si>
  <si>
    <t>开发区金点</t>
  </si>
  <si>
    <t>麦田家的金渐层</t>
  </si>
  <si>
    <t>牛奶的两只金渐层</t>
  </si>
  <si>
    <t>德文串</t>
  </si>
  <si>
    <t>麦田家的拿破仑</t>
  </si>
  <si>
    <t>麦田家的长毛银点</t>
  </si>
  <si>
    <t>拿破仑</t>
  </si>
  <si>
    <t>体内外驱虫</t>
  </si>
  <si>
    <t>小仙</t>
  </si>
  <si>
    <t>憨憨</t>
  </si>
  <si>
    <t>菲菲的金渐层</t>
  </si>
  <si>
    <t>小巧</t>
  </si>
  <si>
    <t>腿腿的矮脚公</t>
  </si>
  <si>
    <t>阿比</t>
  </si>
  <si>
    <t>花花的蓝白长毛母</t>
  </si>
  <si>
    <t>拉菲</t>
  </si>
  <si>
    <t>类型</t>
  </si>
  <si>
    <t>种公</t>
  </si>
  <si>
    <t>种母</t>
  </si>
  <si>
    <t>波斯</t>
  </si>
  <si>
    <t>珊瑚</t>
  </si>
  <si>
    <t>小花花的矮脚三花金</t>
  </si>
  <si>
    <t>小花花的三花金</t>
  </si>
  <si>
    <t>瑶瑶家的乳白</t>
  </si>
  <si>
    <t>蜜芽的重点色加白</t>
  </si>
  <si>
    <t>糖糖</t>
  </si>
  <si>
    <t>6度眼的银点</t>
  </si>
  <si>
    <t>止吐药</t>
  </si>
  <si>
    <t>冻干</t>
  </si>
  <si>
    <t>退烧药</t>
  </si>
  <si>
    <t>好好运费</t>
  </si>
  <si>
    <t>药浴</t>
  </si>
  <si>
    <t>猫抓板</t>
  </si>
  <si>
    <t>沐浴露</t>
  </si>
  <si>
    <t>妙多乐猫粮</t>
  </si>
  <si>
    <t>七只小猫猫粮</t>
  </si>
  <si>
    <t>利尿通</t>
  </si>
  <si>
    <t>消毒水</t>
  </si>
  <si>
    <t>兰博导尿</t>
  </si>
  <si>
    <t>兰博药</t>
  </si>
  <si>
    <t>打车</t>
  </si>
  <si>
    <t>干扰素</t>
  </si>
  <si>
    <t>跳蚤药</t>
  </si>
  <si>
    <t>饮水器</t>
  </si>
  <si>
    <t>成交总计</t>
  </si>
  <si>
    <t>成交数量</t>
  </si>
  <si>
    <t>泉水拿的蓝金渐层</t>
  </si>
  <si>
    <t>南希的丑布偶</t>
  </si>
  <si>
    <t>退的房租</t>
  </si>
  <si>
    <t>南希自己家的无毛</t>
  </si>
  <si>
    <t>寶寳收入</t>
  </si>
  <si>
    <t>南希收入</t>
  </si>
  <si>
    <t>南希的猫</t>
  </si>
  <si>
    <t>寶寳的猫</t>
  </si>
  <si>
    <t>南希的猫总价</t>
  </si>
  <si>
    <t>寶寳的猫总价</t>
  </si>
  <si>
    <t>南希总收入</t>
  </si>
  <si>
    <t>寶寳总收入</t>
  </si>
  <si>
    <t>寶寳成本</t>
  </si>
  <si>
    <t>无毛猫</t>
  </si>
  <si>
    <t>名称</t>
  </si>
  <si>
    <t>猫柜</t>
  </si>
  <si>
    <t>租金</t>
  </si>
  <si>
    <t>蜜芽的乳白</t>
  </si>
  <si>
    <t>南希丑三花</t>
  </si>
  <si>
    <t>南希的小美短</t>
  </si>
  <si>
    <t>南希的美短</t>
  </si>
  <si>
    <t>No.4</t>
  </si>
  <si>
    <t>南瓜的拿破仑订金</t>
  </si>
  <si>
    <t>小豆包</t>
  </si>
  <si>
    <t>粘豆包</t>
  </si>
  <si>
    <t>给邻居接种两针疫苗</t>
  </si>
  <si>
    <t>No.5</t>
  </si>
  <si>
    <t>No.6</t>
  </si>
  <si>
    <t>No.7</t>
  </si>
  <si>
    <t>No.8</t>
  </si>
  <si>
    <t>No.9</t>
  </si>
  <si>
    <t>No.10</t>
  </si>
  <si>
    <t>窝数</t>
  </si>
  <si>
    <t>腿腿的菊渐层</t>
  </si>
  <si>
    <t>驱虫药</t>
  </si>
  <si>
    <t>体外驱虫</t>
  </si>
  <si>
    <t>消毒液</t>
  </si>
  <si>
    <t>营养液</t>
  </si>
  <si>
    <t>罐头</t>
  </si>
  <si>
    <t>去跳蚤</t>
  </si>
  <si>
    <t>黑板</t>
  </si>
  <si>
    <t>纸巾</t>
  </si>
  <si>
    <t>配猫垫</t>
  </si>
  <si>
    <t>电池</t>
  </si>
  <si>
    <t>插线板</t>
  </si>
  <si>
    <t>利尿</t>
  </si>
  <si>
    <t>出售渠道</t>
  </si>
  <si>
    <t>咸鱼</t>
  </si>
  <si>
    <t>个人</t>
  </si>
  <si>
    <t>猫舍</t>
  </si>
  <si>
    <t>代理</t>
  </si>
  <si>
    <t>好好银渐层</t>
  </si>
  <si>
    <t>店铺</t>
  </si>
  <si>
    <t>玲珑的丑英短</t>
  </si>
  <si>
    <t>如意的两个孩子</t>
  </si>
  <si>
    <t>卖猫</t>
  </si>
  <si>
    <t>玲珑的丑孩子</t>
  </si>
  <si>
    <t>南希的无毛猫</t>
  </si>
  <si>
    <t>南希的缅因</t>
  </si>
  <si>
    <t>缅因</t>
  </si>
  <si>
    <t>麦田的巧克力金</t>
  </si>
  <si>
    <t>猫粮+猫砂都成本</t>
  </si>
  <si>
    <t>南希的丑猫</t>
  </si>
  <si>
    <t>YOYO</t>
  </si>
  <si>
    <t>菠萝</t>
  </si>
  <si>
    <t>二狗</t>
  </si>
  <si>
    <t>咖啡豆</t>
  </si>
  <si>
    <t>南瓜的三花金加白</t>
  </si>
  <si>
    <t>双碗</t>
  </si>
  <si>
    <t>拖布</t>
  </si>
  <si>
    <t>扫帚</t>
  </si>
  <si>
    <t>拖鞋</t>
  </si>
  <si>
    <t>湿巾</t>
  </si>
  <si>
    <t>盐水+头孢</t>
  </si>
  <si>
    <t>大桶水</t>
  </si>
  <si>
    <t>臭氧机</t>
  </si>
  <si>
    <t>猫藓喷剂</t>
  </si>
  <si>
    <t>除螨</t>
  </si>
  <si>
    <t>伊曲康唑</t>
  </si>
  <si>
    <t>多西环素</t>
  </si>
  <si>
    <t>发财的药</t>
  </si>
  <si>
    <t>猫包</t>
  </si>
  <si>
    <t>猫床</t>
  </si>
  <si>
    <t>化毛膏</t>
  </si>
  <si>
    <t>梳子</t>
  </si>
  <si>
    <t>剃毛</t>
  </si>
  <si>
    <t>妙鲜包</t>
  </si>
  <si>
    <t>乳铁蛋白</t>
  </si>
  <si>
    <t>二狗医药费</t>
  </si>
  <si>
    <t>咖啡豆的丑孩子</t>
  </si>
  <si>
    <t>利润</t>
  </si>
  <si>
    <t>好好的白拿破仑</t>
  </si>
  <si>
    <t>好好的白猫</t>
  </si>
  <si>
    <t>大熊</t>
  </si>
  <si>
    <t>小熊猫</t>
  </si>
  <si>
    <t>南希的丑美短</t>
  </si>
  <si>
    <t>花花的乳拿破仑</t>
  </si>
  <si>
    <t>放金州的南希无毛猫</t>
  </si>
  <si>
    <t>同事买药</t>
  </si>
  <si>
    <t>猫粮钱</t>
  </si>
  <si>
    <t>玲珑的高地蓝白</t>
  </si>
  <si>
    <t>奶酪的银点</t>
  </si>
  <si>
    <t>店铺猫粮</t>
  </si>
  <si>
    <t>抑制发情</t>
  </si>
  <si>
    <t>店铺罐头</t>
  </si>
  <si>
    <t>金州猫粮</t>
  </si>
  <si>
    <t>针</t>
  </si>
  <si>
    <t>猫条</t>
  </si>
  <si>
    <t>抹布</t>
  </si>
  <si>
    <t>小巧的丑公</t>
  </si>
  <si>
    <t>咖啡豆的孩子</t>
  </si>
  <si>
    <t>阿比的重点色</t>
  </si>
  <si>
    <t>好好的黑白</t>
  </si>
  <si>
    <t>店里441</t>
  </si>
  <si>
    <t>店里药</t>
  </si>
  <si>
    <t>乳癖消+体温计</t>
  </si>
  <si>
    <t>南京客户赠送猫粮</t>
  </si>
  <si>
    <t>小区中秋赠送猫砂</t>
  </si>
  <si>
    <t>土豆中秋赠送猫砂</t>
  </si>
  <si>
    <t>好好中秋赠送猫砂</t>
  </si>
  <si>
    <t>阿奇霉素</t>
  </si>
  <si>
    <t>盐水</t>
  </si>
  <si>
    <t>科特壮</t>
  </si>
  <si>
    <t>喂药器</t>
  </si>
  <si>
    <t>切药器</t>
  </si>
  <si>
    <t>折叠桌</t>
  </si>
  <si>
    <t>阿莫西林</t>
  </si>
  <si>
    <t>小巧的丁香</t>
  </si>
  <si>
    <t>玲珑的丁香</t>
  </si>
  <si>
    <t>憨憨的橘白</t>
  </si>
  <si>
    <t>去黄疸</t>
  </si>
  <si>
    <t>南希的银点长毛</t>
  </si>
  <si>
    <t>南希的金虎斑长毛</t>
  </si>
  <si>
    <t>憨憨的歪嘴孩子</t>
  </si>
  <si>
    <t>糖糖的长毛母</t>
  </si>
  <si>
    <t>腿腿的矮脚公附带猫砂和碗</t>
  </si>
  <si>
    <t>种公数量</t>
  </si>
  <si>
    <t>种母数量</t>
  </si>
  <si>
    <t>预备种公数量</t>
  </si>
  <si>
    <t>预备种母数量</t>
  </si>
  <si>
    <t>奶猫数量(3个月以下)</t>
  </si>
  <si>
    <t>库存猫数量(3个月以上)</t>
  </si>
  <si>
    <t>种公数</t>
  </si>
  <si>
    <t>种母数</t>
  </si>
  <si>
    <t>其它猫数</t>
  </si>
  <si>
    <t>库存猫</t>
  </si>
  <si>
    <t>猫总数</t>
  </si>
  <si>
    <t>抽湿机</t>
  </si>
  <si>
    <t>洗衣机</t>
  </si>
  <si>
    <t>发情针</t>
  </si>
  <si>
    <t>441给南锡</t>
  </si>
  <si>
    <t>鸡胸肉</t>
  </si>
  <si>
    <t>酵母片</t>
  </si>
  <si>
    <t>多酶片</t>
  </si>
  <si>
    <t>给发财家的药</t>
  </si>
  <si>
    <t>给南锡买针</t>
  </si>
  <si>
    <t>注射器</t>
  </si>
  <si>
    <t>开发区金渐层</t>
  </si>
  <si>
    <t>给南锡买的干扰素</t>
  </si>
  <si>
    <t>给南锡买的止吐</t>
  </si>
  <si>
    <t>给南锡买的试纸</t>
  </si>
  <si>
    <t>家里的试纸</t>
  </si>
  <si>
    <t>给南锡买的罐头</t>
  </si>
  <si>
    <t>止吐止咳</t>
  </si>
  <si>
    <t>给同学买的猫砂</t>
  </si>
  <si>
    <t>给发财买的干扰素</t>
  </si>
  <si>
    <t>给发财买的针</t>
  </si>
  <si>
    <t>给发财买的止咳</t>
  </si>
  <si>
    <t>给发财买的补血肝精</t>
  </si>
  <si>
    <t>给发财买的多西环素</t>
  </si>
  <si>
    <t>给发财买的速诺</t>
  </si>
  <si>
    <t>给发财的红包</t>
  </si>
  <si>
    <t>打车费</t>
  </si>
  <si>
    <t>长毛金的导尿</t>
  </si>
  <si>
    <t>长毛金的血常规</t>
  </si>
  <si>
    <t>长毛金的滞留针</t>
  </si>
  <si>
    <t>长毛金的生化</t>
  </si>
  <si>
    <t>店里的猫粮</t>
  </si>
  <si>
    <t>店里的猫砂</t>
  </si>
  <si>
    <t>七只小猫的猫粮</t>
  </si>
  <si>
    <t>买的药</t>
  </si>
  <si>
    <t>香菜</t>
  </si>
  <si>
    <t>3</t>
  </si>
  <si>
    <t>YUKI的短毛11色金</t>
  </si>
  <si>
    <t>1</t>
  </si>
  <si>
    <t>尖尖</t>
  </si>
  <si>
    <t>麦田家的银点</t>
  </si>
  <si>
    <t>酒精</t>
  </si>
  <si>
    <t>狗蛋冻干</t>
  </si>
  <si>
    <t>猫粮金州</t>
  </si>
  <si>
    <t>猫砂金州</t>
  </si>
  <si>
    <t>美士猫粮</t>
  </si>
  <si>
    <t>赠送猫粮</t>
  </si>
  <si>
    <t>88VIP</t>
  </si>
  <si>
    <t>狗蛋罐头</t>
  </si>
  <si>
    <t>GO猫粮</t>
  </si>
  <si>
    <t>零食和玩具</t>
  </si>
  <si>
    <t>膨润土猫砂</t>
  </si>
  <si>
    <t>豆腐猫砂</t>
  </si>
  <si>
    <t>混合猫砂</t>
  </si>
  <si>
    <t>给店里买的罐头</t>
  </si>
  <si>
    <t>给店里买的干扰素</t>
  </si>
  <si>
    <t>航空箱外套</t>
  </si>
  <si>
    <t>猫衣服</t>
  </si>
  <si>
    <t>店里的猫碗</t>
  </si>
  <si>
    <t>邮费</t>
  </si>
  <si>
    <t>赠送的猫砂</t>
  </si>
  <si>
    <t>狗蛋的妙鲜包</t>
  </si>
  <si>
    <t>杜邦卫可消毒液</t>
  </si>
  <si>
    <t>麦田家的两只金渐层送回去</t>
  </si>
  <si>
    <t>店铺消毒液</t>
  </si>
  <si>
    <t>七只小猫</t>
  </si>
  <si>
    <t>寿司的银长</t>
  </si>
  <si>
    <t>寿司的黑金</t>
  </si>
  <si>
    <t>玲珑</t>
  </si>
  <si>
    <t>小熊猫的孩子</t>
  </si>
  <si>
    <t>好好的丑布偶</t>
  </si>
  <si>
    <t>咖啡豆给麦田</t>
  </si>
  <si>
    <t>买的布偶</t>
  </si>
  <si>
    <t>腿腿的黑金</t>
  </si>
  <si>
    <t>如意的纯蓝</t>
  </si>
  <si>
    <t>阿比的大橘</t>
  </si>
  <si>
    <t>奶酪的孩子</t>
  </si>
  <si>
    <t>卖药</t>
  </si>
  <si>
    <t>卖猫粮</t>
  </si>
  <si>
    <t>航空箱内胆</t>
  </si>
  <si>
    <t>店里猫粮</t>
  </si>
  <si>
    <t>店里猫砂</t>
  </si>
  <si>
    <t>店里电费</t>
  </si>
  <si>
    <t>给土豆猫砂</t>
  </si>
  <si>
    <t>口服疫苗</t>
  </si>
  <si>
    <t>给兜兜齿买猫砂</t>
  </si>
  <si>
    <t>速诺</t>
  </si>
  <si>
    <t>珊瑚孩子治病</t>
  </si>
  <si>
    <t>氨苄西林钠</t>
  </si>
  <si>
    <t>菠萝包的长毛金</t>
  </si>
  <si>
    <t>菠萝包</t>
  </si>
  <si>
    <t>菠萝蜜</t>
  </si>
  <si>
    <t>德文的两只无毛猫</t>
  </si>
  <si>
    <t>粘豆包的孩子</t>
  </si>
  <si>
    <t>咖啡豆的长毛订金</t>
  </si>
  <si>
    <t>麦田家疫苗换6袋七只小猫</t>
  </si>
  <si>
    <t>退老婆同学疫苗</t>
  </si>
  <si>
    <t>常用药</t>
  </si>
  <si>
    <t>不常用药</t>
  </si>
  <si>
    <t>消耗品</t>
  </si>
  <si>
    <t>治疗费</t>
  </si>
  <si>
    <t>昂乐欣</t>
  </si>
  <si>
    <t>给邻居打441</t>
  </si>
  <si>
    <t>卖给好好猫柜</t>
  </si>
  <si>
    <t>开发区家的蓝金渐层</t>
  </si>
  <si>
    <t>店里罐头</t>
  </si>
  <si>
    <t>垫子</t>
  </si>
  <si>
    <t>店里干扰素</t>
  </si>
  <si>
    <t>给同学的猫藓药</t>
  </si>
  <si>
    <t>店铺猫砂</t>
  </si>
  <si>
    <t>小花花的三只猫</t>
  </si>
  <si>
    <t>寿司的四只丑猫</t>
  </si>
  <si>
    <t>南希猫卖给瑶瑶</t>
  </si>
  <si>
    <t>咖啡豆的短毛</t>
  </si>
  <si>
    <t>丑德文的孩子</t>
  </si>
  <si>
    <t>店里买药</t>
  </si>
  <si>
    <t>狗蛋猫粮</t>
  </si>
  <si>
    <t>猫柜配件</t>
  </si>
  <si>
    <t>好好家运费</t>
  </si>
  <si>
    <t>屎壳郎住院费</t>
  </si>
  <si>
    <t>瑶瑶路费</t>
  </si>
  <si>
    <t>缺角缅因</t>
  </si>
  <si>
    <t>南希的缺角缅因</t>
  </si>
  <si>
    <t>牛奶的虎斑金</t>
  </si>
  <si>
    <t>拜有利口服</t>
  </si>
  <si>
    <t>拉肚</t>
  </si>
  <si>
    <t>眼药水</t>
  </si>
  <si>
    <t>消毒枪</t>
  </si>
  <si>
    <t>白板</t>
  </si>
  <si>
    <t>金州的猫笼</t>
  </si>
  <si>
    <t>寿司的长毛金公卖给开发区</t>
  </si>
  <si>
    <t>开发区猫顺风车</t>
  </si>
  <si>
    <t>店铺过节费</t>
  </si>
  <si>
    <t>橙子</t>
  </si>
  <si>
    <t>南瓜的三只猫</t>
  </si>
  <si>
    <t>月芽的两只</t>
  </si>
  <si>
    <t>菠萝包的虎斑金</t>
  </si>
  <si>
    <t>腿腿的拿破仑蓝猫</t>
  </si>
  <si>
    <t>开发区买的金加白</t>
  </si>
  <si>
    <t>玲珑的乳色拿破仑</t>
  </si>
  <si>
    <t>开发区换的长毛金公</t>
  </si>
  <si>
    <t>开发区家的金渐层</t>
  </si>
  <si>
    <t>南瓜</t>
  </si>
  <si>
    <t>憨憨的孩子</t>
  </si>
  <si>
    <t>蜜芽的两只乳白给麦田</t>
  </si>
  <si>
    <t>花花的手套蓝猫</t>
  </si>
  <si>
    <t>给南锡的房租</t>
  </si>
  <si>
    <t>杯状疫苗</t>
  </si>
  <si>
    <t>奶嘴</t>
  </si>
  <si>
    <t>咸鱼刷单</t>
  </si>
  <si>
    <t>1月2月店铺猫粮猫砂</t>
  </si>
  <si>
    <t>7袋七只小猫</t>
  </si>
  <si>
    <t>赚兜兜齿的运费</t>
  </si>
  <si>
    <t>发财的托管费</t>
  </si>
  <si>
    <t>赚异瞳的运费</t>
  </si>
  <si>
    <t>赚发财家的运费</t>
  </si>
  <si>
    <t>卖驱虫药</t>
  </si>
  <si>
    <t>刷子</t>
  </si>
  <si>
    <t>配猫架</t>
  </si>
  <si>
    <t>南希的凯米尔金</t>
  </si>
  <si>
    <t>南希的矮脚</t>
  </si>
  <si>
    <t>南希的丑矮脚</t>
  </si>
  <si>
    <t>香蕉</t>
  </si>
  <si>
    <t>Pigi</t>
  </si>
  <si>
    <t>已经记录了卖441的720</t>
  </si>
  <si>
    <t>三文鱼</t>
  </si>
  <si>
    <t>傻蛋</t>
  </si>
  <si>
    <t>粘豆包的25金+金点</t>
  </si>
  <si>
    <t>小巧的乳白长毛</t>
  </si>
  <si>
    <t>阳台置物架</t>
  </si>
  <si>
    <t>KIMI的肾康</t>
  </si>
  <si>
    <t>KIMI的补肾营养</t>
  </si>
  <si>
    <t>牛心</t>
  </si>
  <si>
    <t>果果孩子打车费</t>
  </si>
  <si>
    <t>店铺猫瘟单抗</t>
  </si>
  <si>
    <t>店铺干扰素</t>
  </si>
  <si>
    <t>店铺止吐</t>
  </si>
  <si>
    <t>店铺止泻</t>
  </si>
  <si>
    <t>猫瘟抑制蛋白</t>
  </si>
  <si>
    <t>腿腿的矮脚蓝猫</t>
  </si>
  <si>
    <t>土豆</t>
  </si>
  <si>
    <t>猫妈</t>
  </si>
  <si>
    <t>窝次</t>
  </si>
  <si>
    <t>腿腿</t>
  </si>
  <si>
    <t>2</t>
  </si>
  <si>
    <t>4</t>
  </si>
  <si>
    <t>5</t>
  </si>
  <si>
    <t>奶酪</t>
  </si>
  <si>
    <t>馒头</t>
  </si>
  <si>
    <t>菲菲</t>
  </si>
  <si>
    <t>花花</t>
  </si>
  <si>
    <t>如意</t>
  </si>
  <si>
    <t>YUKI</t>
  </si>
  <si>
    <t>季度个人</t>
  </si>
  <si>
    <t>季度代理</t>
  </si>
  <si>
    <t>季度猫舍</t>
  </si>
  <si>
    <t>季度店铺</t>
  </si>
  <si>
    <t>季度咸鱼</t>
  </si>
  <si>
    <t>季度均价</t>
  </si>
  <si>
    <t>季度单窝存活数</t>
  </si>
  <si>
    <t>季度存活率</t>
  </si>
  <si>
    <t>每月总计</t>
  </si>
  <si>
    <t>.</t>
  </si>
  <si>
    <t>腿腿的两只矮脚</t>
  </si>
  <si>
    <t>腿腿的两只蓝猫</t>
  </si>
  <si>
    <t>店铺的电费</t>
  </si>
  <si>
    <t>小巧给瑶瑶</t>
  </si>
  <si>
    <t>珊瑚给瑶瑶</t>
  </si>
  <si>
    <t>口服441</t>
  </si>
  <si>
    <t>店铺的利尿通</t>
  </si>
  <si>
    <t>绿安康消毒</t>
  </si>
  <si>
    <t>40支疫苗</t>
  </si>
  <si>
    <t>止泻</t>
  </si>
  <si>
    <t>库存猫数</t>
  </si>
  <si>
    <t>奶猫数(3个月以下)</t>
  </si>
  <si>
    <t>牛奶的12色金渐层</t>
  </si>
  <si>
    <t>C3猫粮给瑶瑶</t>
  </si>
  <si>
    <t>月芽的蓝白樊色</t>
  </si>
  <si>
    <t>月芽的蓝白母</t>
  </si>
  <si>
    <t>橘子</t>
  </si>
  <si>
    <t>置物架</t>
  </si>
  <si>
    <t>喵喵康</t>
  </si>
  <si>
    <t>猫藓喷瓶</t>
  </si>
  <si>
    <t>棉片</t>
  </si>
  <si>
    <t>兰博医疗费</t>
  </si>
  <si>
    <t>C3猫粮4袋</t>
  </si>
  <si>
    <t>8袋冻干粮</t>
  </si>
  <si>
    <t>地瓜</t>
  </si>
  <si>
    <t>果果的金渐层</t>
  </si>
  <si>
    <t>香菜的虎斑</t>
  </si>
  <si>
    <t>果果</t>
  </si>
  <si>
    <t>好好的金白</t>
  </si>
  <si>
    <t>糖糖的长毛银渐层</t>
  </si>
  <si>
    <t>pigi</t>
  </si>
  <si>
    <t>金白</t>
  </si>
  <si>
    <t>月芽的乳白公</t>
  </si>
  <si>
    <t>疫苗附带品</t>
  </si>
  <si>
    <t>珊瑚的两个孩子给好好</t>
  </si>
  <si>
    <t>帅帅</t>
  </si>
  <si>
    <t>菠萝包的长毛金给好好</t>
  </si>
  <si>
    <t>腿腿的蓝猫</t>
  </si>
  <si>
    <t>麦田家的矮脚银</t>
  </si>
  <si>
    <t>接地瓜打车费</t>
  </si>
  <si>
    <t>拍照地毯</t>
  </si>
  <si>
    <t>拍照背景布</t>
  </si>
  <si>
    <t>背景挂架</t>
  </si>
  <si>
    <t>珊瑚的火焰色</t>
  </si>
  <si>
    <t>小巧的金三花给瑶瑶</t>
  </si>
  <si>
    <t>C3猫粮5袋</t>
  </si>
  <si>
    <t>小灰灰的两只黑金</t>
  </si>
  <si>
    <t>小灰灰</t>
  </si>
  <si>
    <t>果果的孩子</t>
  </si>
  <si>
    <t>粘豆包的两只25金给瑶瑶</t>
  </si>
  <si>
    <t>泌尿粮</t>
  </si>
  <si>
    <t>送店铺车费</t>
  </si>
  <si>
    <t>送瑶瑶车费</t>
  </si>
  <si>
    <t>南希的丑无毛</t>
  </si>
  <si>
    <t>四月</t>
  </si>
  <si>
    <t>皇家处方粮</t>
  </si>
  <si>
    <t>粘豆包的虎斑金矮脚</t>
  </si>
  <si>
    <t>粘豆包的矮脚虎斑金</t>
  </si>
  <si>
    <t>小狗蛋儿</t>
  </si>
  <si>
    <t>珊瑚的布偶</t>
  </si>
  <si>
    <t>丑布偶</t>
  </si>
  <si>
    <t>丑不拉几的猫</t>
  </si>
  <si>
    <t>粘豆包的金点矮脚定金</t>
  </si>
  <si>
    <t>小灰灰的高地定金</t>
  </si>
  <si>
    <t>消毒片</t>
  </si>
  <si>
    <t>赠送猫砂</t>
  </si>
  <si>
    <t>猫粮试吃装</t>
  </si>
  <si>
    <t>店里猫粮猫砂</t>
  </si>
  <si>
    <t>店铺管理费</t>
  </si>
  <si>
    <t>猫粮猫砂</t>
  </si>
  <si>
    <t>管理费</t>
  </si>
  <si>
    <t>卖猫砂</t>
  </si>
  <si>
    <t>店铺租金</t>
  </si>
  <si>
    <t>爱丽丝猫砂盆</t>
  </si>
  <si>
    <t xml:space="preserve">quchong </t>
  </si>
  <si>
    <t>月芽的两个孩子</t>
  </si>
  <si>
    <t>果果的两个孩子</t>
  </si>
  <si>
    <t>白拿破仑</t>
  </si>
  <si>
    <t>白拿破仑的两个孩子</t>
  </si>
  <si>
    <t>点点</t>
  </si>
  <si>
    <t>名片</t>
  </si>
  <si>
    <t>店里七只小猫</t>
  </si>
  <si>
    <t>泌尿七只小猫</t>
  </si>
  <si>
    <t>奶糕七只小猫</t>
  </si>
  <si>
    <t>消毒</t>
  </si>
  <si>
    <t>店里泌尿</t>
  </si>
  <si>
    <t>对缝</t>
  </si>
  <si>
    <t>屁股布偶</t>
  </si>
  <si>
    <t>南希无毛</t>
  </si>
  <si>
    <t>南希缅因</t>
  </si>
  <si>
    <t>Pigi布偶</t>
  </si>
  <si>
    <t>泌尿</t>
  </si>
  <si>
    <t>小豆包的金点</t>
  </si>
  <si>
    <t>小豆包的矮脚金</t>
  </si>
  <si>
    <t>YUKI的11色金渐层公</t>
  </si>
  <si>
    <t>果果的银白矮脚给瑶瑶</t>
  </si>
  <si>
    <t>粘豆包给瑶瑶</t>
  </si>
  <si>
    <t>粘豆包的金渐层给瑶瑶</t>
  </si>
  <si>
    <t>傻蛋的银白给瑶瑶</t>
  </si>
  <si>
    <t>三文鱼的金渐层给瑶瑶</t>
  </si>
  <si>
    <t>果果的长脚银给瑶瑶</t>
  </si>
  <si>
    <t>小豆包的长毛金渐层</t>
  </si>
  <si>
    <t>咖啡的第二窝金渐层</t>
  </si>
  <si>
    <t>咖啡</t>
  </si>
  <si>
    <t>二狗的两只金渐层</t>
  </si>
  <si>
    <t>咖啡的两只短毛给好好</t>
  </si>
  <si>
    <t>咖啡的长毛给兜兜齿</t>
  </si>
  <si>
    <t>小灰灰的长毛银白给兜兜齿</t>
  </si>
  <si>
    <t>小豆包的金渐层给兜兜齿</t>
  </si>
  <si>
    <t>咖啡豆的长毛金</t>
  </si>
  <si>
    <t>南瓜的拿破仑三花</t>
  </si>
  <si>
    <t>防应激</t>
  </si>
  <si>
    <t>除臭</t>
  </si>
  <si>
    <t>营养粉</t>
  </si>
  <si>
    <t>喷瓶</t>
  </si>
  <si>
    <t>手机支架</t>
  </si>
  <si>
    <t>屏风</t>
  </si>
  <si>
    <t>灯</t>
  </si>
  <si>
    <t>窗帘</t>
  </si>
  <si>
    <t>窗帘杆</t>
  </si>
  <si>
    <t>泛昔洛韦</t>
  </si>
  <si>
    <t>纸抽</t>
  </si>
  <si>
    <t>5米数据线</t>
  </si>
  <si>
    <t>绑带</t>
  </si>
  <si>
    <t>肠胃药</t>
  </si>
  <si>
    <t>皮蛋</t>
  </si>
  <si>
    <t>肠胃</t>
  </si>
  <si>
    <t>流浪猫</t>
  </si>
  <si>
    <t>奶糕粮</t>
  </si>
  <si>
    <t>店里尿闭</t>
  </si>
  <si>
    <t>送南关岭</t>
  </si>
  <si>
    <t>店里猫</t>
  </si>
  <si>
    <t>果果的银加白</t>
  </si>
  <si>
    <t>店里无毛</t>
  </si>
  <si>
    <t>傻蛋给瑶瑶</t>
  </si>
  <si>
    <t>傻蛋的金白和猫藓猫给瑶瑶</t>
  </si>
  <si>
    <t>点点给瑶瑶</t>
  </si>
  <si>
    <t>点点的长腿金给瑶瑶</t>
  </si>
  <si>
    <t>胖子给瑶瑶</t>
  </si>
  <si>
    <t>春风给瑶瑶</t>
  </si>
  <si>
    <t>四月的长毛金点给瑶瑶</t>
  </si>
  <si>
    <t>四月的金手套给瑶瑶</t>
  </si>
  <si>
    <t>猫藓膏</t>
  </si>
  <si>
    <t>滞留针</t>
  </si>
  <si>
    <t>大桶水猫碗</t>
  </si>
  <si>
    <t>医用胶带</t>
  </si>
  <si>
    <t>画</t>
  </si>
  <si>
    <t>未卡猫粮</t>
  </si>
  <si>
    <t>鱼油</t>
  </si>
  <si>
    <t>药(石韦片)</t>
  </si>
  <si>
    <t>胶带</t>
  </si>
  <si>
    <t>数据线转接头</t>
  </si>
  <si>
    <t>小屁股的孩子</t>
  </si>
  <si>
    <t>月芽的金白色块给瑶瑶</t>
  </si>
  <si>
    <t>巧克力</t>
  </si>
  <si>
    <t>菠萝蜜的长毛金</t>
  </si>
  <si>
    <t xml:space="preserve"> 年龄 </t>
  </si>
  <si>
    <t xml:space="preserve">      生日      </t>
  </si>
  <si>
    <t>店里垫子</t>
  </si>
  <si>
    <t>贵猫砂</t>
  </si>
  <si>
    <t>蜜袋鼯</t>
  </si>
  <si>
    <t>快递</t>
  </si>
  <si>
    <t>折叠窗帘</t>
  </si>
  <si>
    <t>显微镜</t>
  </si>
  <si>
    <t>花洒架</t>
  </si>
  <si>
    <t>显微镜镜头</t>
  </si>
  <si>
    <t>纸</t>
  </si>
  <si>
    <t>防水胶带</t>
  </si>
  <si>
    <t>果果矮脚</t>
  </si>
  <si>
    <t>瑶瑶笼子</t>
  </si>
  <si>
    <t>瑶瑶疫苗</t>
  </si>
  <si>
    <t>不知道啥猫</t>
  </si>
  <si>
    <t>月牙的金点加白</t>
  </si>
  <si>
    <t>小灰灰的矮脚银</t>
  </si>
  <si>
    <t>点点的矮脚</t>
  </si>
  <si>
    <t>咖啡的25色母</t>
  </si>
  <si>
    <t>点点的近百拿破仑</t>
  </si>
  <si>
    <t>小豆包的肥肥金渐层</t>
  </si>
  <si>
    <t>小灰灰的矮脚虎斑金</t>
  </si>
  <si>
    <t>小灰灰的虎斑金</t>
  </si>
  <si>
    <t>鸭蛋</t>
  </si>
  <si>
    <t>小灰灰给瑶瑶</t>
  </si>
  <si>
    <t>小灰灰的两个孩子给瑶瑶</t>
  </si>
  <si>
    <t>银点</t>
  </si>
  <si>
    <t>2023第1季度</t>
  </si>
  <si>
    <t>2023第2季度</t>
  </si>
  <si>
    <t>2023第3季度</t>
  </si>
  <si>
    <t>2023第4季度</t>
  </si>
  <si>
    <t>水壶</t>
  </si>
  <si>
    <t>擦眼纸</t>
  </si>
  <si>
    <t>挂钩</t>
  </si>
  <si>
    <t>米桶</t>
  </si>
  <si>
    <t>猫数量</t>
  </si>
  <si>
    <t>单位猫成本</t>
  </si>
  <si>
    <t xml:space="preserve"> 尿垫</t>
  </si>
  <si>
    <t>内胆</t>
  </si>
  <si>
    <t>消毒粉</t>
  </si>
  <si>
    <t>止吐</t>
  </si>
  <si>
    <t>猫砂铲</t>
  </si>
  <si>
    <t>基因检测</t>
  </si>
  <si>
    <t>暖贴</t>
  </si>
  <si>
    <t>代卖开发区家英短</t>
  </si>
  <si>
    <t>麦田家的银点3个孩子给瑶瑶</t>
  </si>
  <si>
    <t>橘子的金渐层</t>
  </si>
  <si>
    <t>宠物烘干机卖给瑶瑶</t>
  </si>
  <si>
    <t>胡萝卜</t>
  </si>
  <si>
    <t>小灰灰的长毛金给瑶瑶</t>
  </si>
  <si>
    <t>重点色德文给好好</t>
  </si>
  <si>
    <t>小豆包的长毛金给好好</t>
  </si>
  <si>
    <t>狗蛋儿的猫粮</t>
  </si>
  <si>
    <t>狗蛋儿冻干</t>
  </si>
  <si>
    <t>金白猫</t>
  </si>
  <si>
    <t>剪刀</t>
  </si>
  <si>
    <t>一次性碗</t>
  </si>
  <si>
    <t>开发区家英短</t>
  </si>
  <si>
    <t>奶猫</t>
  </si>
  <si>
    <t>橘子手术</t>
  </si>
  <si>
    <t>钢蛋住院</t>
  </si>
  <si>
    <t>店12月猫粮</t>
  </si>
  <si>
    <t>店12月猫砂</t>
  </si>
  <si>
    <t>店1月猫粮</t>
  </si>
  <si>
    <t>店1月猫砂</t>
  </si>
  <si>
    <t>剃须刀</t>
  </si>
  <si>
    <t>12月猫粮</t>
  </si>
  <si>
    <t>12月猫砂</t>
  </si>
  <si>
    <t>1月猫粮</t>
  </si>
  <si>
    <t>1月猫砂</t>
  </si>
  <si>
    <t>卖之猫</t>
  </si>
  <si>
    <t>杯子</t>
  </si>
  <si>
    <t>猫藓药</t>
  </si>
  <si>
    <t>猫住院费</t>
  </si>
  <si>
    <t>火化</t>
  </si>
  <si>
    <t>外套</t>
  </si>
  <si>
    <t>拖把</t>
  </si>
  <si>
    <t>小豆豆</t>
  </si>
  <si>
    <t>花花的樊色</t>
  </si>
  <si>
    <t>巧克力豆</t>
  </si>
  <si>
    <t>巧克力豆的三花</t>
  </si>
  <si>
    <t>巧克力豆的肉桂</t>
  </si>
  <si>
    <t>橘子的金白给兜兜齿</t>
  </si>
  <si>
    <t>巧克力的橘德文给兜兜齿</t>
  </si>
  <si>
    <t>四月的两个拿破仑给兜兜齿</t>
  </si>
  <si>
    <t>巧克力的虎斑德文</t>
  </si>
  <si>
    <t>巧克力的橘德文</t>
  </si>
  <si>
    <t>巧克力的重点色</t>
  </si>
  <si>
    <t>大德文橘猫公</t>
  </si>
  <si>
    <t>店铺电费</t>
  </si>
  <si>
    <t>泌尿量</t>
  </si>
  <si>
    <t>樊色德文</t>
  </si>
  <si>
    <t>巧克力的无毛</t>
  </si>
  <si>
    <t>奶糖</t>
  </si>
  <si>
    <t>奶糖的橘</t>
  </si>
  <si>
    <t>巧克力豆的加白</t>
  </si>
  <si>
    <t>咖啡的金渐层</t>
  </si>
  <si>
    <t>布丁</t>
  </si>
  <si>
    <t>橘子的虎斑金渐层</t>
  </si>
  <si>
    <t>巧克力猫粮</t>
  </si>
  <si>
    <t>毛嗑猫粮</t>
  </si>
  <si>
    <t>巧克力的孩子</t>
  </si>
  <si>
    <t>地瓜的四只金渐层</t>
  </si>
  <si>
    <t>奶糖的纯白</t>
  </si>
  <si>
    <t>大宠爱</t>
  </si>
  <si>
    <t>石韦片</t>
  </si>
  <si>
    <t>排石药</t>
  </si>
  <si>
    <t>罗硝唑</t>
  </si>
  <si>
    <t>蓝金疫苗</t>
  </si>
  <si>
    <t>毛巾</t>
  </si>
  <si>
    <t>玳瑁德文</t>
  </si>
  <si>
    <t>蓝金渐层转卖(包含1500绝育)</t>
  </si>
  <si>
    <t>店铺缅因</t>
  </si>
  <si>
    <t>YUKI的11色金渐层</t>
  </si>
  <si>
    <t>小豆豆的肉桂色金渐层</t>
  </si>
  <si>
    <t>巧克力豆的浅重点</t>
  </si>
  <si>
    <t>巧克力豆的深重点</t>
  </si>
  <si>
    <t>YUKI的矮脚金白</t>
  </si>
  <si>
    <t>地瓜的金白母</t>
  </si>
  <si>
    <t>哈哈</t>
  </si>
  <si>
    <t>蓝德文通过南锡卖的</t>
  </si>
  <si>
    <t>中介费</t>
  </si>
  <si>
    <t>保洁</t>
  </si>
  <si>
    <t>浴帘</t>
  </si>
  <si>
    <t>地垫</t>
  </si>
  <si>
    <t>勺子</t>
  </si>
  <si>
    <t>奶糖的孩子</t>
  </si>
  <si>
    <t>扣板</t>
  </si>
  <si>
    <t>阿姨工资</t>
  </si>
  <si>
    <t>门禁</t>
  </si>
  <si>
    <t>美工刀</t>
  </si>
  <si>
    <t>咖啡的短毛金</t>
  </si>
  <si>
    <t>卖给兜兜齿的德文</t>
  </si>
  <si>
    <t>南希店</t>
  </si>
  <si>
    <t>绝育</t>
  </si>
  <si>
    <t>消炎</t>
  </si>
  <si>
    <t>巧克力的毛少德文</t>
  </si>
  <si>
    <t>TIMI给瑶瑶</t>
  </si>
  <si>
    <t>小金豆给瑶瑶</t>
  </si>
  <si>
    <t>芒果给瑶瑶</t>
  </si>
  <si>
    <t>菠萝蜜给瑶瑶</t>
  </si>
  <si>
    <t>菠萝蜜的重点色给瑶瑶</t>
  </si>
  <si>
    <t>小豆豆给瑶瑶</t>
  </si>
  <si>
    <t>小豆豆的重点色给瑶瑶</t>
  </si>
  <si>
    <t>蓝金榴莲给开发区</t>
  </si>
  <si>
    <t>二狗给瑶瑶</t>
  </si>
  <si>
    <t>洋柿子发到新疆</t>
  </si>
  <si>
    <t>巧克力豆的三只德文发武汉</t>
  </si>
  <si>
    <t>奶糖给南锡</t>
  </si>
  <si>
    <t>收拾卫生</t>
  </si>
  <si>
    <t>猫砂垫</t>
  </si>
  <si>
    <t>逗猫棒</t>
  </si>
  <si>
    <t>狗蛋儿零食</t>
  </si>
  <si>
    <t>店铺9月费用</t>
  </si>
  <si>
    <t>分线器</t>
  </si>
  <si>
    <t>捆绑带</t>
  </si>
  <si>
    <t>保鲜膜</t>
  </si>
  <si>
    <t>亚克力透明盒</t>
  </si>
  <si>
    <t>转换头</t>
  </si>
  <si>
    <t>路由器</t>
  </si>
  <si>
    <t>领夹麦</t>
  </si>
  <si>
    <t>吃播架</t>
  </si>
  <si>
    <t>吃播碗</t>
  </si>
  <si>
    <t>水龙头转换头</t>
  </si>
  <si>
    <t>旺财给开发区家</t>
  </si>
  <si>
    <t>地瓜给开发区家</t>
  </si>
  <si>
    <t>米奇给南锡</t>
  </si>
  <si>
    <t>冰冰</t>
  </si>
  <si>
    <t>YUKI的三个孩子给好好</t>
  </si>
  <si>
    <t>巧克力给好好</t>
  </si>
  <si>
    <t>皮蛋的金白</t>
  </si>
  <si>
    <t>皮蛋的重点色</t>
  </si>
  <si>
    <t>胡萝卜给瑶瑶</t>
  </si>
  <si>
    <t>小豆包给瑶瑶</t>
  </si>
  <si>
    <t>鸭蛋的金白给瑶瑶</t>
  </si>
  <si>
    <t>四月的重点短毛给瑶瑶</t>
  </si>
  <si>
    <t>湿粮</t>
  </si>
  <si>
    <t>生骨肉</t>
  </si>
  <si>
    <t>打扫卫生</t>
  </si>
  <si>
    <t>礼盒</t>
  </si>
  <si>
    <t>买乳金</t>
  </si>
  <si>
    <t>香瓜</t>
  </si>
  <si>
    <t>YUKI的12色金渐层公给好好</t>
  </si>
  <si>
    <t>奶糖的三只德文</t>
  </si>
  <si>
    <t>腿腿的孩子给南锡</t>
  </si>
  <si>
    <t>香蕉的孩子给南锡</t>
  </si>
  <si>
    <t>菠萝蜜的孩子给南锡</t>
  </si>
  <si>
    <t>银白加菲给南锡</t>
  </si>
  <si>
    <t>2024第1季度</t>
  </si>
  <si>
    <t>2024第2季度</t>
  </si>
  <si>
    <t>2024第3季度</t>
  </si>
  <si>
    <t>2024第4季度</t>
  </si>
  <si>
    <t>兰博给瑶瑶</t>
  </si>
  <si>
    <t>四月的金白给南锡</t>
  </si>
  <si>
    <t>四月的两只金渐层</t>
  </si>
  <si>
    <t>YUKI的孩子</t>
  </si>
  <si>
    <t>四月的金渐层</t>
  </si>
  <si>
    <t>小豆包的矮脚金白</t>
  </si>
  <si>
    <t>奶糖的三花给开发区</t>
  </si>
  <si>
    <t>巧克力豆的四个孩子</t>
  </si>
  <si>
    <t>香菜的蓝金加白矮脚给南锡</t>
  </si>
  <si>
    <t>香菜的三花拿破仑给南锡</t>
  </si>
  <si>
    <t>小豆包的重点色拿破仑</t>
  </si>
  <si>
    <t>巧克力豆的两个孩子给南锡</t>
  </si>
  <si>
    <t>长毛蓝金加白</t>
  </si>
  <si>
    <t>YUKI的12色金渐层</t>
  </si>
  <si>
    <t>冉冉</t>
  </si>
  <si>
    <t>毛嗑给南锡</t>
  </si>
  <si>
    <t>小鹿</t>
  </si>
  <si>
    <t>氧气过滤</t>
  </si>
  <si>
    <t xml:space="preserve"> 沐浴露</t>
  </si>
  <si>
    <t>土猫砂</t>
  </si>
  <si>
    <t>生肉</t>
  </si>
  <si>
    <t>伊丽莎白圈</t>
  </si>
  <si>
    <t>小奇迹治疗</t>
  </si>
  <si>
    <t>小鸡仔</t>
  </si>
  <si>
    <t>小豆包的矮脚给南锡</t>
  </si>
  <si>
    <t>香瓜给南锡</t>
  </si>
  <si>
    <t>猫粮铲</t>
  </si>
  <si>
    <t>毛嗑治疗费</t>
  </si>
  <si>
    <t>取消空运</t>
  </si>
  <si>
    <t>宫缩</t>
  </si>
  <si>
    <t>乳金给瑶瑶</t>
  </si>
  <si>
    <t>香蕉给瑶瑶</t>
  </si>
  <si>
    <t>小坚强给瑶瑶</t>
  </si>
  <si>
    <t>菠萝包给瑶瑶</t>
  </si>
  <si>
    <t>鸭蛋的蓝金加白</t>
  </si>
  <si>
    <t>皮蛋的蝴蝶金白</t>
  </si>
  <si>
    <t>香瓜的两只金白</t>
  </si>
  <si>
    <t>借配的金白</t>
  </si>
  <si>
    <t>刘亦菲</t>
  </si>
  <si>
    <t>长腿小鸡仔</t>
  </si>
  <si>
    <t>检测基因</t>
  </si>
  <si>
    <t>冰冰剖腹产</t>
  </si>
  <si>
    <t>巧克力豆异瞳三花给开发区</t>
  </si>
  <si>
    <t>预售</t>
  </si>
  <si>
    <t>香蕉的金白</t>
  </si>
  <si>
    <t>四月的蓝金给瑶瑶</t>
  </si>
  <si>
    <t>香瓜的重点色给瑶瑶</t>
  </si>
  <si>
    <t>香蕉的重点色给瑶瑶</t>
  </si>
  <si>
    <t>预留</t>
  </si>
  <si>
    <t>借配的短鼻金白</t>
  </si>
  <si>
    <t xml:space="preserve"> </t>
  </si>
  <si>
    <t>皮蛋+鸭蛋</t>
  </si>
  <si>
    <t>香瓜的两只金白给兜兜齿</t>
  </si>
  <si>
    <t>紫薯</t>
  </si>
  <si>
    <t>紫薯的金白</t>
  </si>
  <si>
    <t>紫薯的蓝金白</t>
  </si>
  <si>
    <t>咖啡的金渐层给大石桥</t>
  </si>
  <si>
    <t>冰冰给大石桥</t>
  </si>
  <si>
    <t>四月的兰金加白矮脚给大石桥</t>
  </si>
  <si>
    <t>地瓜的孩子</t>
  </si>
  <si>
    <t>小奇迹送走</t>
  </si>
  <si>
    <t>哈哈的齐刘海金白送走</t>
  </si>
  <si>
    <t>抽纸盒</t>
  </si>
  <si>
    <t>隔热膜</t>
  </si>
  <si>
    <t>检测</t>
  </si>
  <si>
    <t>小牛血</t>
  </si>
  <si>
    <t>箱子</t>
  </si>
  <si>
    <t>猫窝</t>
  </si>
  <si>
    <t>应急喷雾</t>
  </si>
  <si>
    <t>有品冻干</t>
  </si>
  <si>
    <t>MINI</t>
  </si>
  <si>
    <t>紫薯送给老客户</t>
  </si>
  <si>
    <t>紫薯的蓝金卖给老客户</t>
  </si>
  <si>
    <t>小鹿的双色金白</t>
  </si>
  <si>
    <t>小鹿的尾尖樊色金白</t>
  </si>
  <si>
    <t>小鹿的樊色金白</t>
  </si>
  <si>
    <t>小鹿的翅膀金白</t>
  </si>
  <si>
    <t>扫地拖把</t>
  </si>
  <si>
    <t>七只小猫小袋粮</t>
  </si>
  <si>
    <t>霜霜送给老客户</t>
  </si>
  <si>
    <t>咖啡的短毛金渐层</t>
  </si>
  <si>
    <t>借配的金</t>
  </si>
  <si>
    <t>腿腿送给大石桥</t>
  </si>
  <si>
    <t>腿腿的乳色送给大石桥</t>
  </si>
  <si>
    <t>小豆包的矮脚重点送给大石桥</t>
  </si>
  <si>
    <t>冰冰的白送给大石桥</t>
  </si>
  <si>
    <t>MINI送给大石桥</t>
  </si>
  <si>
    <t>借配押金</t>
  </si>
  <si>
    <t>转卖卷毛猫</t>
  </si>
  <si>
    <t>YUKI的金白矮脚</t>
  </si>
  <si>
    <t>YUKI的金渐层</t>
  </si>
  <si>
    <t>哈哈的蓝金加白矮脚</t>
  </si>
  <si>
    <t>进口粮</t>
  </si>
  <si>
    <t>体内驱虫</t>
  </si>
  <si>
    <t>七彩森林猫粮</t>
  </si>
  <si>
    <t>紫色带猫粮</t>
  </si>
  <si>
    <t>眼睛坏的德文运费</t>
  </si>
  <si>
    <t>眼睛坏的德文</t>
  </si>
  <si>
    <t>进口小袋猫粮</t>
  </si>
  <si>
    <t>七彩猫粮</t>
  </si>
  <si>
    <t>借配金的金渐层</t>
  </si>
  <si>
    <t>借配金的金白矮脚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</si>
</sst>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0;[Red]0.00"/>
    <numFmt numFmtId="166" formatCode="[$-409]mmm\-yy;@"/>
  </numFmts>
  <fonts count="1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sz val="11"/>
      <color theme="0"/>
      <name val="Calibri"/>
      <family val="3"/>
      <charset val="134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b/>
      <sz val="10"/>
      <color theme="0" tint="-0.499984740745262"/>
      <name val="Verdana"/>
      <family val="2"/>
    </font>
    <font>
      <b/>
      <sz val="10"/>
      <color theme="1" tint="0.499984740745262"/>
      <name val="Verdana"/>
      <family val="2"/>
    </font>
    <font>
      <sz val="10"/>
      <color theme="0" tint="-0.499984740745262"/>
      <name val="Verdana"/>
      <family val="2"/>
    </font>
    <font>
      <sz val="10"/>
      <color theme="1" tint="0.499984740745262"/>
      <name val="Verdana"/>
      <family val="2"/>
    </font>
    <font>
      <b/>
      <sz val="10"/>
      <color theme="0" tint="-4.9989318521683403E-2"/>
      <name val="Verdana"/>
      <family val="2"/>
    </font>
    <font>
      <sz val="10"/>
      <color theme="0" tint="-4.9989318521683403E-2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theme="1" tint="0.34998626667073579"/>
      </left>
      <right style="double">
        <color theme="1" tint="0.34998626667073579"/>
      </right>
      <top style="double">
        <color theme="1" tint="0.34998626667073579"/>
      </top>
      <bottom style="double">
        <color theme="1" tint="0.34998626667073579"/>
      </bottom>
      <diagonal/>
    </border>
    <border>
      <left style="double">
        <color theme="1" tint="0.34998626667073579"/>
      </left>
      <right style="double">
        <color theme="1" tint="0.34998626667073579"/>
      </right>
      <top style="double">
        <color theme="1" tint="0.34998626667073579"/>
      </top>
      <bottom/>
      <diagonal/>
    </border>
    <border>
      <left style="double">
        <color theme="1" tint="0.249977111117893"/>
      </left>
      <right style="double">
        <color theme="1" tint="0.249977111117893"/>
      </right>
      <top style="double">
        <color theme="1" tint="0.249977111117893"/>
      </top>
      <bottom style="double">
        <color theme="1" tint="0.249977111117893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double">
        <color theme="1" tint="0.249977111117893"/>
      </left>
      <right/>
      <top style="double">
        <color theme="1" tint="0.249977111117893"/>
      </top>
      <bottom style="double">
        <color theme="1" tint="0.249977111117893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80">
    <xf numFmtId="0" fontId="0" fillId="0" borderId="0" xfId="0"/>
    <xf numFmtId="0" fontId="3" fillId="3" borderId="0" xfId="0" applyFont="1" applyFill="1"/>
    <xf numFmtId="0" fontId="3" fillId="3" borderId="4" xfId="0" applyFont="1" applyFill="1" applyBorder="1" applyAlignment="1">
      <alignment horizontal="center" vertical="center"/>
    </xf>
    <xf numFmtId="17" fontId="3" fillId="3" borderId="4" xfId="1" applyNumberFormat="1" applyFont="1" applyFill="1" applyBorder="1" applyAlignment="1">
      <alignment horizontal="center" vertical="center"/>
    </xf>
    <xf numFmtId="0" fontId="4" fillId="3" borderId="0" xfId="0" applyFont="1" applyFill="1"/>
    <xf numFmtId="165" fontId="3" fillId="3" borderId="4" xfId="0" applyNumberFormat="1" applyFont="1" applyFill="1" applyBorder="1" applyAlignment="1">
      <alignment horizontal="center" vertical="center"/>
    </xf>
    <xf numFmtId="0" fontId="3" fillId="3" borderId="4" xfId="1" applyNumberFormat="1" applyFont="1" applyFill="1" applyBorder="1" applyAlignment="1">
      <alignment horizontal="center" vertical="center"/>
    </xf>
    <xf numFmtId="0" fontId="4" fillId="3" borderId="7" xfId="0" applyFont="1" applyFill="1" applyBorder="1"/>
    <xf numFmtId="0" fontId="4" fillId="3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7" xfId="0" applyFont="1" applyFill="1" applyBorder="1"/>
    <xf numFmtId="0" fontId="6" fillId="3" borderId="1" xfId="1" applyFont="1" applyFill="1" applyAlignment="1">
      <alignment horizontal="center" vertical="center"/>
    </xf>
    <xf numFmtId="17" fontId="4" fillId="3" borderId="1" xfId="1" applyNumberFormat="1" applyFont="1" applyFill="1" applyAlignment="1">
      <alignment horizontal="center" vertical="center"/>
    </xf>
    <xf numFmtId="0" fontId="4" fillId="3" borderId="1" xfId="1" applyFont="1" applyFill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6" fillId="3" borderId="1" xfId="1" applyFont="1" applyFill="1" applyAlignment="1">
      <alignment horizontal="center"/>
    </xf>
    <xf numFmtId="0" fontId="4" fillId="3" borderId="5" xfId="1" applyFont="1" applyFill="1" applyBorder="1" applyAlignment="1">
      <alignment horizontal="center" vertical="center"/>
    </xf>
    <xf numFmtId="0" fontId="4" fillId="3" borderId="1" xfId="1" applyFont="1" applyFill="1" applyAlignment="1">
      <alignment horizontal="center"/>
    </xf>
    <xf numFmtId="1" fontId="4" fillId="3" borderId="1" xfId="1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6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7" fontId="4" fillId="3" borderId="4" xfId="1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4" fillId="3" borderId="0" xfId="0" applyFont="1" applyFill="1" applyAlignment="1">
      <alignment horizontal="center" vertical="center"/>
    </xf>
    <xf numFmtId="0" fontId="6" fillId="3" borderId="8" xfId="1" applyFont="1" applyFill="1" applyBorder="1" applyAlignment="1">
      <alignment horizontal="center" vertical="center"/>
    </xf>
    <xf numFmtId="17" fontId="4" fillId="3" borderId="8" xfId="1" applyNumberFormat="1" applyFont="1" applyFill="1" applyBorder="1" applyAlignment="1">
      <alignment horizontal="center" vertical="center"/>
    </xf>
    <xf numFmtId="0" fontId="4" fillId="3" borderId="8" xfId="0" applyFont="1" applyFill="1" applyBorder="1"/>
    <xf numFmtId="49" fontId="6" fillId="3" borderId="4" xfId="1" applyNumberFormat="1" applyFont="1" applyFill="1" applyBorder="1" applyAlignment="1">
      <alignment horizontal="center" vertical="center"/>
    </xf>
    <xf numFmtId="49" fontId="4" fillId="3" borderId="4" xfId="1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/>
    <xf numFmtId="1" fontId="6" fillId="3" borderId="1" xfId="1" applyNumberFormat="1" applyFont="1" applyFill="1" applyAlignment="1">
      <alignment horizontal="center" vertical="center"/>
    </xf>
    <xf numFmtId="1" fontId="4" fillId="3" borderId="0" xfId="0" applyNumberFormat="1" applyFont="1" applyFill="1"/>
    <xf numFmtId="0" fontId="7" fillId="3" borderId="2" xfId="1" applyFont="1" applyFill="1" applyBorder="1" applyAlignment="1">
      <alignment horizontal="center" vertical="center"/>
    </xf>
    <xf numFmtId="1" fontId="7" fillId="3" borderId="2" xfId="1" applyNumberFormat="1" applyFont="1" applyFill="1" applyBorder="1" applyAlignment="1">
      <alignment horizontal="center" vertical="center"/>
    </xf>
    <xf numFmtId="0" fontId="7" fillId="3" borderId="2" xfId="1" applyNumberFormat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9" fillId="3" borderId="2" xfId="0" applyFont="1" applyFill="1" applyBorder="1"/>
    <xf numFmtId="164" fontId="7" fillId="3" borderId="2" xfId="1" applyNumberFormat="1" applyFont="1" applyFill="1" applyBorder="1" applyAlignment="1">
      <alignment horizontal="center" vertical="center"/>
    </xf>
    <xf numFmtId="0" fontId="7" fillId="5" borderId="2" xfId="1" applyNumberFormat="1" applyFont="1" applyFill="1" applyBorder="1" applyAlignment="1">
      <alignment horizontal="center" vertical="center"/>
    </xf>
    <xf numFmtId="0" fontId="10" fillId="3" borderId="2" xfId="1" applyNumberFormat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7" fillId="3" borderId="0" xfId="1" applyFont="1" applyFill="1" applyBorder="1" applyAlignment="1">
      <alignment horizontal="center" vertical="center"/>
    </xf>
    <xf numFmtId="1" fontId="7" fillId="3" borderId="0" xfId="1" applyNumberFormat="1" applyFont="1" applyFill="1" applyBorder="1" applyAlignment="1">
      <alignment horizontal="center" vertical="center"/>
    </xf>
    <xf numFmtId="0" fontId="7" fillId="3" borderId="0" xfId="1" applyNumberFormat="1" applyFont="1" applyFill="1" applyBorder="1" applyAlignment="1">
      <alignment horizontal="center" vertical="center"/>
    </xf>
    <xf numFmtId="164" fontId="7" fillId="3" borderId="0" xfId="1" applyNumberFormat="1" applyFont="1" applyFill="1" applyBorder="1" applyAlignment="1">
      <alignment horizontal="center" vertical="center"/>
    </xf>
    <xf numFmtId="0" fontId="10" fillId="3" borderId="0" xfId="1" applyFont="1" applyFill="1" applyBorder="1" applyAlignment="1">
      <alignment horizontal="center" vertical="center"/>
    </xf>
    <xf numFmtId="164" fontId="10" fillId="3" borderId="0" xfId="1" applyNumberFormat="1" applyFont="1" applyFill="1" applyBorder="1" applyAlignment="1">
      <alignment horizontal="center" vertical="center"/>
    </xf>
    <xf numFmtId="0" fontId="9" fillId="3" borderId="0" xfId="0" applyFont="1" applyFill="1"/>
    <xf numFmtId="0" fontId="10" fillId="3" borderId="2" xfId="1" applyFont="1" applyFill="1" applyBorder="1" applyAlignment="1">
      <alignment horizontal="center" vertical="center"/>
    </xf>
    <xf numFmtId="164" fontId="10" fillId="3" borderId="2" xfId="1" applyNumberFormat="1" applyFont="1" applyFill="1" applyBorder="1" applyAlignment="1">
      <alignment horizontal="center" vertical="center"/>
    </xf>
    <xf numFmtId="1" fontId="10" fillId="3" borderId="2" xfId="1" applyNumberFormat="1" applyFont="1" applyFill="1" applyBorder="1" applyAlignment="1">
      <alignment horizontal="center" vertical="center"/>
    </xf>
    <xf numFmtId="164" fontId="11" fillId="3" borderId="2" xfId="1" applyNumberFormat="1" applyFont="1" applyFill="1" applyBorder="1" applyAlignment="1">
      <alignment horizontal="center" vertical="center"/>
    </xf>
    <xf numFmtId="0" fontId="11" fillId="3" borderId="2" xfId="1" applyFont="1" applyFill="1" applyBorder="1" applyAlignment="1">
      <alignment horizontal="center" vertical="center"/>
    </xf>
    <xf numFmtId="0" fontId="12" fillId="3" borderId="2" xfId="0" applyFont="1" applyFill="1" applyBorder="1"/>
    <xf numFmtId="0" fontId="11" fillId="3" borderId="2" xfId="1" applyNumberFormat="1" applyFont="1" applyFill="1" applyBorder="1" applyAlignment="1">
      <alignment horizontal="center" vertical="center"/>
    </xf>
    <xf numFmtId="0" fontId="13" fillId="3" borderId="2" xfId="0" applyFont="1" applyFill="1" applyBorder="1"/>
    <xf numFmtId="0" fontId="10" fillId="3" borderId="2" xfId="1" applyFont="1" applyFill="1" applyBorder="1" applyAlignment="1">
      <alignment vertical="center"/>
    </xf>
    <xf numFmtId="0" fontId="11" fillId="3" borderId="2" xfId="1" applyFont="1" applyFill="1" applyBorder="1" applyAlignment="1">
      <alignment vertical="center"/>
    </xf>
    <xf numFmtId="0" fontId="10" fillId="3" borderId="3" xfId="1" applyFont="1" applyFill="1" applyBorder="1" applyAlignment="1">
      <alignment horizontal="center" vertical="center"/>
    </xf>
    <xf numFmtId="0" fontId="11" fillId="3" borderId="3" xfId="1" applyFont="1" applyFill="1" applyBorder="1" applyAlignment="1">
      <alignment horizontal="center" vertical="center"/>
    </xf>
    <xf numFmtId="164" fontId="11" fillId="3" borderId="3" xfId="1" applyNumberFormat="1" applyFont="1" applyFill="1" applyBorder="1" applyAlignment="1">
      <alignment horizontal="center" vertical="center"/>
    </xf>
    <xf numFmtId="164" fontId="10" fillId="3" borderId="3" xfId="1" applyNumberFormat="1" applyFont="1" applyFill="1" applyBorder="1" applyAlignment="1">
      <alignment horizontal="center" vertical="center"/>
    </xf>
    <xf numFmtId="0" fontId="13" fillId="3" borderId="3" xfId="0" applyFont="1" applyFill="1" applyBorder="1"/>
    <xf numFmtId="164" fontId="14" fillId="3" borderId="2" xfId="1" applyNumberFormat="1" applyFont="1" applyFill="1" applyBorder="1" applyAlignment="1">
      <alignment horizontal="center" vertical="center"/>
    </xf>
    <xf numFmtId="0" fontId="14" fillId="3" borderId="2" xfId="1" applyFont="1" applyFill="1" applyBorder="1" applyAlignment="1">
      <alignment horizontal="center" vertical="center"/>
    </xf>
    <xf numFmtId="0" fontId="15" fillId="3" borderId="2" xfId="0" applyFont="1" applyFill="1" applyBorder="1"/>
    <xf numFmtId="1" fontId="11" fillId="3" borderId="2" xfId="1" applyNumberFormat="1" applyFont="1" applyFill="1" applyBorder="1" applyAlignment="1">
      <alignment horizontal="center" vertical="center"/>
    </xf>
    <xf numFmtId="0" fontId="11" fillId="3" borderId="3" xfId="1" applyFont="1" applyFill="1" applyBorder="1" applyAlignment="1">
      <alignment vertical="center"/>
    </xf>
    <xf numFmtId="1" fontId="9" fillId="3" borderId="2" xfId="0" applyNumberFormat="1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1" fontId="3" fillId="3" borderId="4" xfId="1" applyNumberFormat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16" fontId="4" fillId="3" borderId="0" xfId="0" applyNumberFormat="1" applyFont="1" applyFill="1" applyAlignment="1">
      <alignment horizontal="center"/>
    </xf>
  </cellXfs>
  <cellStyles count="2">
    <cellStyle name="Check Cell" xfId="1" builtinId="23"/>
    <cellStyle name="Normal" xfId="0" builtinId="0"/>
  </cellStyles>
  <dxfs count="25">
    <dxf>
      <fill>
        <patternFill>
          <bgColor rgb="FF00B050"/>
        </patternFill>
      </fill>
    </dxf>
    <dxf>
      <fill>
        <patternFill>
          <bgColor rgb="FF0000FF"/>
        </patternFill>
      </fill>
    </dxf>
    <dxf>
      <fill>
        <patternFill>
          <bgColor rgb="FF0066FF"/>
        </patternFill>
      </fill>
    </dxf>
    <dxf>
      <fill>
        <patternFill>
          <bgColor rgb="FFFFFF00"/>
        </patternFill>
      </fill>
    </dxf>
    <dxf>
      <fill>
        <patternFill>
          <bgColor rgb="FF6699FF"/>
        </patternFill>
      </fill>
    </dxf>
    <dxf>
      <fill>
        <patternFill>
          <bgColor theme="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ill>
        <patternFill>
          <bgColor rgb="FF0066FF"/>
        </patternFill>
      </fill>
    </dxf>
    <dxf>
      <fill>
        <patternFill>
          <bgColor rgb="FF6699FF"/>
        </patternFill>
      </fill>
    </dxf>
    <dxf>
      <fill>
        <patternFill>
          <bgColor rgb="FF0000FF"/>
        </patternFill>
      </fill>
    </dxf>
    <dxf>
      <fill>
        <patternFill>
          <bgColor rgb="FF0066FF"/>
        </patternFill>
      </fill>
    </dxf>
    <dxf>
      <fill>
        <patternFill>
          <bgColor rgb="FFFFFF00"/>
        </patternFill>
      </fill>
    </dxf>
    <dxf>
      <fill>
        <patternFill>
          <bgColor rgb="FF6699FF"/>
        </patternFill>
      </fill>
    </dxf>
    <dxf>
      <fill>
        <patternFill>
          <bgColor rgb="FF00B0F0"/>
        </patternFill>
      </fill>
    </dxf>
    <dxf>
      <fill>
        <patternFill>
          <bgColor rgb="FF0000FF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Medium9"/>
  <colors>
    <mruColors>
      <color rgb="FF2929FF"/>
      <color rgb="FF660033"/>
      <color rgb="FFFF7C80"/>
      <color rgb="FF0066FF"/>
      <color rgb="FFFF5050"/>
      <color rgb="FF0000FF"/>
      <color rgb="FFFF0066"/>
      <color rgb="FF6699FF"/>
      <color rgb="FFFFFF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猫总数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301461497471885E-2"/>
          <c:y val="5.0334887086678687E-2"/>
          <c:w val="0.91410948722503105"/>
          <c:h val="0.80557079111743302"/>
        </c:manualLayout>
      </c:layout>
      <c:lineChart>
        <c:grouping val="standard"/>
        <c:varyColors val="0"/>
        <c:ser>
          <c:idx val="0"/>
          <c:order val="0"/>
          <c:tx>
            <c:strRef>
              <c:f>数量统计!$K$1</c:f>
              <c:strCache>
                <c:ptCount val="1"/>
                <c:pt idx="0">
                  <c:v>猫总数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Pt>
            <c:idx val="1"/>
            <c:marker>
              <c:symbol val="circle"/>
              <c:size val="17"/>
              <c:spPr>
                <a:solidFill>
                  <a:schemeClr val="accent6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B07A-4201-8C81-8B67CA72FC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数量统计!$A$2:$A$40</c:f>
              <c:numCache>
                <c:formatCode>mmm\-yy</c:formatCode>
                <c:ptCount val="39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</c:numCache>
            </c:numRef>
          </c:cat>
          <c:val>
            <c:numRef>
              <c:f>数量统计!$K$2:$K$41</c:f>
              <c:numCache>
                <c:formatCode>General</c:formatCode>
                <c:ptCount val="40"/>
                <c:pt idx="0">
                  <c:v>110</c:v>
                </c:pt>
                <c:pt idx="1">
                  <c:v>106</c:v>
                </c:pt>
                <c:pt idx="2">
                  <c:v>85</c:v>
                </c:pt>
                <c:pt idx="3">
                  <c:v>83</c:v>
                </c:pt>
                <c:pt idx="4">
                  <c:v>67</c:v>
                </c:pt>
                <c:pt idx="5">
                  <c:v>68</c:v>
                </c:pt>
                <c:pt idx="6">
                  <c:v>73</c:v>
                </c:pt>
                <c:pt idx="7">
                  <c:v>55</c:v>
                </c:pt>
                <c:pt idx="8">
                  <c:v>78</c:v>
                </c:pt>
                <c:pt idx="9">
                  <c:v>75</c:v>
                </c:pt>
                <c:pt idx="10">
                  <c:v>58</c:v>
                </c:pt>
                <c:pt idx="11">
                  <c:v>67</c:v>
                </c:pt>
                <c:pt idx="12">
                  <c:v>50</c:v>
                </c:pt>
                <c:pt idx="13">
                  <c:v>42</c:v>
                </c:pt>
                <c:pt idx="14">
                  <c:v>32</c:v>
                </c:pt>
                <c:pt idx="15">
                  <c:v>40</c:v>
                </c:pt>
                <c:pt idx="16">
                  <c:v>44</c:v>
                </c:pt>
                <c:pt idx="17">
                  <c:v>53</c:v>
                </c:pt>
                <c:pt idx="18">
                  <c:v>63</c:v>
                </c:pt>
                <c:pt idx="19">
                  <c:v>61</c:v>
                </c:pt>
                <c:pt idx="20">
                  <c:v>58</c:v>
                </c:pt>
                <c:pt idx="21">
                  <c:v>58</c:v>
                </c:pt>
                <c:pt idx="22">
                  <c:v>65</c:v>
                </c:pt>
                <c:pt idx="23">
                  <c:v>70</c:v>
                </c:pt>
                <c:pt idx="24">
                  <c:v>55</c:v>
                </c:pt>
                <c:pt idx="25">
                  <c:v>48</c:v>
                </c:pt>
                <c:pt idx="26">
                  <c:v>55</c:v>
                </c:pt>
                <c:pt idx="27">
                  <c:v>56</c:v>
                </c:pt>
                <c:pt idx="28">
                  <c:v>50</c:v>
                </c:pt>
                <c:pt idx="29">
                  <c:v>40</c:v>
                </c:pt>
                <c:pt idx="30">
                  <c:v>41</c:v>
                </c:pt>
                <c:pt idx="31">
                  <c:v>42</c:v>
                </c:pt>
                <c:pt idx="32">
                  <c:v>38</c:v>
                </c:pt>
                <c:pt idx="33">
                  <c:v>36</c:v>
                </c:pt>
                <c:pt idx="34">
                  <c:v>36</c:v>
                </c:pt>
                <c:pt idx="35">
                  <c:v>28</c:v>
                </c:pt>
                <c:pt idx="3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07A-4201-8C81-8B67CA72FCCD}"/>
            </c:ext>
          </c:extLst>
        </c:ser>
        <c:ser>
          <c:idx val="1"/>
          <c:order val="1"/>
          <c:tx>
            <c:strRef>
              <c:f>数量统计!$H$1</c:f>
              <c:strCache>
                <c:ptCount val="1"/>
                <c:pt idx="0">
                  <c:v>种公数</c:v>
                </c:pt>
              </c:strCache>
            </c:strRef>
          </c:tx>
          <c:spPr>
            <a:ln w="3175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rgbClr val="0066FF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数量统计!$A$2:$A$40</c:f>
              <c:numCache>
                <c:formatCode>mmm\-yy</c:formatCode>
                <c:ptCount val="39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</c:numCache>
            </c:numRef>
          </c:cat>
          <c:val>
            <c:numRef>
              <c:f>数量统计!$H$2:$H$41</c:f>
              <c:numCache>
                <c:formatCode>General</c:formatCode>
                <c:ptCount val="4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7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6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07A-4201-8C81-8B67CA72FCCD}"/>
            </c:ext>
          </c:extLst>
        </c:ser>
        <c:ser>
          <c:idx val="2"/>
          <c:order val="2"/>
          <c:tx>
            <c:strRef>
              <c:f>数量统计!$I$1</c:f>
              <c:strCache>
                <c:ptCount val="1"/>
                <c:pt idx="0">
                  <c:v>种母数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数量统计!$A$2:$A$40</c:f>
              <c:numCache>
                <c:formatCode>mmm\-yy</c:formatCode>
                <c:ptCount val="39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</c:numCache>
            </c:numRef>
          </c:cat>
          <c:val>
            <c:numRef>
              <c:f>数量统计!$I$2:$I$41</c:f>
              <c:numCache>
                <c:formatCode>General</c:formatCode>
                <c:ptCount val="40"/>
                <c:pt idx="0">
                  <c:v>24</c:v>
                </c:pt>
                <c:pt idx="1">
                  <c:v>16</c:v>
                </c:pt>
                <c:pt idx="2">
                  <c:v>19</c:v>
                </c:pt>
                <c:pt idx="3">
                  <c:v>20</c:v>
                </c:pt>
                <c:pt idx="4">
                  <c:v>22</c:v>
                </c:pt>
                <c:pt idx="5">
                  <c:v>21</c:v>
                </c:pt>
                <c:pt idx="6">
                  <c:v>21</c:v>
                </c:pt>
                <c:pt idx="7">
                  <c:v>20</c:v>
                </c:pt>
                <c:pt idx="8">
                  <c:v>25</c:v>
                </c:pt>
                <c:pt idx="9">
                  <c:v>21</c:v>
                </c:pt>
                <c:pt idx="10">
                  <c:v>22</c:v>
                </c:pt>
                <c:pt idx="11">
                  <c:v>21</c:v>
                </c:pt>
                <c:pt idx="12">
                  <c:v>16</c:v>
                </c:pt>
                <c:pt idx="13">
                  <c:v>17</c:v>
                </c:pt>
                <c:pt idx="14">
                  <c:v>16</c:v>
                </c:pt>
                <c:pt idx="15">
                  <c:v>16</c:v>
                </c:pt>
                <c:pt idx="16">
                  <c:v>14</c:v>
                </c:pt>
                <c:pt idx="17">
                  <c:v>20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17</c:v>
                </c:pt>
                <c:pt idx="22">
                  <c:v>17</c:v>
                </c:pt>
                <c:pt idx="23">
                  <c:v>15</c:v>
                </c:pt>
                <c:pt idx="24">
                  <c:v>15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12</c:v>
                </c:pt>
                <c:pt idx="29">
                  <c:v>13</c:v>
                </c:pt>
                <c:pt idx="30">
                  <c:v>14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07A-4201-8C81-8B67CA72FCCD}"/>
            </c:ext>
          </c:extLst>
        </c:ser>
        <c:ser>
          <c:idx val="3"/>
          <c:order val="3"/>
          <c:tx>
            <c:strRef>
              <c:f>数量统计!$G$1</c:f>
              <c:strCache>
                <c:ptCount val="1"/>
                <c:pt idx="0">
                  <c:v>库存猫数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数量统计!$A$2:$A$40</c:f>
              <c:numCache>
                <c:formatCode>mmm\-yy</c:formatCode>
                <c:ptCount val="39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</c:numCache>
            </c:numRef>
          </c:cat>
          <c:val>
            <c:numRef>
              <c:f>数量统计!$G$2:$G$41</c:f>
              <c:numCache>
                <c:formatCode>General</c:formatCode>
                <c:ptCount val="40"/>
                <c:pt idx="0">
                  <c:v>24</c:v>
                </c:pt>
                <c:pt idx="1">
                  <c:v>51</c:v>
                </c:pt>
                <c:pt idx="2">
                  <c:v>33</c:v>
                </c:pt>
                <c:pt idx="3">
                  <c:v>46</c:v>
                </c:pt>
                <c:pt idx="4">
                  <c:v>25</c:v>
                </c:pt>
                <c:pt idx="5">
                  <c:v>24</c:v>
                </c:pt>
                <c:pt idx="6">
                  <c:v>27</c:v>
                </c:pt>
                <c:pt idx="7">
                  <c:v>12</c:v>
                </c:pt>
                <c:pt idx="8">
                  <c:v>17</c:v>
                </c:pt>
                <c:pt idx="9">
                  <c:v>12</c:v>
                </c:pt>
                <c:pt idx="10">
                  <c:v>9</c:v>
                </c:pt>
                <c:pt idx="11">
                  <c:v>12</c:v>
                </c:pt>
                <c:pt idx="12">
                  <c:v>20</c:v>
                </c:pt>
                <c:pt idx="13">
                  <c:v>17</c:v>
                </c:pt>
                <c:pt idx="14">
                  <c:v>6</c:v>
                </c:pt>
                <c:pt idx="15">
                  <c:v>10</c:v>
                </c:pt>
                <c:pt idx="16">
                  <c:v>17</c:v>
                </c:pt>
                <c:pt idx="17">
                  <c:v>7</c:v>
                </c:pt>
                <c:pt idx="18">
                  <c:v>12</c:v>
                </c:pt>
                <c:pt idx="19">
                  <c:v>11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28</c:v>
                </c:pt>
                <c:pt idx="24">
                  <c:v>17</c:v>
                </c:pt>
                <c:pt idx="25">
                  <c:v>23</c:v>
                </c:pt>
                <c:pt idx="26">
                  <c:v>28</c:v>
                </c:pt>
                <c:pt idx="27">
                  <c:v>21</c:v>
                </c:pt>
                <c:pt idx="28">
                  <c:v>17</c:v>
                </c:pt>
                <c:pt idx="29">
                  <c:v>14</c:v>
                </c:pt>
                <c:pt idx="30">
                  <c:v>22</c:v>
                </c:pt>
                <c:pt idx="31">
                  <c:v>19</c:v>
                </c:pt>
                <c:pt idx="32">
                  <c:v>15</c:v>
                </c:pt>
                <c:pt idx="33">
                  <c:v>14</c:v>
                </c:pt>
                <c:pt idx="34">
                  <c:v>19</c:v>
                </c:pt>
                <c:pt idx="35">
                  <c:v>10</c:v>
                </c:pt>
                <c:pt idx="3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07A-4201-8C81-8B67CA72FCC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37242064"/>
        <c:axId val="737244144"/>
      </c:lineChart>
      <c:dateAx>
        <c:axId val="7372420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244144"/>
        <c:crosses val="autoZero"/>
        <c:auto val="1"/>
        <c:lblOffset val="100"/>
        <c:baseTimeUnit val="months"/>
      </c:dateAx>
      <c:valAx>
        <c:axId val="73724414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72420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25400"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tx1">
        <a:lumMod val="85000"/>
        <a:lumOff val="15000"/>
      </a:schemeClr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zh-CN" altLang="en-US"/>
              <a:t>生存比例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55571462658077E-2"/>
          <c:y val="0.12883781170952158"/>
          <c:w val="0.90286351706036749"/>
          <c:h val="0.7037117235345581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00B050"/>
            </a:solidFill>
            <a:ln>
              <a:solidFill>
                <a:srgbClr val="00B050"/>
              </a:solidFill>
            </a:ln>
            <a:effectLst>
              <a:glow rad="44450">
                <a:schemeClr val="bg1"/>
              </a:glow>
              <a:outerShdw blurRad="50800" dist="50800" dir="5400000" algn="ctr" rotWithShape="0">
                <a:schemeClr val="bg1"/>
              </a:outerShdw>
            </a:effectLst>
            <a:scene3d>
              <a:camera prst="orthographicFront"/>
              <a:lightRig rig="threePt" dir="t">
                <a:rot lat="0" lon="0" rev="1200000"/>
              </a:lightRig>
            </a:scene3d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繁育统计!$A$2:$A$55</c:f>
              <c:numCache>
                <c:formatCode>mmm\-yy</c:formatCode>
                <c:ptCount val="54"/>
                <c:pt idx="0">
                  <c:v>44013</c:v>
                </c:pt>
                <c:pt idx="1">
                  <c:v>44044</c:v>
                </c:pt>
                <c:pt idx="2">
                  <c:v>44075</c:v>
                </c:pt>
                <c:pt idx="3">
                  <c:v>44105</c:v>
                </c:pt>
                <c:pt idx="4">
                  <c:v>44136</c:v>
                </c:pt>
                <c:pt idx="5">
                  <c:v>44166</c:v>
                </c:pt>
                <c:pt idx="6">
                  <c:v>44197</c:v>
                </c:pt>
                <c:pt idx="7">
                  <c:v>44228</c:v>
                </c:pt>
                <c:pt idx="8">
                  <c:v>44256</c:v>
                </c:pt>
                <c:pt idx="9">
                  <c:v>44287</c:v>
                </c:pt>
                <c:pt idx="10">
                  <c:v>44317</c:v>
                </c:pt>
                <c:pt idx="11">
                  <c:v>44348</c:v>
                </c:pt>
                <c:pt idx="12">
                  <c:v>44378</c:v>
                </c:pt>
                <c:pt idx="13">
                  <c:v>44409</c:v>
                </c:pt>
                <c:pt idx="14">
                  <c:v>44440</c:v>
                </c:pt>
                <c:pt idx="15">
                  <c:v>44470</c:v>
                </c:pt>
                <c:pt idx="16">
                  <c:v>44501</c:v>
                </c:pt>
                <c:pt idx="17">
                  <c:v>44531</c:v>
                </c:pt>
                <c:pt idx="18">
                  <c:v>44562</c:v>
                </c:pt>
                <c:pt idx="19">
                  <c:v>44593</c:v>
                </c:pt>
                <c:pt idx="20">
                  <c:v>44621</c:v>
                </c:pt>
                <c:pt idx="21">
                  <c:v>44652</c:v>
                </c:pt>
                <c:pt idx="22">
                  <c:v>44682</c:v>
                </c:pt>
                <c:pt idx="23">
                  <c:v>44713</c:v>
                </c:pt>
                <c:pt idx="24">
                  <c:v>44743</c:v>
                </c:pt>
                <c:pt idx="25">
                  <c:v>44774</c:v>
                </c:pt>
                <c:pt idx="26">
                  <c:v>44805</c:v>
                </c:pt>
                <c:pt idx="27">
                  <c:v>44835</c:v>
                </c:pt>
                <c:pt idx="28">
                  <c:v>44866</c:v>
                </c:pt>
                <c:pt idx="29">
                  <c:v>44896</c:v>
                </c:pt>
                <c:pt idx="30">
                  <c:v>44927</c:v>
                </c:pt>
                <c:pt idx="31">
                  <c:v>44958</c:v>
                </c:pt>
                <c:pt idx="32">
                  <c:v>44986</c:v>
                </c:pt>
                <c:pt idx="33">
                  <c:v>45017</c:v>
                </c:pt>
                <c:pt idx="34">
                  <c:v>45047</c:v>
                </c:pt>
                <c:pt idx="35">
                  <c:v>45078</c:v>
                </c:pt>
                <c:pt idx="36">
                  <c:v>45108</c:v>
                </c:pt>
                <c:pt idx="37">
                  <c:v>45139</c:v>
                </c:pt>
                <c:pt idx="38">
                  <c:v>45170</c:v>
                </c:pt>
                <c:pt idx="39">
                  <c:v>45200</c:v>
                </c:pt>
                <c:pt idx="40">
                  <c:v>45231</c:v>
                </c:pt>
                <c:pt idx="41">
                  <c:v>45261</c:v>
                </c:pt>
                <c:pt idx="42">
                  <c:v>45292</c:v>
                </c:pt>
                <c:pt idx="43">
                  <c:v>45323</c:v>
                </c:pt>
                <c:pt idx="44">
                  <c:v>45352</c:v>
                </c:pt>
                <c:pt idx="45">
                  <c:v>45383</c:v>
                </c:pt>
                <c:pt idx="46">
                  <c:v>45413</c:v>
                </c:pt>
                <c:pt idx="47">
                  <c:v>45444</c:v>
                </c:pt>
                <c:pt idx="48">
                  <c:v>45474</c:v>
                </c:pt>
                <c:pt idx="49">
                  <c:v>45505</c:v>
                </c:pt>
                <c:pt idx="50">
                  <c:v>45536</c:v>
                </c:pt>
                <c:pt idx="51">
                  <c:v>45566</c:v>
                </c:pt>
                <c:pt idx="52">
                  <c:v>45597</c:v>
                </c:pt>
                <c:pt idx="53">
                  <c:v>45627</c:v>
                </c:pt>
              </c:numCache>
            </c:numRef>
          </c:cat>
          <c:val>
            <c:numRef>
              <c:f>繁育统计!$E$2:$E$55</c:f>
              <c:numCache>
                <c:formatCode>General</c:formatCode>
                <c:ptCount val="54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7</c:v>
                </c:pt>
                <c:pt idx="4">
                  <c:v>0</c:v>
                </c:pt>
                <c:pt idx="5">
                  <c:v>0</c:v>
                </c:pt>
                <c:pt idx="6">
                  <c:v>9</c:v>
                </c:pt>
                <c:pt idx="7">
                  <c:v>7</c:v>
                </c:pt>
                <c:pt idx="8">
                  <c:v>24</c:v>
                </c:pt>
                <c:pt idx="9">
                  <c:v>16</c:v>
                </c:pt>
                <c:pt idx="10">
                  <c:v>5</c:v>
                </c:pt>
                <c:pt idx="11">
                  <c:v>0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13</c:v>
                </c:pt>
                <c:pt idx="16">
                  <c:v>3</c:v>
                </c:pt>
                <c:pt idx="17">
                  <c:v>5</c:v>
                </c:pt>
                <c:pt idx="18">
                  <c:v>6</c:v>
                </c:pt>
                <c:pt idx="19">
                  <c:v>4</c:v>
                </c:pt>
                <c:pt idx="20">
                  <c:v>10</c:v>
                </c:pt>
                <c:pt idx="21">
                  <c:v>9</c:v>
                </c:pt>
                <c:pt idx="22">
                  <c:v>9</c:v>
                </c:pt>
                <c:pt idx="23">
                  <c:v>16</c:v>
                </c:pt>
                <c:pt idx="24">
                  <c:v>11</c:v>
                </c:pt>
                <c:pt idx="25">
                  <c:v>8</c:v>
                </c:pt>
                <c:pt idx="26">
                  <c:v>9</c:v>
                </c:pt>
                <c:pt idx="27">
                  <c:v>0</c:v>
                </c:pt>
                <c:pt idx="28">
                  <c:v>0</c:v>
                </c:pt>
                <c:pt idx="29">
                  <c:v>3</c:v>
                </c:pt>
                <c:pt idx="30">
                  <c:v>7</c:v>
                </c:pt>
                <c:pt idx="31">
                  <c:v>5</c:v>
                </c:pt>
                <c:pt idx="32">
                  <c:v>17</c:v>
                </c:pt>
                <c:pt idx="33">
                  <c:v>12</c:v>
                </c:pt>
                <c:pt idx="34">
                  <c:v>7</c:v>
                </c:pt>
                <c:pt idx="35">
                  <c:v>4</c:v>
                </c:pt>
                <c:pt idx="36">
                  <c:v>6</c:v>
                </c:pt>
                <c:pt idx="37">
                  <c:v>10</c:v>
                </c:pt>
                <c:pt idx="38">
                  <c:v>5</c:v>
                </c:pt>
                <c:pt idx="39">
                  <c:v>0</c:v>
                </c:pt>
                <c:pt idx="40">
                  <c:v>8</c:v>
                </c:pt>
                <c:pt idx="41">
                  <c:v>0</c:v>
                </c:pt>
                <c:pt idx="42">
                  <c:v>12</c:v>
                </c:pt>
                <c:pt idx="43">
                  <c:v>2</c:v>
                </c:pt>
                <c:pt idx="44">
                  <c:v>0</c:v>
                </c:pt>
                <c:pt idx="45">
                  <c:v>1</c:v>
                </c:pt>
                <c:pt idx="46">
                  <c:v>8</c:v>
                </c:pt>
                <c:pt idx="47">
                  <c:v>7</c:v>
                </c:pt>
                <c:pt idx="48">
                  <c:v>0</c:v>
                </c:pt>
                <c:pt idx="49">
                  <c:v>4</c:v>
                </c:pt>
                <c:pt idx="50">
                  <c:v>4</c:v>
                </c:pt>
                <c:pt idx="51">
                  <c:v>3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B-448E-AF09-B603E6363A92}"/>
            </c:ext>
          </c:extLst>
        </c:ser>
        <c:ser>
          <c:idx val="1"/>
          <c:order val="1"/>
          <c:spPr>
            <a:solidFill>
              <a:srgbClr val="FF5050"/>
            </a:solidFill>
            <a:ln>
              <a:solidFill>
                <a:srgbClr val="FF7C80"/>
              </a:solidFill>
            </a:ln>
            <a:effectLst>
              <a:glow rad="44450">
                <a:schemeClr val="bg1"/>
              </a:glow>
              <a:outerShdw blurRad="50800" dist="50800" dir="5400000" rotWithShape="0">
                <a:schemeClr val="bg1"/>
              </a:outerShdw>
            </a:effectLst>
            <a:scene3d>
              <a:camera prst="orthographicFront"/>
              <a:lightRig rig="threePt" dir="t">
                <a:rot lat="0" lon="0" rev="1200000"/>
              </a:lightRig>
            </a:scene3d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繁育统计!$A$2:$A$55</c:f>
              <c:numCache>
                <c:formatCode>mmm\-yy</c:formatCode>
                <c:ptCount val="54"/>
                <c:pt idx="0">
                  <c:v>44013</c:v>
                </c:pt>
                <c:pt idx="1">
                  <c:v>44044</c:v>
                </c:pt>
                <c:pt idx="2">
                  <c:v>44075</c:v>
                </c:pt>
                <c:pt idx="3">
                  <c:v>44105</c:v>
                </c:pt>
                <c:pt idx="4">
                  <c:v>44136</c:v>
                </c:pt>
                <c:pt idx="5">
                  <c:v>44166</c:v>
                </c:pt>
                <c:pt idx="6">
                  <c:v>44197</c:v>
                </c:pt>
                <c:pt idx="7">
                  <c:v>44228</c:v>
                </c:pt>
                <c:pt idx="8">
                  <c:v>44256</c:v>
                </c:pt>
                <c:pt idx="9">
                  <c:v>44287</c:v>
                </c:pt>
                <c:pt idx="10">
                  <c:v>44317</c:v>
                </c:pt>
                <c:pt idx="11">
                  <c:v>44348</c:v>
                </c:pt>
                <c:pt idx="12">
                  <c:v>44378</c:v>
                </c:pt>
                <c:pt idx="13">
                  <c:v>44409</c:v>
                </c:pt>
                <c:pt idx="14">
                  <c:v>44440</c:v>
                </c:pt>
                <c:pt idx="15">
                  <c:v>44470</c:v>
                </c:pt>
                <c:pt idx="16">
                  <c:v>44501</c:v>
                </c:pt>
                <c:pt idx="17">
                  <c:v>44531</c:v>
                </c:pt>
                <c:pt idx="18">
                  <c:v>44562</c:v>
                </c:pt>
                <c:pt idx="19">
                  <c:v>44593</c:v>
                </c:pt>
                <c:pt idx="20">
                  <c:v>44621</c:v>
                </c:pt>
                <c:pt idx="21">
                  <c:v>44652</c:v>
                </c:pt>
                <c:pt idx="22">
                  <c:v>44682</c:v>
                </c:pt>
                <c:pt idx="23">
                  <c:v>44713</c:v>
                </c:pt>
                <c:pt idx="24">
                  <c:v>44743</c:v>
                </c:pt>
                <c:pt idx="25">
                  <c:v>44774</c:v>
                </c:pt>
                <c:pt idx="26">
                  <c:v>44805</c:v>
                </c:pt>
                <c:pt idx="27">
                  <c:v>44835</c:v>
                </c:pt>
                <c:pt idx="28">
                  <c:v>44866</c:v>
                </c:pt>
                <c:pt idx="29">
                  <c:v>44896</c:v>
                </c:pt>
                <c:pt idx="30">
                  <c:v>44927</c:v>
                </c:pt>
                <c:pt idx="31">
                  <c:v>44958</c:v>
                </c:pt>
                <c:pt idx="32">
                  <c:v>44986</c:v>
                </c:pt>
                <c:pt idx="33">
                  <c:v>45017</c:v>
                </c:pt>
                <c:pt idx="34">
                  <c:v>45047</c:v>
                </c:pt>
                <c:pt idx="35">
                  <c:v>45078</c:v>
                </c:pt>
                <c:pt idx="36">
                  <c:v>45108</c:v>
                </c:pt>
                <c:pt idx="37">
                  <c:v>45139</c:v>
                </c:pt>
                <c:pt idx="38">
                  <c:v>45170</c:v>
                </c:pt>
                <c:pt idx="39">
                  <c:v>45200</c:v>
                </c:pt>
                <c:pt idx="40">
                  <c:v>45231</c:v>
                </c:pt>
                <c:pt idx="41">
                  <c:v>45261</c:v>
                </c:pt>
                <c:pt idx="42">
                  <c:v>45292</c:v>
                </c:pt>
                <c:pt idx="43">
                  <c:v>45323</c:v>
                </c:pt>
                <c:pt idx="44">
                  <c:v>45352</c:v>
                </c:pt>
                <c:pt idx="45">
                  <c:v>45383</c:v>
                </c:pt>
                <c:pt idx="46">
                  <c:v>45413</c:v>
                </c:pt>
                <c:pt idx="47">
                  <c:v>45444</c:v>
                </c:pt>
                <c:pt idx="48">
                  <c:v>45474</c:v>
                </c:pt>
                <c:pt idx="49">
                  <c:v>45505</c:v>
                </c:pt>
                <c:pt idx="50">
                  <c:v>45536</c:v>
                </c:pt>
                <c:pt idx="51">
                  <c:v>45566</c:v>
                </c:pt>
                <c:pt idx="52">
                  <c:v>45597</c:v>
                </c:pt>
                <c:pt idx="53">
                  <c:v>45627</c:v>
                </c:pt>
              </c:numCache>
            </c:numRef>
          </c:cat>
          <c:val>
            <c:numRef>
              <c:f>繁育统计!$D$2:$D$55</c:f>
              <c:numCache>
                <c:formatCode>General</c:formatCode>
                <c:ptCount val="54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9</c:v>
                </c:pt>
                <c:pt idx="9">
                  <c:v>5</c:v>
                </c:pt>
                <c:pt idx="10">
                  <c:v>4</c:v>
                </c:pt>
                <c:pt idx="11">
                  <c:v>0</c:v>
                </c:pt>
                <c:pt idx="12">
                  <c:v>6</c:v>
                </c:pt>
                <c:pt idx="13">
                  <c:v>0</c:v>
                </c:pt>
                <c:pt idx="14">
                  <c:v>4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0</c:v>
                </c:pt>
                <c:pt idx="20">
                  <c:v>1</c:v>
                </c:pt>
                <c:pt idx="21">
                  <c:v>10</c:v>
                </c:pt>
                <c:pt idx="22">
                  <c:v>1</c:v>
                </c:pt>
                <c:pt idx="23">
                  <c:v>10</c:v>
                </c:pt>
                <c:pt idx="24">
                  <c:v>11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</c:v>
                </c:pt>
                <c:pt idx="32">
                  <c:v>3</c:v>
                </c:pt>
                <c:pt idx="33">
                  <c:v>0</c:v>
                </c:pt>
                <c:pt idx="34">
                  <c:v>8</c:v>
                </c:pt>
                <c:pt idx="35">
                  <c:v>3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9</c:v>
                </c:pt>
                <c:pt idx="47">
                  <c:v>0</c:v>
                </c:pt>
                <c:pt idx="48">
                  <c:v>0</c:v>
                </c:pt>
                <c:pt idx="49">
                  <c:v>3</c:v>
                </c:pt>
                <c:pt idx="50">
                  <c:v>2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0B-448E-AF09-B603E6363A9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54814959"/>
        <c:axId val="913370303"/>
      </c:barChart>
      <c:dateAx>
        <c:axId val="85481495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370303"/>
        <c:crosses val="autoZero"/>
        <c:auto val="1"/>
        <c:lblOffset val="100"/>
        <c:baseTimeUnit val="months"/>
      </c:dateAx>
      <c:valAx>
        <c:axId val="91337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814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37458084643348E-2"/>
          <c:y val="0.17037037037037034"/>
          <c:w val="0.91235351808781906"/>
          <c:h val="0.62514654418197724"/>
        </c:manualLayout>
      </c:layout>
      <c:bubbleChart>
        <c:varyColors val="0"/>
        <c:ser>
          <c:idx val="0"/>
          <c:order val="0"/>
          <c:tx>
            <c:strRef>
              <c:f>繁育统计!$G$1</c:f>
              <c:strCache>
                <c:ptCount val="1"/>
                <c:pt idx="0">
                  <c:v>季度单窝存活数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25400"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繁育统计!$A$2:$A$55</c:f>
              <c:numCache>
                <c:formatCode>mmm\-yy</c:formatCode>
                <c:ptCount val="54"/>
                <c:pt idx="0">
                  <c:v>44013</c:v>
                </c:pt>
                <c:pt idx="1">
                  <c:v>44044</c:v>
                </c:pt>
                <c:pt idx="2">
                  <c:v>44075</c:v>
                </c:pt>
                <c:pt idx="3">
                  <c:v>44105</c:v>
                </c:pt>
                <c:pt idx="4">
                  <c:v>44136</c:v>
                </c:pt>
                <c:pt idx="5">
                  <c:v>44166</c:v>
                </c:pt>
                <c:pt idx="6">
                  <c:v>44197</c:v>
                </c:pt>
                <c:pt idx="7">
                  <c:v>44228</c:v>
                </c:pt>
                <c:pt idx="8">
                  <c:v>44256</c:v>
                </c:pt>
                <c:pt idx="9">
                  <c:v>44287</c:v>
                </c:pt>
                <c:pt idx="10">
                  <c:v>44317</c:v>
                </c:pt>
                <c:pt idx="11">
                  <c:v>44348</c:v>
                </c:pt>
                <c:pt idx="12">
                  <c:v>44378</c:v>
                </c:pt>
                <c:pt idx="13">
                  <c:v>44409</c:v>
                </c:pt>
                <c:pt idx="14">
                  <c:v>44440</c:v>
                </c:pt>
                <c:pt idx="15">
                  <c:v>44470</c:v>
                </c:pt>
                <c:pt idx="16">
                  <c:v>44501</c:v>
                </c:pt>
                <c:pt idx="17">
                  <c:v>44531</c:v>
                </c:pt>
                <c:pt idx="18">
                  <c:v>44562</c:v>
                </c:pt>
                <c:pt idx="19">
                  <c:v>44593</c:v>
                </c:pt>
                <c:pt idx="20">
                  <c:v>44621</c:v>
                </c:pt>
                <c:pt idx="21">
                  <c:v>44652</c:v>
                </c:pt>
                <c:pt idx="22">
                  <c:v>44682</c:v>
                </c:pt>
                <c:pt idx="23">
                  <c:v>44713</c:v>
                </c:pt>
                <c:pt idx="24">
                  <c:v>44743</c:v>
                </c:pt>
                <c:pt idx="25">
                  <c:v>44774</c:v>
                </c:pt>
                <c:pt idx="26">
                  <c:v>44805</c:v>
                </c:pt>
                <c:pt idx="27">
                  <c:v>44835</c:v>
                </c:pt>
                <c:pt idx="28">
                  <c:v>44866</c:v>
                </c:pt>
                <c:pt idx="29">
                  <c:v>44896</c:v>
                </c:pt>
                <c:pt idx="30">
                  <c:v>44927</c:v>
                </c:pt>
                <c:pt idx="31">
                  <c:v>44958</c:v>
                </c:pt>
                <c:pt idx="32">
                  <c:v>44986</c:v>
                </c:pt>
                <c:pt idx="33">
                  <c:v>45017</c:v>
                </c:pt>
                <c:pt idx="34">
                  <c:v>45047</c:v>
                </c:pt>
                <c:pt idx="35">
                  <c:v>45078</c:v>
                </c:pt>
                <c:pt idx="36">
                  <c:v>45108</c:v>
                </c:pt>
                <c:pt idx="37">
                  <c:v>45139</c:v>
                </c:pt>
                <c:pt idx="38">
                  <c:v>45170</c:v>
                </c:pt>
                <c:pt idx="39">
                  <c:v>45200</c:v>
                </c:pt>
                <c:pt idx="40">
                  <c:v>45231</c:v>
                </c:pt>
                <c:pt idx="41">
                  <c:v>45261</c:v>
                </c:pt>
                <c:pt idx="42">
                  <c:v>45292</c:v>
                </c:pt>
                <c:pt idx="43">
                  <c:v>45323</c:v>
                </c:pt>
                <c:pt idx="44">
                  <c:v>45352</c:v>
                </c:pt>
                <c:pt idx="45">
                  <c:v>45383</c:v>
                </c:pt>
                <c:pt idx="46">
                  <c:v>45413</c:v>
                </c:pt>
                <c:pt idx="47">
                  <c:v>45444</c:v>
                </c:pt>
                <c:pt idx="48">
                  <c:v>45474</c:v>
                </c:pt>
                <c:pt idx="49">
                  <c:v>45505</c:v>
                </c:pt>
                <c:pt idx="50">
                  <c:v>45536</c:v>
                </c:pt>
                <c:pt idx="51">
                  <c:v>45566</c:v>
                </c:pt>
                <c:pt idx="52">
                  <c:v>45597</c:v>
                </c:pt>
                <c:pt idx="53">
                  <c:v>45627</c:v>
                </c:pt>
              </c:numCache>
            </c:numRef>
          </c:xVal>
          <c:yVal>
            <c:numRef>
              <c:f>繁育统计!$G$2:$G$55</c:f>
              <c:numCache>
                <c:formatCode>0.00;[Red]0.00</c:formatCode>
                <c:ptCount val="54"/>
                <c:pt idx="2">
                  <c:v>1.6666666666666667</c:v>
                </c:pt>
                <c:pt idx="5">
                  <c:v>2.3333333333333335</c:v>
                </c:pt>
                <c:pt idx="8">
                  <c:v>3.0769230769230771</c:v>
                </c:pt>
                <c:pt idx="11">
                  <c:v>3</c:v>
                </c:pt>
                <c:pt idx="14">
                  <c:v>3.6428571428571428</c:v>
                </c:pt>
                <c:pt idx="17">
                  <c:v>4.2</c:v>
                </c:pt>
                <c:pt idx="20">
                  <c:v>4</c:v>
                </c:pt>
                <c:pt idx="23">
                  <c:v>2.8333333333333335</c:v>
                </c:pt>
                <c:pt idx="26">
                  <c:v>3.1111111111111112</c:v>
                </c:pt>
                <c:pt idx="29">
                  <c:v>3</c:v>
                </c:pt>
                <c:pt idx="32">
                  <c:v>2.9</c:v>
                </c:pt>
                <c:pt idx="35">
                  <c:v>3.2857142857142856</c:v>
                </c:pt>
                <c:pt idx="38">
                  <c:v>3.5</c:v>
                </c:pt>
                <c:pt idx="41">
                  <c:v>2.6666666666666665</c:v>
                </c:pt>
                <c:pt idx="44">
                  <c:v>3.5</c:v>
                </c:pt>
                <c:pt idx="47">
                  <c:v>1.7777777777777777</c:v>
                </c:pt>
                <c:pt idx="50">
                  <c:v>2</c:v>
                </c:pt>
                <c:pt idx="53">
                  <c:v>3</c:v>
                </c:pt>
              </c:numCache>
            </c:numRef>
          </c:yVal>
          <c:bubbleSize>
            <c:numLit>
              <c:formatCode>General</c:formatCode>
              <c:ptCount val="54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  <c:pt idx="52">
                <c:v>1</c:v>
              </c:pt>
              <c:pt idx="53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0-658E-489C-85C6-1826F3CCF45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599410991"/>
        <c:axId val="913363647"/>
      </c:bubbleChart>
      <c:valAx>
        <c:axId val="599410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363647"/>
        <c:crosses val="autoZero"/>
        <c:crossBetween val="midCat"/>
      </c:valAx>
      <c:valAx>
        <c:axId val="91336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;[Red]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410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zh-CN" altLang="en-US"/>
              <a:t>季度</a:t>
            </a:r>
            <a:r>
              <a:rPr lang="zh-CN"/>
              <a:t>存活率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81820108729444E-2"/>
          <c:y val="0.17520125862506775"/>
          <c:w val="0.90775577810166663"/>
          <c:h val="0.72518193495683703"/>
        </c:manualLayout>
      </c:layout>
      <c:bubbleChart>
        <c:varyColors val="0"/>
        <c:ser>
          <c:idx val="0"/>
          <c:order val="0"/>
          <c:tx>
            <c:strRef>
              <c:f>繁育统计!$F$1</c:f>
              <c:strCache>
                <c:ptCount val="1"/>
                <c:pt idx="0">
                  <c:v>季度存活率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(繁育统计!$A$4,繁育统计!$A$7,繁育统计!$A$10,繁育统计!$A$13,繁育统计!$A$16,繁育统计!$A$19,繁育统计!$A$22,繁育统计!$A$25,繁育统计!$A$28,繁育统计!$A$31,繁育统计!$A$34,繁育统计!$A$37,繁育统计!$A$40,繁育统计!$A$43,繁育统计!$A$46,繁育统计!$A$49,繁育统计!$A$52,繁育统计!$A$55)</c:f>
              <c:numCache>
                <c:formatCode>mmm\-yy</c:formatCode>
                <c:ptCount val="18"/>
                <c:pt idx="0">
                  <c:v>44075</c:v>
                </c:pt>
                <c:pt idx="1">
                  <c:v>44166</c:v>
                </c:pt>
                <c:pt idx="2">
                  <c:v>44256</c:v>
                </c:pt>
                <c:pt idx="3">
                  <c:v>44348</c:v>
                </c:pt>
                <c:pt idx="4">
                  <c:v>44440</c:v>
                </c:pt>
                <c:pt idx="5">
                  <c:v>44531</c:v>
                </c:pt>
                <c:pt idx="6">
                  <c:v>44621</c:v>
                </c:pt>
                <c:pt idx="7">
                  <c:v>44713</c:v>
                </c:pt>
                <c:pt idx="8">
                  <c:v>44805</c:v>
                </c:pt>
                <c:pt idx="9">
                  <c:v>44896</c:v>
                </c:pt>
                <c:pt idx="10">
                  <c:v>44986</c:v>
                </c:pt>
                <c:pt idx="11">
                  <c:v>45078</c:v>
                </c:pt>
                <c:pt idx="12">
                  <c:v>45170</c:v>
                </c:pt>
                <c:pt idx="13">
                  <c:v>45261</c:v>
                </c:pt>
                <c:pt idx="14">
                  <c:v>45352</c:v>
                </c:pt>
                <c:pt idx="15">
                  <c:v>45444</c:v>
                </c:pt>
                <c:pt idx="16">
                  <c:v>45536</c:v>
                </c:pt>
                <c:pt idx="17">
                  <c:v>45627</c:v>
                </c:pt>
              </c:numCache>
            </c:numRef>
          </c:xVal>
          <c:yVal>
            <c:numRef>
              <c:f>(繁育统计!$F$4,繁育统计!$F$7,繁育统计!$F$10,繁育统计!$F$13,繁育统计!$F$16,繁育统计!$F$19,繁育统计!$F$22,繁育统计!$F$25,繁育统计!$F$28,繁育统计!$F$31,繁育统计!$F$34,繁育统计!$F$37,繁育统计!$F$40,繁育统计!$F$43,繁育统计!$F$46,繁育统计!$F$49,繁育统计!$F$52,繁育统计!$F$55)</c:f>
              <c:numCache>
                <c:formatCode>0.00;[Red]0.00</c:formatCode>
                <c:ptCount val="18"/>
                <c:pt idx="0">
                  <c:v>0.625</c:v>
                </c:pt>
                <c:pt idx="1">
                  <c:v>0.53846153846153844</c:v>
                </c:pt>
                <c:pt idx="2">
                  <c:v>0.78431372549019607</c:v>
                </c:pt>
                <c:pt idx="3">
                  <c:v>0.7</c:v>
                </c:pt>
                <c:pt idx="4">
                  <c:v>0.83606557377049184</c:v>
                </c:pt>
                <c:pt idx="5">
                  <c:v>0.84</c:v>
                </c:pt>
                <c:pt idx="6">
                  <c:v>0.8</c:v>
                </c:pt>
                <c:pt idx="7">
                  <c:v>0.61818181818181817</c:v>
                </c:pt>
                <c:pt idx="8">
                  <c:v>0.7</c:v>
                </c:pt>
                <c:pt idx="9">
                  <c:v>1</c:v>
                </c:pt>
                <c:pt idx="10">
                  <c:v>0.78378378378378377</c:v>
                </c:pt>
                <c:pt idx="11">
                  <c:v>0.67647058823529416</c:v>
                </c:pt>
                <c:pt idx="12">
                  <c:v>0.875</c:v>
                </c:pt>
                <c:pt idx="13">
                  <c:v>0.8</c:v>
                </c:pt>
                <c:pt idx="14">
                  <c:v>0.875</c:v>
                </c:pt>
                <c:pt idx="15">
                  <c:v>0.64</c:v>
                </c:pt>
                <c:pt idx="16">
                  <c:v>0.61538461538461542</c:v>
                </c:pt>
                <c:pt idx="17">
                  <c:v>0.75</c:v>
                </c:pt>
              </c:numCache>
            </c:numRef>
          </c:yVal>
          <c:bubbleSize>
            <c:numLit>
              <c:formatCode>General</c:formatCode>
              <c:ptCount val="3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0-1097-4B57-8E6F-76E55C05C55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853259775"/>
        <c:axId val="913369887"/>
      </c:bubbleChart>
      <c:valAx>
        <c:axId val="85325977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369887"/>
        <c:crosses val="autoZero"/>
        <c:crossBetween val="midCat"/>
      </c:valAx>
      <c:valAx>
        <c:axId val="91336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;[Red]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259775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zh-CN"/>
              <a:t>盈亏表</a:t>
            </a:r>
          </a:p>
        </c:rich>
      </c:tx>
      <c:layout>
        <c:manualLayout>
          <c:xMode val="edge"/>
          <c:yMode val="edge"/>
          <c:x val="0.48077531822603525"/>
          <c:y val="2.305474341764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429128377336987E-2"/>
          <c:y val="0.10005476257950913"/>
          <c:w val="0.93293713321380434"/>
          <c:h val="0.77490018183596843"/>
        </c:manualLayout>
      </c:layou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账单!$A$2:$A$70</c:f>
              <c:numCache>
                <c:formatCode>mmm\-yy</c:formatCode>
                <c:ptCount val="69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44927</c:v>
                </c:pt>
                <c:pt idx="46">
                  <c:v>44958</c:v>
                </c:pt>
                <c:pt idx="47">
                  <c:v>44986</c:v>
                </c:pt>
                <c:pt idx="48">
                  <c:v>45017</c:v>
                </c:pt>
                <c:pt idx="49">
                  <c:v>45047</c:v>
                </c:pt>
                <c:pt idx="50">
                  <c:v>45078</c:v>
                </c:pt>
                <c:pt idx="51">
                  <c:v>45108</c:v>
                </c:pt>
                <c:pt idx="52">
                  <c:v>45139</c:v>
                </c:pt>
                <c:pt idx="53">
                  <c:v>45170</c:v>
                </c:pt>
                <c:pt idx="54">
                  <c:v>45200</c:v>
                </c:pt>
                <c:pt idx="55">
                  <c:v>45231</c:v>
                </c:pt>
                <c:pt idx="56">
                  <c:v>45261</c:v>
                </c:pt>
                <c:pt idx="57">
                  <c:v>45292</c:v>
                </c:pt>
                <c:pt idx="58">
                  <c:v>45323</c:v>
                </c:pt>
                <c:pt idx="59">
                  <c:v>45352</c:v>
                </c:pt>
                <c:pt idx="60">
                  <c:v>45383</c:v>
                </c:pt>
                <c:pt idx="61">
                  <c:v>45413</c:v>
                </c:pt>
                <c:pt idx="62">
                  <c:v>45444</c:v>
                </c:pt>
                <c:pt idx="63">
                  <c:v>45474</c:v>
                </c:pt>
                <c:pt idx="64">
                  <c:v>45505</c:v>
                </c:pt>
                <c:pt idx="65">
                  <c:v>45536</c:v>
                </c:pt>
                <c:pt idx="66">
                  <c:v>45566</c:v>
                </c:pt>
                <c:pt idx="67">
                  <c:v>45597</c:v>
                </c:pt>
                <c:pt idx="68">
                  <c:v>45627</c:v>
                </c:pt>
              </c:numCache>
            </c:numRef>
          </c:cat>
          <c:val>
            <c:numRef>
              <c:f>账单!$P$2:$P$70</c:f>
              <c:numCache>
                <c:formatCode>General</c:formatCode>
                <c:ptCount val="69"/>
                <c:pt idx="0">
                  <c:v>-4382</c:v>
                </c:pt>
                <c:pt idx="1">
                  <c:v>-7271</c:v>
                </c:pt>
                <c:pt idx="2">
                  <c:v>-17848</c:v>
                </c:pt>
                <c:pt idx="3">
                  <c:v>-24115</c:v>
                </c:pt>
                <c:pt idx="4">
                  <c:v>-30193</c:v>
                </c:pt>
                <c:pt idx="5">
                  <c:v>-42303</c:v>
                </c:pt>
                <c:pt idx="6">
                  <c:v>-51574</c:v>
                </c:pt>
                <c:pt idx="7">
                  <c:v>-56598</c:v>
                </c:pt>
                <c:pt idx="8">
                  <c:v>-76131</c:v>
                </c:pt>
                <c:pt idx="9">
                  <c:v>-83412</c:v>
                </c:pt>
                <c:pt idx="10">
                  <c:v>-83303</c:v>
                </c:pt>
                <c:pt idx="11">
                  <c:v>-98919</c:v>
                </c:pt>
                <c:pt idx="12">
                  <c:v>-116346</c:v>
                </c:pt>
                <c:pt idx="13">
                  <c:v>-118136</c:v>
                </c:pt>
                <c:pt idx="14">
                  <c:v>-122116</c:v>
                </c:pt>
                <c:pt idx="15">
                  <c:v>-134014</c:v>
                </c:pt>
                <c:pt idx="16">
                  <c:v>-141186</c:v>
                </c:pt>
                <c:pt idx="17">
                  <c:v>-147448</c:v>
                </c:pt>
                <c:pt idx="18">
                  <c:v>-151633</c:v>
                </c:pt>
                <c:pt idx="19">
                  <c:v>-154705</c:v>
                </c:pt>
                <c:pt idx="20">
                  <c:v>-163884</c:v>
                </c:pt>
                <c:pt idx="21">
                  <c:v>-156165</c:v>
                </c:pt>
                <c:pt idx="22">
                  <c:v>-157268</c:v>
                </c:pt>
                <c:pt idx="23">
                  <c:v>-163984</c:v>
                </c:pt>
                <c:pt idx="24">
                  <c:v>-202758</c:v>
                </c:pt>
                <c:pt idx="25">
                  <c:v>-205829</c:v>
                </c:pt>
                <c:pt idx="26">
                  <c:v>-187163</c:v>
                </c:pt>
                <c:pt idx="27">
                  <c:v>-184038</c:v>
                </c:pt>
                <c:pt idx="28">
                  <c:v>-185645</c:v>
                </c:pt>
                <c:pt idx="29">
                  <c:v>-175668</c:v>
                </c:pt>
                <c:pt idx="30">
                  <c:v>-179842</c:v>
                </c:pt>
                <c:pt idx="31">
                  <c:v>-170527</c:v>
                </c:pt>
                <c:pt idx="32">
                  <c:v>-162927</c:v>
                </c:pt>
                <c:pt idx="33">
                  <c:v>-164683</c:v>
                </c:pt>
                <c:pt idx="34">
                  <c:v>-164463</c:v>
                </c:pt>
                <c:pt idx="35">
                  <c:v>-168994</c:v>
                </c:pt>
                <c:pt idx="36">
                  <c:v>-159972</c:v>
                </c:pt>
                <c:pt idx="37">
                  <c:v>-158171</c:v>
                </c:pt>
                <c:pt idx="38">
                  <c:v>-155294</c:v>
                </c:pt>
                <c:pt idx="39">
                  <c:v>-163395</c:v>
                </c:pt>
                <c:pt idx="40">
                  <c:v>-158000</c:v>
                </c:pt>
                <c:pt idx="41">
                  <c:v>-164582</c:v>
                </c:pt>
                <c:pt idx="42">
                  <c:v>-175318</c:v>
                </c:pt>
                <c:pt idx="43">
                  <c:v>-167293</c:v>
                </c:pt>
                <c:pt idx="44">
                  <c:v>-170329</c:v>
                </c:pt>
                <c:pt idx="45">
                  <c:v>-174354</c:v>
                </c:pt>
                <c:pt idx="46">
                  <c:v>-179573</c:v>
                </c:pt>
                <c:pt idx="47">
                  <c:v>-170889</c:v>
                </c:pt>
                <c:pt idx="48">
                  <c:v>-171117</c:v>
                </c:pt>
                <c:pt idx="49">
                  <c:v>-167221</c:v>
                </c:pt>
                <c:pt idx="50">
                  <c:v>-165256.29999999999</c:v>
                </c:pt>
                <c:pt idx="51">
                  <c:v>-166532.29999999999</c:v>
                </c:pt>
                <c:pt idx="52">
                  <c:v>-166403.29999999999</c:v>
                </c:pt>
                <c:pt idx="53">
                  <c:v>-169311.3</c:v>
                </c:pt>
                <c:pt idx="54">
                  <c:v>-179097.3</c:v>
                </c:pt>
                <c:pt idx="55">
                  <c:v>-184906.3</c:v>
                </c:pt>
                <c:pt idx="56">
                  <c:v>-188210.3</c:v>
                </c:pt>
                <c:pt idx="57">
                  <c:v>-188206.3</c:v>
                </c:pt>
                <c:pt idx="58">
                  <c:v>-191565.3</c:v>
                </c:pt>
                <c:pt idx="59">
                  <c:v>-189513.3</c:v>
                </c:pt>
                <c:pt idx="60">
                  <c:v>-189060.3</c:v>
                </c:pt>
                <c:pt idx="61">
                  <c:v>-176765.3</c:v>
                </c:pt>
                <c:pt idx="62">
                  <c:v>-178643.3</c:v>
                </c:pt>
                <c:pt idx="63">
                  <c:v>-181169.3</c:v>
                </c:pt>
                <c:pt idx="64">
                  <c:v>-182813.8</c:v>
                </c:pt>
                <c:pt idx="65">
                  <c:v>-176314.8</c:v>
                </c:pt>
                <c:pt idx="66">
                  <c:v>-176314.8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CD-479A-960B-8C52E94C397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-1330624976"/>
        <c:axId val="-1330621168"/>
      </c:lineChart>
      <c:dateAx>
        <c:axId val="-133062497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30621168"/>
        <c:crosses val="autoZero"/>
        <c:auto val="1"/>
        <c:lblOffset val="100"/>
        <c:baseTimeUnit val="months"/>
      </c:dateAx>
      <c:valAx>
        <c:axId val="-133062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3062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bg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zh-CN" altLang="en-US"/>
              <a:t>盈亏总计表</a:t>
            </a:r>
            <a:endParaRPr lang="en-US" altLang="zh-CN"/>
          </a:p>
        </c:rich>
      </c:tx>
      <c:layout>
        <c:manualLayout>
          <c:xMode val="edge"/>
          <c:yMode val="edge"/>
          <c:x val="0.47259869603243515"/>
          <c:y val="6.512005677238335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967601357362787E-2"/>
          <c:y val="8.6158962673388559E-2"/>
          <c:w val="0.92611609262108474"/>
          <c:h val="0.74976686976291451"/>
        </c:manualLayout>
      </c:layout>
      <c:lineChart>
        <c:grouping val="standard"/>
        <c:varyColors val="0"/>
        <c:ser>
          <c:idx val="0"/>
          <c:order val="0"/>
          <c:tx>
            <c:strRef>
              <c:f>账单!$O$1</c:f>
              <c:strCache>
                <c:ptCount val="1"/>
                <c:pt idx="0">
                  <c:v>每月盈亏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solidFill>
                  <a:schemeClr val="accent2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t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账单!$A$2:$A$70</c15:sqref>
                  </c15:fullRef>
                </c:ext>
              </c:extLst>
              <c:f>(账单!$A$2:$A$46,账单!$A$48:$A$70)</c:f>
              <c:numCache>
                <c:formatCode>mmm\-yy</c:formatCode>
                <c:ptCount val="68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44958</c:v>
                </c:pt>
                <c:pt idx="46">
                  <c:v>44986</c:v>
                </c:pt>
                <c:pt idx="47">
                  <c:v>45017</c:v>
                </c:pt>
                <c:pt idx="48">
                  <c:v>45047</c:v>
                </c:pt>
                <c:pt idx="49">
                  <c:v>45078</c:v>
                </c:pt>
                <c:pt idx="50">
                  <c:v>45108</c:v>
                </c:pt>
                <c:pt idx="51">
                  <c:v>45139</c:v>
                </c:pt>
                <c:pt idx="52">
                  <c:v>45170</c:v>
                </c:pt>
                <c:pt idx="53">
                  <c:v>45200</c:v>
                </c:pt>
                <c:pt idx="54">
                  <c:v>45231</c:v>
                </c:pt>
                <c:pt idx="55">
                  <c:v>45261</c:v>
                </c:pt>
                <c:pt idx="56">
                  <c:v>45292</c:v>
                </c:pt>
                <c:pt idx="57">
                  <c:v>45323</c:v>
                </c:pt>
                <c:pt idx="58">
                  <c:v>45352</c:v>
                </c:pt>
                <c:pt idx="59">
                  <c:v>45383</c:v>
                </c:pt>
                <c:pt idx="60">
                  <c:v>45413</c:v>
                </c:pt>
                <c:pt idx="61">
                  <c:v>45444</c:v>
                </c:pt>
                <c:pt idx="62">
                  <c:v>45474</c:v>
                </c:pt>
                <c:pt idx="63">
                  <c:v>45505</c:v>
                </c:pt>
                <c:pt idx="64">
                  <c:v>45536</c:v>
                </c:pt>
                <c:pt idx="65">
                  <c:v>45566</c:v>
                </c:pt>
                <c:pt idx="66">
                  <c:v>45597</c:v>
                </c:pt>
                <c:pt idx="67">
                  <c:v>45627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账单!$O$2:$O$70</c15:sqref>
                  </c15:fullRef>
                </c:ext>
              </c:extLst>
              <c:f>(账单!$O$2:$O$46,账单!$O$48:$O$70)</c:f>
              <c:numCache>
                <c:formatCode>General</c:formatCode>
                <c:ptCount val="68"/>
                <c:pt idx="0">
                  <c:v>-4382</c:v>
                </c:pt>
                <c:pt idx="1">
                  <c:v>-2889</c:v>
                </c:pt>
                <c:pt idx="2">
                  <c:v>-10577</c:v>
                </c:pt>
                <c:pt idx="3">
                  <c:v>-6267</c:v>
                </c:pt>
                <c:pt idx="4">
                  <c:v>-6078</c:v>
                </c:pt>
                <c:pt idx="5">
                  <c:v>-12110</c:v>
                </c:pt>
                <c:pt idx="6">
                  <c:v>-9271</c:v>
                </c:pt>
                <c:pt idx="7">
                  <c:v>-5024</c:v>
                </c:pt>
                <c:pt idx="8">
                  <c:v>-19533</c:v>
                </c:pt>
                <c:pt idx="9">
                  <c:v>-7281</c:v>
                </c:pt>
                <c:pt idx="10">
                  <c:v>109</c:v>
                </c:pt>
                <c:pt idx="11">
                  <c:v>-15616</c:v>
                </c:pt>
                <c:pt idx="12">
                  <c:v>-17427</c:v>
                </c:pt>
                <c:pt idx="13">
                  <c:v>-1790</c:v>
                </c:pt>
                <c:pt idx="14">
                  <c:v>-3980</c:v>
                </c:pt>
                <c:pt idx="15">
                  <c:v>-11898</c:v>
                </c:pt>
                <c:pt idx="16">
                  <c:v>-7172</c:v>
                </c:pt>
                <c:pt idx="17">
                  <c:v>-6262</c:v>
                </c:pt>
                <c:pt idx="18">
                  <c:v>-4185</c:v>
                </c:pt>
                <c:pt idx="19">
                  <c:v>-3072</c:v>
                </c:pt>
                <c:pt idx="20">
                  <c:v>-9179</c:v>
                </c:pt>
                <c:pt idx="21">
                  <c:v>7719</c:v>
                </c:pt>
                <c:pt idx="22">
                  <c:v>-1103</c:v>
                </c:pt>
                <c:pt idx="23">
                  <c:v>-6716</c:v>
                </c:pt>
                <c:pt idx="24">
                  <c:v>-38774</c:v>
                </c:pt>
                <c:pt idx="25">
                  <c:v>-3071</c:v>
                </c:pt>
                <c:pt idx="26">
                  <c:v>18666</c:v>
                </c:pt>
                <c:pt idx="27">
                  <c:v>3125</c:v>
                </c:pt>
                <c:pt idx="28">
                  <c:v>-1607</c:v>
                </c:pt>
                <c:pt idx="29">
                  <c:v>9977</c:v>
                </c:pt>
                <c:pt idx="30">
                  <c:v>-4174</c:v>
                </c:pt>
                <c:pt idx="31">
                  <c:v>9315</c:v>
                </c:pt>
                <c:pt idx="32">
                  <c:v>7600</c:v>
                </c:pt>
                <c:pt idx="33">
                  <c:v>-1756</c:v>
                </c:pt>
                <c:pt idx="34">
                  <c:v>220</c:v>
                </c:pt>
                <c:pt idx="35">
                  <c:v>-4531</c:v>
                </c:pt>
                <c:pt idx="36">
                  <c:v>9022</c:v>
                </c:pt>
                <c:pt idx="37">
                  <c:v>1801</c:v>
                </c:pt>
                <c:pt idx="38">
                  <c:v>2877</c:v>
                </c:pt>
                <c:pt idx="39">
                  <c:v>-8101</c:v>
                </c:pt>
                <c:pt idx="40">
                  <c:v>5395</c:v>
                </c:pt>
                <c:pt idx="41">
                  <c:v>-6582</c:v>
                </c:pt>
                <c:pt idx="42">
                  <c:v>-10736</c:v>
                </c:pt>
                <c:pt idx="43">
                  <c:v>8025</c:v>
                </c:pt>
                <c:pt idx="44">
                  <c:v>-3036</c:v>
                </c:pt>
                <c:pt idx="45">
                  <c:v>-5219</c:v>
                </c:pt>
                <c:pt idx="46">
                  <c:v>8684</c:v>
                </c:pt>
                <c:pt idx="47">
                  <c:v>-228</c:v>
                </c:pt>
                <c:pt idx="48">
                  <c:v>3896</c:v>
                </c:pt>
                <c:pt idx="49">
                  <c:v>1964.6999999999998</c:v>
                </c:pt>
                <c:pt idx="50">
                  <c:v>-1276</c:v>
                </c:pt>
                <c:pt idx="51">
                  <c:v>129</c:v>
                </c:pt>
                <c:pt idx="52">
                  <c:v>-2908</c:v>
                </c:pt>
                <c:pt idx="53">
                  <c:v>-9786</c:v>
                </c:pt>
                <c:pt idx="54">
                  <c:v>-5809</c:v>
                </c:pt>
                <c:pt idx="55">
                  <c:v>-3304</c:v>
                </c:pt>
                <c:pt idx="56">
                  <c:v>4</c:v>
                </c:pt>
                <c:pt idx="57">
                  <c:v>-3359</c:v>
                </c:pt>
                <c:pt idx="58">
                  <c:v>2052</c:v>
                </c:pt>
                <c:pt idx="59">
                  <c:v>453</c:v>
                </c:pt>
                <c:pt idx="60">
                  <c:v>12295</c:v>
                </c:pt>
                <c:pt idx="61">
                  <c:v>-1878</c:v>
                </c:pt>
                <c:pt idx="62">
                  <c:v>-2526</c:v>
                </c:pt>
                <c:pt idx="63">
                  <c:v>-1644.5</c:v>
                </c:pt>
                <c:pt idx="64">
                  <c:v>6499</c:v>
                </c:pt>
                <c:pt idx="6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0C-4639-BD58-F370692C05B5}"/>
            </c:ext>
          </c:extLst>
        </c:ser>
        <c:ser>
          <c:idx val="1"/>
          <c:order val="1"/>
          <c:tx>
            <c:strRef>
              <c:f>账单!$M$1</c:f>
              <c:strCache>
                <c:ptCount val="1"/>
                <c:pt idx="0">
                  <c:v>每月总计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solidFill>
                  <a:schemeClr val="accent4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账单!$A$2:$A$70</c15:sqref>
                  </c15:fullRef>
                </c:ext>
              </c:extLst>
              <c:f>(账单!$A$2:$A$46,账单!$A$48:$A$70)</c:f>
              <c:numCache>
                <c:formatCode>mmm\-yy</c:formatCode>
                <c:ptCount val="68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  <c:pt idx="4">
                  <c:v>43678</c:v>
                </c:pt>
                <c:pt idx="5">
                  <c:v>43709</c:v>
                </c:pt>
                <c:pt idx="6">
                  <c:v>43739</c:v>
                </c:pt>
                <c:pt idx="7">
                  <c:v>43770</c:v>
                </c:pt>
                <c:pt idx="8">
                  <c:v>43800</c:v>
                </c:pt>
                <c:pt idx="9">
                  <c:v>43831</c:v>
                </c:pt>
                <c:pt idx="10">
                  <c:v>43862</c:v>
                </c:pt>
                <c:pt idx="11">
                  <c:v>43891</c:v>
                </c:pt>
                <c:pt idx="12">
                  <c:v>43922</c:v>
                </c:pt>
                <c:pt idx="13">
                  <c:v>43952</c:v>
                </c:pt>
                <c:pt idx="14">
                  <c:v>43983</c:v>
                </c:pt>
                <c:pt idx="15">
                  <c:v>44013</c:v>
                </c:pt>
                <c:pt idx="16">
                  <c:v>44044</c:v>
                </c:pt>
                <c:pt idx="17">
                  <c:v>44075</c:v>
                </c:pt>
                <c:pt idx="18">
                  <c:v>44105</c:v>
                </c:pt>
                <c:pt idx="19">
                  <c:v>44136</c:v>
                </c:pt>
                <c:pt idx="20">
                  <c:v>44166</c:v>
                </c:pt>
                <c:pt idx="21">
                  <c:v>44197</c:v>
                </c:pt>
                <c:pt idx="22">
                  <c:v>44228</c:v>
                </c:pt>
                <c:pt idx="23">
                  <c:v>44256</c:v>
                </c:pt>
                <c:pt idx="24">
                  <c:v>44287</c:v>
                </c:pt>
                <c:pt idx="25">
                  <c:v>44317</c:v>
                </c:pt>
                <c:pt idx="26">
                  <c:v>44348</c:v>
                </c:pt>
                <c:pt idx="27">
                  <c:v>44378</c:v>
                </c:pt>
                <c:pt idx="28">
                  <c:v>44409</c:v>
                </c:pt>
                <c:pt idx="29">
                  <c:v>44440</c:v>
                </c:pt>
                <c:pt idx="30">
                  <c:v>44470</c:v>
                </c:pt>
                <c:pt idx="31">
                  <c:v>44501</c:v>
                </c:pt>
                <c:pt idx="32">
                  <c:v>44531</c:v>
                </c:pt>
                <c:pt idx="33">
                  <c:v>44562</c:v>
                </c:pt>
                <c:pt idx="34">
                  <c:v>44593</c:v>
                </c:pt>
                <c:pt idx="35">
                  <c:v>44621</c:v>
                </c:pt>
                <c:pt idx="36">
                  <c:v>44652</c:v>
                </c:pt>
                <c:pt idx="37">
                  <c:v>44682</c:v>
                </c:pt>
                <c:pt idx="38">
                  <c:v>44713</c:v>
                </c:pt>
                <c:pt idx="39">
                  <c:v>44743</c:v>
                </c:pt>
                <c:pt idx="40">
                  <c:v>44774</c:v>
                </c:pt>
                <c:pt idx="41">
                  <c:v>44805</c:v>
                </c:pt>
                <c:pt idx="42">
                  <c:v>44835</c:v>
                </c:pt>
                <c:pt idx="43">
                  <c:v>44866</c:v>
                </c:pt>
                <c:pt idx="44">
                  <c:v>44896</c:v>
                </c:pt>
                <c:pt idx="45">
                  <c:v>44958</c:v>
                </c:pt>
                <c:pt idx="46">
                  <c:v>44986</c:v>
                </c:pt>
                <c:pt idx="47">
                  <c:v>45017</c:v>
                </c:pt>
                <c:pt idx="48">
                  <c:v>45047</c:v>
                </c:pt>
                <c:pt idx="49">
                  <c:v>45078</c:v>
                </c:pt>
                <c:pt idx="50">
                  <c:v>45108</c:v>
                </c:pt>
                <c:pt idx="51">
                  <c:v>45139</c:v>
                </c:pt>
                <c:pt idx="52">
                  <c:v>45170</c:v>
                </c:pt>
                <c:pt idx="53">
                  <c:v>45200</c:v>
                </c:pt>
                <c:pt idx="54">
                  <c:v>45231</c:v>
                </c:pt>
                <c:pt idx="55">
                  <c:v>45261</c:v>
                </c:pt>
                <c:pt idx="56">
                  <c:v>45292</c:v>
                </c:pt>
                <c:pt idx="57">
                  <c:v>45323</c:v>
                </c:pt>
                <c:pt idx="58">
                  <c:v>45352</c:v>
                </c:pt>
                <c:pt idx="59">
                  <c:v>45383</c:v>
                </c:pt>
                <c:pt idx="60">
                  <c:v>45413</c:v>
                </c:pt>
                <c:pt idx="61">
                  <c:v>45444</c:v>
                </c:pt>
                <c:pt idx="62">
                  <c:v>45474</c:v>
                </c:pt>
                <c:pt idx="63">
                  <c:v>45505</c:v>
                </c:pt>
                <c:pt idx="64">
                  <c:v>45536</c:v>
                </c:pt>
                <c:pt idx="65">
                  <c:v>45566</c:v>
                </c:pt>
                <c:pt idx="66">
                  <c:v>45597</c:v>
                </c:pt>
                <c:pt idx="67">
                  <c:v>45627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账单!$M$2:$M$70</c15:sqref>
                  </c15:fullRef>
                </c:ext>
              </c:extLst>
              <c:f>(账单!$M$2:$M$46,账单!$M$48:$M$70)</c:f>
              <c:numCache>
                <c:formatCode>General</c:formatCode>
                <c:ptCount val="68"/>
                <c:pt idx="0">
                  <c:v>-4382</c:v>
                </c:pt>
                <c:pt idx="1">
                  <c:v>-2889</c:v>
                </c:pt>
                <c:pt idx="2">
                  <c:v>-10577</c:v>
                </c:pt>
                <c:pt idx="3">
                  <c:v>-6267</c:v>
                </c:pt>
                <c:pt idx="4">
                  <c:v>-6078</c:v>
                </c:pt>
                <c:pt idx="5">
                  <c:v>-18710</c:v>
                </c:pt>
                <c:pt idx="6">
                  <c:v>-9771</c:v>
                </c:pt>
                <c:pt idx="7">
                  <c:v>-9924</c:v>
                </c:pt>
                <c:pt idx="8">
                  <c:v>-23133</c:v>
                </c:pt>
                <c:pt idx="9">
                  <c:v>-9781</c:v>
                </c:pt>
                <c:pt idx="10">
                  <c:v>-8691</c:v>
                </c:pt>
                <c:pt idx="11">
                  <c:v>-41716</c:v>
                </c:pt>
                <c:pt idx="12">
                  <c:v>-36227</c:v>
                </c:pt>
                <c:pt idx="13">
                  <c:v>-11090</c:v>
                </c:pt>
                <c:pt idx="14">
                  <c:v>-22680</c:v>
                </c:pt>
                <c:pt idx="15">
                  <c:v>-17598</c:v>
                </c:pt>
                <c:pt idx="16">
                  <c:v>-13272</c:v>
                </c:pt>
                <c:pt idx="17">
                  <c:v>-15462</c:v>
                </c:pt>
                <c:pt idx="18">
                  <c:v>-7985</c:v>
                </c:pt>
                <c:pt idx="19">
                  <c:v>-3072</c:v>
                </c:pt>
                <c:pt idx="20">
                  <c:v>-15879</c:v>
                </c:pt>
                <c:pt idx="21">
                  <c:v>-8381</c:v>
                </c:pt>
                <c:pt idx="22">
                  <c:v>-5903</c:v>
                </c:pt>
                <c:pt idx="23">
                  <c:v>-10216</c:v>
                </c:pt>
                <c:pt idx="24">
                  <c:v>-41674</c:v>
                </c:pt>
                <c:pt idx="25">
                  <c:v>-13621</c:v>
                </c:pt>
                <c:pt idx="26">
                  <c:v>-9079</c:v>
                </c:pt>
                <c:pt idx="27">
                  <c:v>-5985</c:v>
                </c:pt>
                <c:pt idx="28">
                  <c:v>-10742</c:v>
                </c:pt>
                <c:pt idx="29">
                  <c:v>-5623</c:v>
                </c:pt>
                <c:pt idx="30">
                  <c:v>-11434</c:v>
                </c:pt>
                <c:pt idx="31">
                  <c:v>-10615</c:v>
                </c:pt>
                <c:pt idx="32">
                  <c:v>-10405</c:v>
                </c:pt>
                <c:pt idx="33">
                  <c:v>-8856</c:v>
                </c:pt>
                <c:pt idx="34">
                  <c:v>-7605</c:v>
                </c:pt>
                <c:pt idx="35">
                  <c:v>-10651</c:v>
                </c:pt>
                <c:pt idx="36">
                  <c:v>-5168</c:v>
                </c:pt>
                <c:pt idx="37">
                  <c:v>-7691</c:v>
                </c:pt>
                <c:pt idx="38">
                  <c:v>-5450</c:v>
                </c:pt>
                <c:pt idx="39">
                  <c:v>-11061</c:v>
                </c:pt>
                <c:pt idx="40">
                  <c:v>-9344</c:v>
                </c:pt>
                <c:pt idx="41">
                  <c:v>-6582</c:v>
                </c:pt>
                <c:pt idx="42">
                  <c:v>-12099</c:v>
                </c:pt>
                <c:pt idx="43">
                  <c:v>-5075</c:v>
                </c:pt>
                <c:pt idx="44">
                  <c:v>-6221</c:v>
                </c:pt>
                <c:pt idx="45">
                  <c:v>-7719</c:v>
                </c:pt>
                <c:pt idx="46">
                  <c:v>-7716</c:v>
                </c:pt>
                <c:pt idx="47">
                  <c:v>-2728</c:v>
                </c:pt>
                <c:pt idx="48">
                  <c:v>-8504</c:v>
                </c:pt>
                <c:pt idx="49">
                  <c:v>-6935.3</c:v>
                </c:pt>
                <c:pt idx="50">
                  <c:v>-5276</c:v>
                </c:pt>
                <c:pt idx="51">
                  <c:v>-5871</c:v>
                </c:pt>
                <c:pt idx="52">
                  <c:v>-4908</c:v>
                </c:pt>
                <c:pt idx="53">
                  <c:v>-14286</c:v>
                </c:pt>
                <c:pt idx="54">
                  <c:v>-5809</c:v>
                </c:pt>
                <c:pt idx="55">
                  <c:v>-3304</c:v>
                </c:pt>
                <c:pt idx="56">
                  <c:v>-2296</c:v>
                </c:pt>
                <c:pt idx="57">
                  <c:v>-7659</c:v>
                </c:pt>
                <c:pt idx="58">
                  <c:v>-5748</c:v>
                </c:pt>
                <c:pt idx="59">
                  <c:v>-3247</c:v>
                </c:pt>
                <c:pt idx="60">
                  <c:v>-1105</c:v>
                </c:pt>
                <c:pt idx="61">
                  <c:v>-3878</c:v>
                </c:pt>
                <c:pt idx="62">
                  <c:v>-2526</c:v>
                </c:pt>
                <c:pt idx="63">
                  <c:v>-2344.5</c:v>
                </c:pt>
                <c:pt idx="64">
                  <c:v>-3467</c:v>
                </c:pt>
                <c:pt idx="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92-4FA7-B3AD-634C913C6E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-1330624432"/>
        <c:axId val="-1330626608"/>
      </c:lineChart>
      <c:dateAx>
        <c:axId val="-1330624432"/>
        <c:scaling>
          <c:orientation val="minMax"/>
        </c:scaling>
        <c:delete val="0"/>
        <c:axPos val="b"/>
        <c:numFmt formatCode="mmm\-yy" sourceLinked="1"/>
        <c:majorTickMark val="cross"/>
        <c:minorTickMark val="cross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30626608"/>
        <c:crosses val="autoZero"/>
        <c:auto val="1"/>
        <c:lblOffset val="100"/>
        <c:baseTimeUnit val="months"/>
      </c:dateAx>
      <c:valAx>
        <c:axId val="-133062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3062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bg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卖猫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207456213955136E-2"/>
          <c:y val="0.16177178321475474"/>
          <c:w val="0.94631132077922975"/>
          <c:h val="0.66833237270056933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 cap="flat">
                <a:solidFill>
                  <a:schemeClr val="accent6">
                    <a:lumMod val="75000"/>
                  </a:schemeClr>
                </a:solidFill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卖猫!$L$2:$L$65</c:f>
              <c:numCache>
                <c:formatCode>mmm\-yy</c:formatCode>
                <c:ptCount val="64"/>
                <c:pt idx="0">
                  <c:v>43709</c:v>
                </c:pt>
                <c:pt idx="1">
                  <c:v>43739</c:v>
                </c:pt>
                <c:pt idx="2">
                  <c:v>43770</c:v>
                </c:pt>
                <c:pt idx="3">
                  <c:v>43800</c:v>
                </c:pt>
                <c:pt idx="4">
                  <c:v>43831</c:v>
                </c:pt>
                <c:pt idx="5">
                  <c:v>43862</c:v>
                </c:pt>
                <c:pt idx="6">
                  <c:v>43891</c:v>
                </c:pt>
                <c:pt idx="7">
                  <c:v>43922</c:v>
                </c:pt>
                <c:pt idx="8">
                  <c:v>43952</c:v>
                </c:pt>
                <c:pt idx="9">
                  <c:v>43983</c:v>
                </c:pt>
                <c:pt idx="10">
                  <c:v>44013</c:v>
                </c:pt>
                <c:pt idx="11">
                  <c:v>44044</c:v>
                </c:pt>
                <c:pt idx="12">
                  <c:v>44075</c:v>
                </c:pt>
                <c:pt idx="13">
                  <c:v>44105</c:v>
                </c:pt>
                <c:pt idx="14">
                  <c:v>44136</c:v>
                </c:pt>
                <c:pt idx="15">
                  <c:v>44166</c:v>
                </c:pt>
                <c:pt idx="16">
                  <c:v>44197</c:v>
                </c:pt>
                <c:pt idx="17">
                  <c:v>44228</c:v>
                </c:pt>
                <c:pt idx="18">
                  <c:v>44256</c:v>
                </c:pt>
                <c:pt idx="19">
                  <c:v>44287</c:v>
                </c:pt>
                <c:pt idx="20">
                  <c:v>44317</c:v>
                </c:pt>
                <c:pt idx="21">
                  <c:v>44348</c:v>
                </c:pt>
                <c:pt idx="22">
                  <c:v>44378</c:v>
                </c:pt>
                <c:pt idx="23">
                  <c:v>44409</c:v>
                </c:pt>
                <c:pt idx="24">
                  <c:v>44440</c:v>
                </c:pt>
                <c:pt idx="25">
                  <c:v>44470</c:v>
                </c:pt>
                <c:pt idx="26">
                  <c:v>44501</c:v>
                </c:pt>
                <c:pt idx="27">
                  <c:v>44531</c:v>
                </c:pt>
                <c:pt idx="28">
                  <c:v>44562</c:v>
                </c:pt>
                <c:pt idx="29">
                  <c:v>44593</c:v>
                </c:pt>
                <c:pt idx="30">
                  <c:v>44621</c:v>
                </c:pt>
                <c:pt idx="31">
                  <c:v>44652</c:v>
                </c:pt>
                <c:pt idx="32">
                  <c:v>44682</c:v>
                </c:pt>
                <c:pt idx="33">
                  <c:v>44713</c:v>
                </c:pt>
                <c:pt idx="34">
                  <c:v>44743</c:v>
                </c:pt>
                <c:pt idx="35">
                  <c:v>44774</c:v>
                </c:pt>
                <c:pt idx="36">
                  <c:v>44805</c:v>
                </c:pt>
                <c:pt idx="37">
                  <c:v>44835</c:v>
                </c:pt>
                <c:pt idx="38">
                  <c:v>44866</c:v>
                </c:pt>
                <c:pt idx="39">
                  <c:v>44896</c:v>
                </c:pt>
                <c:pt idx="40">
                  <c:v>44927</c:v>
                </c:pt>
                <c:pt idx="41">
                  <c:v>44958</c:v>
                </c:pt>
                <c:pt idx="42">
                  <c:v>44986</c:v>
                </c:pt>
                <c:pt idx="43">
                  <c:v>45017</c:v>
                </c:pt>
                <c:pt idx="44">
                  <c:v>45047</c:v>
                </c:pt>
                <c:pt idx="45">
                  <c:v>45078</c:v>
                </c:pt>
                <c:pt idx="46">
                  <c:v>45108</c:v>
                </c:pt>
                <c:pt idx="47">
                  <c:v>45139</c:v>
                </c:pt>
                <c:pt idx="48">
                  <c:v>45170</c:v>
                </c:pt>
                <c:pt idx="49">
                  <c:v>45200</c:v>
                </c:pt>
                <c:pt idx="50">
                  <c:v>45231</c:v>
                </c:pt>
                <c:pt idx="51">
                  <c:v>45261</c:v>
                </c:pt>
                <c:pt idx="52">
                  <c:v>45292</c:v>
                </c:pt>
                <c:pt idx="53">
                  <c:v>45323</c:v>
                </c:pt>
                <c:pt idx="54">
                  <c:v>45352</c:v>
                </c:pt>
                <c:pt idx="55">
                  <c:v>45383</c:v>
                </c:pt>
                <c:pt idx="56">
                  <c:v>45413</c:v>
                </c:pt>
                <c:pt idx="57">
                  <c:v>45444</c:v>
                </c:pt>
                <c:pt idx="58">
                  <c:v>45474</c:v>
                </c:pt>
                <c:pt idx="59">
                  <c:v>45505</c:v>
                </c:pt>
                <c:pt idx="60">
                  <c:v>45536</c:v>
                </c:pt>
                <c:pt idx="61">
                  <c:v>45566</c:v>
                </c:pt>
                <c:pt idx="62">
                  <c:v>45597</c:v>
                </c:pt>
                <c:pt idx="63">
                  <c:v>45627</c:v>
                </c:pt>
              </c:numCache>
            </c:numRef>
          </c:cat>
          <c:val>
            <c:numRef>
              <c:f>卖猫!$M$2:$M$65</c:f>
              <c:numCache>
                <c:formatCode>General</c:formatCode>
                <c:ptCount val="64"/>
                <c:pt idx="0">
                  <c:v>6600</c:v>
                </c:pt>
                <c:pt idx="1">
                  <c:v>500</c:v>
                </c:pt>
                <c:pt idx="2">
                  <c:v>4900</c:v>
                </c:pt>
                <c:pt idx="3">
                  <c:v>3600</c:v>
                </c:pt>
                <c:pt idx="4">
                  <c:v>2500</c:v>
                </c:pt>
                <c:pt idx="5">
                  <c:v>8800</c:v>
                </c:pt>
                <c:pt idx="6">
                  <c:v>26100</c:v>
                </c:pt>
                <c:pt idx="7">
                  <c:v>18800</c:v>
                </c:pt>
                <c:pt idx="8">
                  <c:v>9300</c:v>
                </c:pt>
                <c:pt idx="9">
                  <c:v>18700</c:v>
                </c:pt>
                <c:pt idx="10">
                  <c:v>5700</c:v>
                </c:pt>
                <c:pt idx="11">
                  <c:v>6100</c:v>
                </c:pt>
                <c:pt idx="12">
                  <c:v>9200</c:v>
                </c:pt>
                <c:pt idx="13">
                  <c:v>3800</c:v>
                </c:pt>
                <c:pt idx="14">
                  <c:v>0</c:v>
                </c:pt>
                <c:pt idx="15">
                  <c:v>6700</c:v>
                </c:pt>
                <c:pt idx="16">
                  <c:v>16100</c:v>
                </c:pt>
                <c:pt idx="17">
                  <c:v>4800</c:v>
                </c:pt>
                <c:pt idx="18">
                  <c:v>3500</c:v>
                </c:pt>
                <c:pt idx="19">
                  <c:v>2900</c:v>
                </c:pt>
                <c:pt idx="20">
                  <c:v>10550</c:v>
                </c:pt>
                <c:pt idx="21">
                  <c:v>27745</c:v>
                </c:pt>
                <c:pt idx="22">
                  <c:v>9110</c:v>
                </c:pt>
                <c:pt idx="23">
                  <c:v>9135</c:v>
                </c:pt>
                <c:pt idx="24">
                  <c:v>15600</c:v>
                </c:pt>
                <c:pt idx="25">
                  <c:v>7260</c:v>
                </c:pt>
                <c:pt idx="26">
                  <c:v>19930</c:v>
                </c:pt>
                <c:pt idx="27">
                  <c:v>18005</c:v>
                </c:pt>
                <c:pt idx="28">
                  <c:v>7100</c:v>
                </c:pt>
                <c:pt idx="29">
                  <c:v>7825</c:v>
                </c:pt>
                <c:pt idx="30">
                  <c:v>6120</c:v>
                </c:pt>
                <c:pt idx="31">
                  <c:v>14190</c:v>
                </c:pt>
                <c:pt idx="32">
                  <c:v>9492</c:v>
                </c:pt>
                <c:pt idx="33">
                  <c:v>8327</c:v>
                </c:pt>
                <c:pt idx="34">
                  <c:v>2960</c:v>
                </c:pt>
                <c:pt idx="35">
                  <c:v>14739</c:v>
                </c:pt>
                <c:pt idx="36">
                  <c:v>0</c:v>
                </c:pt>
                <c:pt idx="37">
                  <c:v>1363</c:v>
                </c:pt>
                <c:pt idx="38">
                  <c:v>13100</c:v>
                </c:pt>
                <c:pt idx="39">
                  <c:v>3185</c:v>
                </c:pt>
                <c:pt idx="40">
                  <c:v>500</c:v>
                </c:pt>
                <c:pt idx="41">
                  <c:v>2500</c:v>
                </c:pt>
                <c:pt idx="42">
                  <c:v>16400</c:v>
                </c:pt>
                <c:pt idx="43">
                  <c:v>2500</c:v>
                </c:pt>
                <c:pt idx="44">
                  <c:v>12400</c:v>
                </c:pt>
                <c:pt idx="45">
                  <c:v>8900</c:v>
                </c:pt>
                <c:pt idx="46">
                  <c:v>4000</c:v>
                </c:pt>
                <c:pt idx="47">
                  <c:v>6000</c:v>
                </c:pt>
                <c:pt idx="48">
                  <c:v>2000</c:v>
                </c:pt>
                <c:pt idx="49">
                  <c:v>4500</c:v>
                </c:pt>
                <c:pt idx="50">
                  <c:v>0</c:v>
                </c:pt>
                <c:pt idx="51">
                  <c:v>0</c:v>
                </c:pt>
                <c:pt idx="52">
                  <c:v>2300</c:v>
                </c:pt>
                <c:pt idx="53">
                  <c:v>4300</c:v>
                </c:pt>
                <c:pt idx="54">
                  <c:v>7800</c:v>
                </c:pt>
                <c:pt idx="55">
                  <c:v>3700</c:v>
                </c:pt>
                <c:pt idx="56">
                  <c:v>13400</c:v>
                </c:pt>
                <c:pt idx="57">
                  <c:v>2000</c:v>
                </c:pt>
                <c:pt idx="58">
                  <c:v>0</c:v>
                </c:pt>
                <c:pt idx="59">
                  <c:v>700</c:v>
                </c:pt>
                <c:pt idx="60">
                  <c:v>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E45-4BF7-B9A6-32846E3825A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-1330616816"/>
        <c:axId val="-1330616272"/>
      </c:lineChart>
      <c:dateAx>
        <c:axId val="-1330616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30616272"/>
        <c:crosses val="autoZero"/>
        <c:auto val="1"/>
        <c:lblOffset val="100"/>
        <c:baseTimeUnit val="months"/>
      </c:dateAx>
      <c:valAx>
        <c:axId val="-13306162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3061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zh-CN" altLang="en-US"/>
              <a:t>季度</a:t>
            </a:r>
            <a:r>
              <a:rPr lang="zh-CN"/>
              <a:t>均价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088831984165257E-2"/>
          <c:y val="0.11959325000703952"/>
          <c:w val="0.9362316641344105"/>
          <c:h val="0.76389703754206972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Pt>
            <c:idx val="22"/>
            <c:marker>
              <c:symbol val="none"/>
            </c:marker>
            <c:bubble3D val="0"/>
            <c:spPr>
              <a:ln w="38100" cap="rnd">
                <a:solidFill>
                  <a:schemeClr val="accent1"/>
                </a:solidFill>
                <a:round/>
              </a:ln>
              <a:effectLst>
                <a:outerShdw blurRad="40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42E-4202-86FF-A746CEE13E06}"/>
              </c:ext>
            </c:extLst>
          </c:dPt>
          <c:dLbls>
            <c:spPr>
              <a:noFill/>
              <a:ln w="19050">
                <a:solidFill>
                  <a:srgbClr val="0066FF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卖猫!$L$2,卖猫!$L$5,卖猫!$L$8,卖猫!$L$11,卖猫!$L$14,卖猫!$L$17,卖猫!$L$20,卖猫!$L$23,卖猫!$L$26,卖猫!$L$29,卖猫!$L$32,卖猫!$L$35,卖猫!$L$38,卖猫!$L$41,卖猫!$L$44,卖猫!$L$47,卖猫!$L$50,卖猫!$L$53,卖猫!$L$56,卖猫!$L$59,卖猫!$L$62,卖猫!$L$65)</c:f>
              <c:numCache>
                <c:formatCode>mmm\-yy</c:formatCode>
                <c:ptCount val="22"/>
                <c:pt idx="0">
                  <c:v>43709</c:v>
                </c:pt>
                <c:pt idx="1">
                  <c:v>43800</c:v>
                </c:pt>
                <c:pt idx="2">
                  <c:v>43891</c:v>
                </c:pt>
                <c:pt idx="3">
                  <c:v>43983</c:v>
                </c:pt>
                <c:pt idx="4">
                  <c:v>44075</c:v>
                </c:pt>
                <c:pt idx="5">
                  <c:v>44166</c:v>
                </c:pt>
                <c:pt idx="6">
                  <c:v>44256</c:v>
                </c:pt>
                <c:pt idx="7">
                  <c:v>44348</c:v>
                </c:pt>
                <c:pt idx="8">
                  <c:v>44440</c:v>
                </c:pt>
                <c:pt idx="9">
                  <c:v>44531</c:v>
                </c:pt>
                <c:pt idx="10">
                  <c:v>44621</c:v>
                </c:pt>
                <c:pt idx="11">
                  <c:v>44713</c:v>
                </c:pt>
                <c:pt idx="12">
                  <c:v>44805</c:v>
                </c:pt>
                <c:pt idx="13">
                  <c:v>44896</c:v>
                </c:pt>
                <c:pt idx="14">
                  <c:v>44986</c:v>
                </c:pt>
                <c:pt idx="15">
                  <c:v>45078</c:v>
                </c:pt>
                <c:pt idx="16">
                  <c:v>45170</c:v>
                </c:pt>
                <c:pt idx="17">
                  <c:v>45261</c:v>
                </c:pt>
                <c:pt idx="18">
                  <c:v>45352</c:v>
                </c:pt>
                <c:pt idx="19">
                  <c:v>45444</c:v>
                </c:pt>
                <c:pt idx="20">
                  <c:v>45536</c:v>
                </c:pt>
                <c:pt idx="21">
                  <c:v>45627</c:v>
                </c:pt>
              </c:numCache>
            </c:numRef>
          </c:cat>
          <c:val>
            <c:numRef>
              <c:f>(卖猫!$Y$2,卖猫!$Y$5,卖猫!$Y$8,卖猫!$Y$11,卖猫!$Y$14,卖猫!$Y$17,卖猫!$Y$20,卖猫!$Y$23,卖猫!$Y$26,卖猫!$Y$29,卖猫!$Y$32,卖猫!$Y$35,卖猫!$Y$38,卖猫!$Y$41,卖猫!$Y$44,卖猫!$Y$47,卖猫!$Y$50,卖猫!$Y$53,卖猫!$Y$56,卖猫!$Y$59,卖猫!$Y$62,卖猫!$Y$65)</c:f>
              <c:numCache>
                <c:formatCode>0</c:formatCode>
                <c:ptCount val="22"/>
                <c:pt idx="0">
                  <c:v>3300</c:v>
                </c:pt>
                <c:pt idx="1">
                  <c:v>1800</c:v>
                </c:pt>
                <c:pt idx="2">
                  <c:v>2493.3333333333335</c:v>
                </c:pt>
                <c:pt idx="3">
                  <c:v>3600</c:v>
                </c:pt>
                <c:pt idx="4">
                  <c:v>1235.2941176470588</c:v>
                </c:pt>
                <c:pt idx="5">
                  <c:v>583.33333333333337</c:v>
                </c:pt>
                <c:pt idx="6">
                  <c:v>1109.090909090909</c:v>
                </c:pt>
                <c:pt idx="7">
                  <c:v>1248.3333333333333</c:v>
                </c:pt>
                <c:pt idx="8">
                  <c:v>846.125</c:v>
                </c:pt>
                <c:pt idx="9">
                  <c:v>1051.046511627907</c:v>
                </c:pt>
                <c:pt idx="10">
                  <c:v>467.66666666666669</c:v>
                </c:pt>
                <c:pt idx="11">
                  <c:v>889.13888888888891</c:v>
                </c:pt>
                <c:pt idx="12">
                  <c:v>442.47500000000002</c:v>
                </c:pt>
                <c:pt idx="13">
                  <c:v>490.22222222222223</c:v>
                </c:pt>
                <c:pt idx="14">
                  <c:v>1492.3076923076924</c:v>
                </c:pt>
                <c:pt idx="15">
                  <c:v>1190</c:v>
                </c:pt>
                <c:pt idx="16">
                  <c:v>2400</c:v>
                </c:pt>
                <c:pt idx="17">
                  <c:v>187.5</c:v>
                </c:pt>
                <c:pt idx="18">
                  <c:v>464.51612903225805</c:v>
                </c:pt>
                <c:pt idx="19">
                  <c:v>1061.1111111111111</c:v>
                </c:pt>
                <c:pt idx="20">
                  <c:v>484.81818181818181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D6D-46FC-B683-DD91E85A72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02760847"/>
        <c:axId val="975174591"/>
      </c:lineChart>
      <c:dateAx>
        <c:axId val="130276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174591"/>
        <c:crosses val="autoZero"/>
        <c:auto val="1"/>
        <c:lblOffset val="100"/>
        <c:baseTimeUnit val="months"/>
      </c:dateAx>
      <c:valAx>
        <c:axId val="97517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6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bg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zh-CN" altLang="en-US"/>
              <a:t>总计比例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694118970723802E-2"/>
          <c:y val="0.13087409783480353"/>
          <c:w val="0.94579166144494353"/>
          <c:h val="0.66824972058925669"/>
        </c:manualLayout>
      </c:layout>
      <c:lineChart>
        <c:grouping val="standard"/>
        <c:varyColors val="0"/>
        <c:ser>
          <c:idx val="0"/>
          <c:order val="0"/>
          <c:tx>
            <c:v>个人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(卖猫!$L$2,卖猫!$L$5,卖猫!$L$8,卖猫!$L$11,卖猫!$L$14,卖猫!$L$17,卖猫!$L$20,卖猫!$L$23,卖猫!$L$26,卖猫!$L$29,卖猫!$L$32,卖猫!$L$35,卖猫!$L$38,卖猫!$L$41,卖猫!$L$44,卖猫!$L$47,卖猫!$L$50,卖猫!$L$53,卖猫!$L$56,卖猫!$L$59,卖猫!$L$62,卖猫!$L$65)</c:f>
              <c:numCache>
                <c:formatCode>mmm\-yy</c:formatCode>
                <c:ptCount val="22"/>
                <c:pt idx="0">
                  <c:v>43709</c:v>
                </c:pt>
                <c:pt idx="1">
                  <c:v>43800</c:v>
                </c:pt>
                <c:pt idx="2">
                  <c:v>43891</c:v>
                </c:pt>
                <c:pt idx="3">
                  <c:v>43983</c:v>
                </c:pt>
                <c:pt idx="4">
                  <c:v>44075</c:v>
                </c:pt>
                <c:pt idx="5">
                  <c:v>44166</c:v>
                </c:pt>
                <c:pt idx="6">
                  <c:v>44256</c:v>
                </c:pt>
                <c:pt idx="7">
                  <c:v>44348</c:v>
                </c:pt>
                <c:pt idx="8">
                  <c:v>44440</c:v>
                </c:pt>
                <c:pt idx="9">
                  <c:v>44531</c:v>
                </c:pt>
                <c:pt idx="10">
                  <c:v>44621</c:v>
                </c:pt>
                <c:pt idx="11">
                  <c:v>44713</c:v>
                </c:pt>
                <c:pt idx="12">
                  <c:v>44805</c:v>
                </c:pt>
                <c:pt idx="13">
                  <c:v>44896</c:v>
                </c:pt>
                <c:pt idx="14">
                  <c:v>44986</c:v>
                </c:pt>
                <c:pt idx="15">
                  <c:v>45078</c:v>
                </c:pt>
                <c:pt idx="16">
                  <c:v>45170</c:v>
                </c:pt>
                <c:pt idx="17">
                  <c:v>45261</c:v>
                </c:pt>
                <c:pt idx="18">
                  <c:v>45352</c:v>
                </c:pt>
                <c:pt idx="19">
                  <c:v>45444</c:v>
                </c:pt>
                <c:pt idx="20">
                  <c:v>45536</c:v>
                </c:pt>
                <c:pt idx="21">
                  <c:v>45627</c:v>
                </c:pt>
              </c:numCache>
            </c:numRef>
          </c:cat>
          <c:val>
            <c:numRef>
              <c:f>(卖猫!$T$2,卖猫!$T$5,卖猫!$T$8,卖猫!$T$11,卖猫!$T$14,卖猫!$T$17,卖猫!$T$20,卖猫!$T$23,卖猫!$T$26,卖猫!$T$29,卖猫!$T$32,卖猫!$T$35,卖猫!$T$38,卖猫!$T$41,卖猫!$T$44,卖猫!$T$47,卖猫!$T$50,卖猫!$T$53,卖猫!$T$56,卖猫!$T$59,卖猫!$T$62,卖猫!$T$65)</c:f>
              <c:numCache>
                <c:formatCode>0</c:formatCode>
                <c:ptCount val="22"/>
                <c:pt idx="0">
                  <c:v>5100</c:v>
                </c:pt>
                <c:pt idx="1">
                  <c:v>2900</c:v>
                </c:pt>
                <c:pt idx="2">
                  <c:v>7300</c:v>
                </c:pt>
                <c:pt idx="3">
                  <c:v>23000</c:v>
                </c:pt>
                <c:pt idx="4">
                  <c:v>3780</c:v>
                </c:pt>
                <c:pt idx="5">
                  <c:v>600</c:v>
                </c:pt>
                <c:pt idx="6">
                  <c:v>1400</c:v>
                </c:pt>
                <c:pt idx="7">
                  <c:v>7845</c:v>
                </c:pt>
                <c:pt idx="8">
                  <c:v>9135</c:v>
                </c:pt>
                <c:pt idx="9">
                  <c:v>12800</c:v>
                </c:pt>
                <c:pt idx="10">
                  <c:v>1140</c:v>
                </c:pt>
                <c:pt idx="11">
                  <c:v>267</c:v>
                </c:pt>
                <c:pt idx="12">
                  <c:v>3030</c:v>
                </c:pt>
                <c:pt idx="13">
                  <c:v>8346</c:v>
                </c:pt>
                <c:pt idx="14">
                  <c:v>8100</c:v>
                </c:pt>
                <c:pt idx="15">
                  <c:v>5700</c:v>
                </c:pt>
                <c:pt idx="16">
                  <c:v>3000</c:v>
                </c:pt>
                <c:pt idx="17">
                  <c:v>0</c:v>
                </c:pt>
                <c:pt idx="18">
                  <c:v>3500</c:v>
                </c:pt>
                <c:pt idx="19">
                  <c:v>0</c:v>
                </c:pt>
                <c:pt idx="20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ED-48E2-A442-992ACB00901A}"/>
            </c:ext>
          </c:extLst>
        </c:ser>
        <c:ser>
          <c:idx val="1"/>
          <c:order val="1"/>
          <c:tx>
            <c:v>代理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(卖猫!$L$2,卖猫!$L$5,卖猫!$L$8,卖猫!$L$11,卖猫!$L$14,卖猫!$L$17,卖猫!$L$20,卖猫!$L$23,卖猫!$L$26,卖猫!$L$29,卖猫!$L$32,卖猫!$L$35,卖猫!$L$38,卖猫!$L$41,卖猫!$L$44,卖猫!$L$47,卖猫!$L$50,卖猫!$L$53,卖猫!$L$56,卖猫!$L$59,卖猫!$L$62,卖猫!$L$65)</c:f>
              <c:numCache>
                <c:formatCode>mmm\-yy</c:formatCode>
                <c:ptCount val="22"/>
                <c:pt idx="0">
                  <c:v>43709</c:v>
                </c:pt>
                <c:pt idx="1">
                  <c:v>43800</c:v>
                </c:pt>
                <c:pt idx="2">
                  <c:v>43891</c:v>
                </c:pt>
                <c:pt idx="3">
                  <c:v>43983</c:v>
                </c:pt>
                <c:pt idx="4">
                  <c:v>44075</c:v>
                </c:pt>
                <c:pt idx="5">
                  <c:v>44166</c:v>
                </c:pt>
                <c:pt idx="6">
                  <c:v>44256</c:v>
                </c:pt>
                <c:pt idx="7">
                  <c:v>44348</c:v>
                </c:pt>
                <c:pt idx="8">
                  <c:v>44440</c:v>
                </c:pt>
                <c:pt idx="9">
                  <c:v>44531</c:v>
                </c:pt>
                <c:pt idx="10">
                  <c:v>44621</c:v>
                </c:pt>
                <c:pt idx="11">
                  <c:v>44713</c:v>
                </c:pt>
                <c:pt idx="12">
                  <c:v>44805</c:v>
                </c:pt>
                <c:pt idx="13">
                  <c:v>44896</c:v>
                </c:pt>
                <c:pt idx="14">
                  <c:v>44986</c:v>
                </c:pt>
                <c:pt idx="15">
                  <c:v>45078</c:v>
                </c:pt>
                <c:pt idx="16">
                  <c:v>45170</c:v>
                </c:pt>
                <c:pt idx="17">
                  <c:v>45261</c:v>
                </c:pt>
                <c:pt idx="18">
                  <c:v>45352</c:v>
                </c:pt>
                <c:pt idx="19">
                  <c:v>45444</c:v>
                </c:pt>
                <c:pt idx="20">
                  <c:v>45536</c:v>
                </c:pt>
                <c:pt idx="21">
                  <c:v>45627</c:v>
                </c:pt>
              </c:numCache>
            </c:numRef>
          </c:cat>
          <c:val>
            <c:numRef>
              <c:f>(卖猫!$U$2,卖猫!$U$5,卖猫!$U$8,卖猫!$U$11,卖猫!$U$14,卖猫!$U$17,卖猫!$U$20,卖猫!$U$23,卖猫!$U$26,卖猫!$U$29,卖猫!$U$32,卖猫!$U$35,卖猫!$U$38,卖猫!$U$41,卖猫!$U$44,卖猫!$U$47,卖猫!$U$50,卖猫!$U$53,卖猫!$U$56,卖猫!$U$59,卖猫!$U$62,卖猫!$U$65)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1600</c:v>
                </c:pt>
                <c:pt idx="4">
                  <c:v>5900</c:v>
                </c:pt>
                <c:pt idx="5">
                  <c:v>0</c:v>
                </c:pt>
                <c:pt idx="6">
                  <c:v>7850</c:v>
                </c:pt>
                <c:pt idx="7">
                  <c:v>1800</c:v>
                </c:pt>
                <c:pt idx="8">
                  <c:v>1000</c:v>
                </c:pt>
                <c:pt idx="9">
                  <c:v>0</c:v>
                </c:pt>
                <c:pt idx="10">
                  <c:v>7400</c:v>
                </c:pt>
                <c:pt idx="11">
                  <c:v>6000</c:v>
                </c:pt>
                <c:pt idx="12">
                  <c:v>0</c:v>
                </c:pt>
                <c:pt idx="13">
                  <c:v>0</c:v>
                </c:pt>
                <c:pt idx="14">
                  <c:v>5900</c:v>
                </c:pt>
                <c:pt idx="15">
                  <c:v>5700</c:v>
                </c:pt>
                <c:pt idx="16">
                  <c:v>4000</c:v>
                </c:pt>
                <c:pt idx="17">
                  <c:v>0</c:v>
                </c:pt>
                <c:pt idx="18">
                  <c:v>5900</c:v>
                </c:pt>
                <c:pt idx="19">
                  <c:v>11000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ED-48E2-A442-992ACB00901A}"/>
            </c:ext>
          </c:extLst>
        </c:ser>
        <c:ser>
          <c:idx val="2"/>
          <c:order val="2"/>
          <c:tx>
            <c:v>猫舍</c:v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0"/>
                </a:srgbClr>
              </a:outerShdw>
            </a:effectLst>
          </c:spPr>
          <c:marker>
            <c:symbol val="none"/>
          </c:marker>
          <c:cat>
            <c:numRef>
              <c:f>(卖猫!$L$2,卖猫!$L$5,卖猫!$L$8,卖猫!$L$11,卖猫!$L$14,卖猫!$L$17,卖猫!$L$20,卖猫!$L$23,卖猫!$L$26,卖猫!$L$29,卖猫!$L$32,卖猫!$L$35,卖猫!$L$38,卖猫!$L$41,卖猫!$L$44,卖猫!$L$47,卖猫!$L$50,卖猫!$L$53,卖猫!$L$56,卖猫!$L$59,卖猫!$L$62,卖猫!$L$65)</c:f>
              <c:numCache>
                <c:formatCode>mmm\-yy</c:formatCode>
                <c:ptCount val="22"/>
                <c:pt idx="0">
                  <c:v>43709</c:v>
                </c:pt>
                <c:pt idx="1">
                  <c:v>43800</c:v>
                </c:pt>
                <c:pt idx="2">
                  <c:v>43891</c:v>
                </c:pt>
                <c:pt idx="3">
                  <c:v>43983</c:v>
                </c:pt>
                <c:pt idx="4">
                  <c:v>44075</c:v>
                </c:pt>
                <c:pt idx="5">
                  <c:v>44166</c:v>
                </c:pt>
                <c:pt idx="6">
                  <c:v>44256</c:v>
                </c:pt>
                <c:pt idx="7">
                  <c:v>44348</c:v>
                </c:pt>
                <c:pt idx="8">
                  <c:v>44440</c:v>
                </c:pt>
                <c:pt idx="9">
                  <c:v>44531</c:v>
                </c:pt>
                <c:pt idx="10">
                  <c:v>44621</c:v>
                </c:pt>
                <c:pt idx="11">
                  <c:v>44713</c:v>
                </c:pt>
                <c:pt idx="12">
                  <c:v>44805</c:v>
                </c:pt>
                <c:pt idx="13">
                  <c:v>44896</c:v>
                </c:pt>
                <c:pt idx="14">
                  <c:v>44986</c:v>
                </c:pt>
                <c:pt idx="15">
                  <c:v>45078</c:v>
                </c:pt>
                <c:pt idx="16">
                  <c:v>45170</c:v>
                </c:pt>
                <c:pt idx="17">
                  <c:v>45261</c:v>
                </c:pt>
                <c:pt idx="18">
                  <c:v>45352</c:v>
                </c:pt>
                <c:pt idx="19">
                  <c:v>45444</c:v>
                </c:pt>
                <c:pt idx="20">
                  <c:v>45536</c:v>
                </c:pt>
                <c:pt idx="21">
                  <c:v>45627</c:v>
                </c:pt>
              </c:numCache>
            </c:numRef>
          </c:cat>
          <c:val>
            <c:numRef>
              <c:f>(卖猫!$V$2,卖猫!$V$5,卖猫!$V$8,卖猫!$V$11,卖猫!$V$14,卖猫!$V$17,卖猫!$V$20,卖猫!$V$23,卖猫!$V$26,卖猫!$V$29,卖猫!$V$32,卖猫!$V$35,卖猫!$V$38,卖猫!$V$41,卖猫!$V$44,卖猫!$V$47,卖猫!$V$50,卖猫!$V$53,卖猫!$V$56,卖猫!$V$59,卖猫!$V$62,卖猫!$V$65)</c:f>
              <c:numCache>
                <c:formatCode>0</c:formatCode>
                <c:ptCount val="22"/>
                <c:pt idx="0">
                  <c:v>0</c:v>
                </c:pt>
                <c:pt idx="1">
                  <c:v>5600</c:v>
                </c:pt>
                <c:pt idx="2">
                  <c:v>29600</c:v>
                </c:pt>
                <c:pt idx="3">
                  <c:v>13100</c:v>
                </c:pt>
                <c:pt idx="4">
                  <c:v>9820</c:v>
                </c:pt>
                <c:pt idx="5">
                  <c:v>6800</c:v>
                </c:pt>
                <c:pt idx="6">
                  <c:v>10550</c:v>
                </c:pt>
                <c:pt idx="7">
                  <c:v>24200</c:v>
                </c:pt>
                <c:pt idx="8">
                  <c:v>12585</c:v>
                </c:pt>
                <c:pt idx="9">
                  <c:v>21800</c:v>
                </c:pt>
                <c:pt idx="10">
                  <c:v>8685</c:v>
                </c:pt>
                <c:pt idx="11">
                  <c:v>11082</c:v>
                </c:pt>
                <c:pt idx="12">
                  <c:v>5280</c:v>
                </c:pt>
                <c:pt idx="13">
                  <c:v>8670</c:v>
                </c:pt>
                <c:pt idx="14">
                  <c:v>5000</c:v>
                </c:pt>
                <c:pt idx="15">
                  <c:v>11700</c:v>
                </c:pt>
                <c:pt idx="16">
                  <c:v>5000</c:v>
                </c:pt>
                <c:pt idx="17">
                  <c:v>4500</c:v>
                </c:pt>
                <c:pt idx="18">
                  <c:v>5000</c:v>
                </c:pt>
                <c:pt idx="19">
                  <c:v>8100</c:v>
                </c:pt>
                <c:pt idx="20">
                  <c:v>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ED-48E2-A442-992ACB00901A}"/>
            </c:ext>
          </c:extLst>
        </c:ser>
        <c:ser>
          <c:idx val="3"/>
          <c:order val="3"/>
          <c:tx>
            <c:v>店铺</c:v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(卖猫!$L$2,卖猫!$L$5,卖猫!$L$8,卖猫!$L$11,卖猫!$L$14,卖猫!$L$17,卖猫!$L$20,卖猫!$L$23,卖猫!$L$26,卖猫!$L$29,卖猫!$L$32,卖猫!$L$35,卖猫!$L$38,卖猫!$L$41,卖猫!$L$44,卖猫!$L$47,卖猫!$L$50,卖猫!$L$53,卖猫!$L$56,卖猫!$L$59,卖猫!$L$62,卖猫!$L$65)</c:f>
              <c:numCache>
                <c:formatCode>mmm\-yy</c:formatCode>
                <c:ptCount val="22"/>
                <c:pt idx="0">
                  <c:v>43709</c:v>
                </c:pt>
                <c:pt idx="1">
                  <c:v>43800</c:v>
                </c:pt>
                <c:pt idx="2">
                  <c:v>43891</c:v>
                </c:pt>
                <c:pt idx="3">
                  <c:v>43983</c:v>
                </c:pt>
                <c:pt idx="4">
                  <c:v>44075</c:v>
                </c:pt>
                <c:pt idx="5">
                  <c:v>44166</c:v>
                </c:pt>
                <c:pt idx="6">
                  <c:v>44256</c:v>
                </c:pt>
                <c:pt idx="7">
                  <c:v>44348</c:v>
                </c:pt>
                <c:pt idx="8">
                  <c:v>44440</c:v>
                </c:pt>
                <c:pt idx="9">
                  <c:v>44531</c:v>
                </c:pt>
                <c:pt idx="10">
                  <c:v>44621</c:v>
                </c:pt>
                <c:pt idx="11">
                  <c:v>44713</c:v>
                </c:pt>
                <c:pt idx="12">
                  <c:v>44805</c:v>
                </c:pt>
                <c:pt idx="13">
                  <c:v>44896</c:v>
                </c:pt>
                <c:pt idx="14">
                  <c:v>44986</c:v>
                </c:pt>
                <c:pt idx="15">
                  <c:v>45078</c:v>
                </c:pt>
                <c:pt idx="16">
                  <c:v>45170</c:v>
                </c:pt>
                <c:pt idx="17">
                  <c:v>45261</c:v>
                </c:pt>
                <c:pt idx="18">
                  <c:v>45352</c:v>
                </c:pt>
                <c:pt idx="19">
                  <c:v>45444</c:v>
                </c:pt>
                <c:pt idx="20">
                  <c:v>45536</c:v>
                </c:pt>
                <c:pt idx="21">
                  <c:v>45627</c:v>
                </c:pt>
              </c:numCache>
            </c:numRef>
          </c:cat>
          <c:val>
            <c:numRef>
              <c:f>(卖猫!$W$2,卖猫!$W$5,卖猫!$W$8,卖猫!$W$11,卖猫!$W$14,卖猫!$W$17,卖猫!$W$20,卖猫!$W$23,卖猫!$W$26,卖猫!$W$29,卖猫!$W$32,卖猫!$W$35,卖猫!$W$38,卖猫!$W$41,卖猫!$W$44,卖猫!$W$47,卖猫!$W$50,卖猫!$W$53,卖猫!$W$56,卖猫!$W$59,卖猫!$W$62,卖猫!$W$65)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6150</c:v>
                </c:pt>
                <c:pt idx="8">
                  <c:v>7425</c:v>
                </c:pt>
                <c:pt idx="9">
                  <c:v>10595</c:v>
                </c:pt>
                <c:pt idx="10">
                  <c:v>3820</c:v>
                </c:pt>
                <c:pt idx="11">
                  <c:v>8660</c:v>
                </c:pt>
                <c:pt idx="12">
                  <c:v>3289</c:v>
                </c:pt>
                <c:pt idx="13">
                  <c:v>632</c:v>
                </c:pt>
                <c:pt idx="14">
                  <c:v>400</c:v>
                </c:pt>
                <c:pt idx="15">
                  <c:v>700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ED-48E2-A442-992ACB00901A}"/>
            </c:ext>
          </c:extLst>
        </c:ser>
        <c:ser>
          <c:idx val="4"/>
          <c:order val="4"/>
          <c:tx>
            <c:v>咸鱼</c:v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(卖猫!$L$2,卖猫!$L$5,卖猫!$L$8,卖猫!$L$11,卖猫!$L$14,卖猫!$L$17,卖猫!$L$20,卖猫!$L$23,卖猫!$L$26,卖猫!$L$29,卖猫!$L$32,卖猫!$L$35,卖猫!$L$38,卖猫!$L$41,卖猫!$L$44,卖猫!$L$47,卖猫!$L$50,卖猫!$L$53,卖猫!$L$56,卖猫!$L$59,卖猫!$L$62,卖猫!$L$65)</c:f>
              <c:numCache>
                <c:formatCode>mmm\-yy</c:formatCode>
                <c:ptCount val="22"/>
                <c:pt idx="0">
                  <c:v>43709</c:v>
                </c:pt>
                <c:pt idx="1">
                  <c:v>43800</c:v>
                </c:pt>
                <c:pt idx="2">
                  <c:v>43891</c:v>
                </c:pt>
                <c:pt idx="3">
                  <c:v>43983</c:v>
                </c:pt>
                <c:pt idx="4">
                  <c:v>44075</c:v>
                </c:pt>
                <c:pt idx="5">
                  <c:v>44166</c:v>
                </c:pt>
                <c:pt idx="6">
                  <c:v>44256</c:v>
                </c:pt>
                <c:pt idx="7">
                  <c:v>44348</c:v>
                </c:pt>
                <c:pt idx="8">
                  <c:v>44440</c:v>
                </c:pt>
                <c:pt idx="9">
                  <c:v>44531</c:v>
                </c:pt>
                <c:pt idx="10">
                  <c:v>44621</c:v>
                </c:pt>
                <c:pt idx="11">
                  <c:v>44713</c:v>
                </c:pt>
                <c:pt idx="12">
                  <c:v>44805</c:v>
                </c:pt>
                <c:pt idx="13">
                  <c:v>44896</c:v>
                </c:pt>
                <c:pt idx="14">
                  <c:v>44986</c:v>
                </c:pt>
                <c:pt idx="15">
                  <c:v>45078</c:v>
                </c:pt>
                <c:pt idx="16">
                  <c:v>45170</c:v>
                </c:pt>
                <c:pt idx="17">
                  <c:v>45261</c:v>
                </c:pt>
                <c:pt idx="18">
                  <c:v>45352</c:v>
                </c:pt>
                <c:pt idx="19">
                  <c:v>45444</c:v>
                </c:pt>
                <c:pt idx="20">
                  <c:v>45536</c:v>
                </c:pt>
                <c:pt idx="21">
                  <c:v>45627</c:v>
                </c:pt>
              </c:numCache>
            </c:numRef>
          </c:cat>
          <c:val>
            <c:numRef>
              <c:f>(卖猫!$X$2,卖猫!$X$5,卖猫!$X$8,卖猫!$X$11,卖猫!$X$14,卖猫!$X$17,卖猫!$X$20,卖猫!$X$23,卖猫!$X$26,卖猫!$X$29,卖猫!$X$32,卖猫!$X$35,卖猫!$X$38,卖猫!$X$41,卖猫!$X$44,卖猫!$X$47,卖猫!$X$50,卖猫!$X$53,卖猫!$X$56,卖猫!$X$59,卖猫!$X$62,卖猫!$X$65)</c:f>
              <c:numCache>
                <c:formatCode>0</c:formatCode>
                <c:ptCount val="22"/>
                <c:pt idx="0">
                  <c:v>1500</c:v>
                </c:pt>
                <c:pt idx="1">
                  <c:v>500</c:v>
                </c:pt>
                <c:pt idx="2">
                  <c:v>500</c:v>
                </c:pt>
                <c:pt idx="3">
                  <c:v>9100</c:v>
                </c:pt>
                <c:pt idx="4">
                  <c:v>1500</c:v>
                </c:pt>
                <c:pt idx="5">
                  <c:v>3100</c:v>
                </c:pt>
                <c:pt idx="6">
                  <c:v>4600</c:v>
                </c:pt>
                <c:pt idx="7">
                  <c:v>1200</c:v>
                </c:pt>
                <c:pt idx="8">
                  <c:v>3700</c:v>
                </c:pt>
                <c:pt idx="9">
                  <c:v>0</c:v>
                </c:pt>
                <c:pt idx="10">
                  <c:v>0</c:v>
                </c:pt>
                <c:pt idx="11">
                  <c:v>6000</c:v>
                </c:pt>
                <c:pt idx="12">
                  <c:v>6100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ED-48E2-A442-992ACB009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2760847"/>
        <c:axId val="975174591"/>
      </c:lineChart>
      <c:dateAx>
        <c:axId val="1302760847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174591"/>
        <c:crosses val="autoZero"/>
        <c:auto val="1"/>
        <c:lblOffset val="100"/>
        <c:baseTimeUnit val="months"/>
      </c:dateAx>
      <c:valAx>
        <c:axId val="97517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608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bg1">
              <a:alpha val="0"/>
            </a:schemeClr>
          </a:solidFill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bg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603882</xdr:colOff>
      <xdr:row>2</xdr:row>
      <xdr:rowOff>32067</xdr:rowOff>
    </xdr:from>
    <xdr:to>
      <xdr:col>36</xdr:col>
      <xdr:colOff>0</xdr:colOff>
      <xdr:row>55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9468C9-05A5-4257-AB6A-18668D380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0</xdr:row>
      <xdr:rowOff>33336</xdr:rowOff>
    </xdr:from>
    <xdr:to>
      <xdr:col>24</xdr:col>
      <xdr:colOff>276225</xdr:colOff>
      <xdr:row>16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ECABC2-91F4-4CDF-A822-196C70663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590550</xdr:colOff>
      <xdr:row>16</xdr:row>
      <xdr:rowOff>138111</xdr:rowOff>
    </xdr:from>
    <xdr:to>
      <xdr:col>24</xdr:col>
      <xdr:colOff>276226</xdr:colOff>
      <xdr:row>33</xdr:row>
      <xdr:rowOff>133349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15AF24-7CBD-4D54-9DA7-107B04F32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590549</xdr:colOff>
      <xdr:row>33</xdr:row>
      <xdr:rowOff>128587</xdr:rowOff>
    </xdr:from>
    <xdr:to>
      <xdr:col>24</xdr:col>
      <xdr:colOff>266701</xdr:colOff>
      <xdr:row>49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FAB0BC-A6EC-4B10-BE74-159A322C5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7143</xdr:colOff>
      <xdr:row>26</xdr:row>
      <xdr:rowOff>100009</xdr:rowOff>
    </xdr:from>
    <xdr:to>
      <xdr:col>70</xdr:col>
      <xdr:colOff>423333</xdr:colOff>
      <xdr:row>50</xdr:row>
      <xdr:rowOff>76199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19524</xdr:colOff>
      <xdr:row>1</xdr:row>
      <xdr:rowOff>10952</xdr:rowOff>
    </xdr:from>
    <xdr:to>
      <xdr:col>70</xdr:col>
      <xdr:colOff>423333</xdr:colOff>
      <xdr:row>26</xdr:row>
      <xdr:rowOff>95250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2380</xdr:colOff>
      <xdr:row>1</xdr:row>
      <xdr:rowOff>7143</xdr:rowOff>
    </xdr:from>
    <xdr:to>
      <xdr:col>52</xdr:col>
      <xdr:colOff>457200</xdr:colOff>
      <xdr:row>20</xdr:row>
      <xdr:rowOff>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20</xdr:row>
      <xdr:rowOff>10714</xdr:rowOff>
    </xdr:from>
    <xdr:to>
      <xdr:col>52</xdr:col>
      <xdr:colOff>457200</xdr:colOff>
      <xdr:row>40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039B20-A203-442B-9061-260E40772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619125</xdr:colOff>
      <xdr:row>40</xdr:row>
      <xdr:rowOff>164646</xdr:rowOff>
    </xdr:from>
    <xdr:to>
      <xdr:col>52</xdr:col>
      <xdr:colOff>469446</xdr:colOff>
      <xdr:row>62</xdr:row>
      <xdr:rowOff>2721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F8E714-60A1-476E-9BD7-980C52DC0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BO423"/>
  <sheetViews>
    <sheetView zoomScaleNormal="100" workbookViewId="0">
      <pane ySplit="1" topLeftCell="A2" activePane="bottomLeft" state="frozen"/>
      <selection pane="bottomLeft" activeCell="F33" sqref="F33"/>
    </sheetView>
  </sheetViews>
  <sheetFormatPr defaultColWidth="9" defaultRowHeight="14.25" thickTop="1" thickBottom="1"/>
  <cols>
    <col min="1" max="1" width="18.28515625" style="47" bestFit="1" customWidth="1"/>
    <col min="2" max="2" width="15" style="47" bestFit="1" customWidth="1"/>
    <col min="3" max="3" width="7.7109375" style="75" bestFit="1" customWidth="1"/>
    <col min="4" max="5" width="11.28515625" style="47" customWidth="1"/>
    <col min="6" max="6" width="15.28515625" style="47" customWidth="1"/>
    <col min="7" max="7" width="5.28515625" style="47" bestFit="1" customWidth="1"/>
    <col min="8" max="8" width="5" style="47" bestFit="1" customWidth="1"/>
    <col min="9" max="10" width="14" style="47" bestFit="1" customWidth="1"/>
    <col min="11" max="13" width="9.140625" style="47" bestFit="1" customWidth="1"/>
    <col min="14" max="14" width="5.140625" style="47" bestFit="1" customWidth="1"/>
    <col min="15" max="16" width="15.42578125" style="47" bestFit="1" customWidth="1"/>
    <col min="17" max="17" width="8.5703125" style="47" bestFit="1" customWidth="1"/>
    <col min="18" max="19" width="9.140625" style="47" bestFit="1" customWidth="1"/>
    <col min="20" max="20" width="5.140625" style="47" bestFit="1" customWidth="1"/>
    <col min="21" max="21" width="14.7109375" style="47" customWidth="1"/>
    <col min="22" max="22" width="16.28515625" style="47" customWidth="1"/>
    <col min="23" max="25" width="9.140625" style="47" bestFit="1" customWidth="1"/>
    <col min="26" max="26" width="5.140625" style="47" bestFit="1" customWidth="1"/>
    <col min="27" max="27" width="14.7109375" style="47" customWidth="1"/>
    <col min="28" max="28" width="16.28515625" style="47" customWidth="1"/>
    <col min="29" max="31" width="9.140625" style="47" bestFit="1" customWidth="1"/>
    <col min="32" max="32" width="5.140625" style="47" bestFit="1" customWidth="1"/>
    <col min="33" max="33" width="14.7109375" style="47" customWidth="1"/>
    <col min="34" max="34" width="16.28515625" style="47" customWidth="1"/>
    <col min="35" max="37" width="9" style="47"/>
    <col min="38" max="38" width="5.140625" style="47" bestFit="1" customWidth="1"/>
    <col min="39" max="39" width="14.7109375" style="47" customWidth="1"/>
    <col min="40" max="40" width="16.28515625" style="47" customWidth="1"/>
    <col min="41" max="43" width="9" style="47"/>
    <col min="44" max="44" width="5.140625" style="47" bestFit="1" customWidth="1"/>
    <col min="45" max="45" width="14.7109375" style="47" customWidth="1"/>
    <col min="46" max="46" width="16.28515625" style="47" customWidth="1"/>
    <col min="47" max="49" width="9" style="47"/>
    <col min="50" max="50" width="5.140625" style="47" bestFit="1" customWidth="1"/>
    <col min="51" max="51" width="14.7109375" style="47" customWidth="1"/>
    <col min="52" max="52" width="16.28515625" style="47" customWidth="1"/>
    <col min="53" max="55" width="9" style="47"/>
    <col min="56" max="56" width="5.140625" style="47" bestFit="1" customWidth="1"/>
    <col min="57" max="57" width="14.7109375" style="47" customWidth="1"/>
    <col min="58" max="58" width="16.28515625" style="47" customWidth="1"/>
    <col min="59" max="61" width="9" style="47"/>
    <col min="62" max="62" width="6.140625" style="47" bestFit="1" customWidth="1"/>
    <col min="63" max="63" width="14.7109375" style="47" customWidth="1"/>
    <col min="64" max="64" width="16.28515625" style="47" customWidth="1"/>
    <col min="65" max="67" width="9" style="47"/>
    <col min="68" max="16384" width="9" style="42"/>
  </cols>
  <sheetData>
    <row r="1" spans="1:67" thickTop="1" thickBot="1">
      <c r="A1" s="38" t="s">
        <v>161</v>
      </c>
      <c r="B1" s="38" t="s">
        <v>1006</v>
      </c>
      <c r="C1" s="39" t="s">
        <v>1005</v>
      </c>
      <c r="D1" s="40" t="s">
        <v>470</v>
      </c>
      <c r="E1" s="40" t="s">
        <v>1246</v>
      </c>
      <c r="F1" s="38" t="s">
        <v>368</v>
      </c>
      <c r="G1" s="38" t="s">
        <v>532</v>
      </c>
      <c r="H1" s="41" t="s">
        <v>177</v>
      </c>
      <c r="I1" s="38" t="s">
        <v>184</v>
      </c>
      <c r="J1" s="38" t="s">
        <v>185</v>
      </c>
      <c r="K1" s="38" t="s">
        <v>186</v>
      </c>
      <c r="L1" s="38" t="s">
        <v>187</v>
      </c>
      <c r="M1" s="38" t="s">
        <v>188</v>
      </c>
      <c r="N1" s="41" t="s">
        <v>178</v>
      </c>
      <c r="O1" s="38" t="s">
        <v>184</v>
      </c>
      <c r="P1" s="38" t="s">
        <v>185</v>
      </c>
      <c r="Q1" s="38" t="s">
        <v>186</v>
      </c>
      <c r="R1" s="38" t="s">
        <v>187</v>
      </c>
      <c r="S1" s="38" t="s">
        <v>188</v>
      </c>
      <c r="T1" s="41" t="s">
        <v>179</v>
      </c>
      <c r="U1" s="38" t="s">
        <v>184</v>
      </c>
      <c r="V1" s="38" t="s">
        <v>185</v>
      </c>
      <c r="W1" s="38" t="s">
        <v>186</v>
      </c>
      <c r="X1" s="38" t="s">
        <v>187</v>
      </c>
      <c r="Y1" s="38" t="s">
        <v>188</v>
      </c>
      <c r="Z1" s="41" t="s">
        <v>521</v>
      </c>
      <c r="AA1" s="38" t="s">
        <v>184</v>
      </c>
      <c r="AB1" s="38" t="s">
        <v>185</v>
      </c>
      <c r="AC1" s="38" t="s">
        <v>186</v>
      </c>
      <c r="AD1" s="38" t="s">
        <v>187</v>
      </c>
      <c r="AE1" s="38" t="s">
        <v>188</v>
      </c>
      <c r="AF1" s="41" t="s">
        <v>526</v>
      </c>
      <c r="AG1" s="38" t="s">
        <v>184</v>
      </c>
      <c r="AH1" s="38" t="s">
        <v>185</v>
      </c>
      <c r="AI1" s="38" t="s">
        <v>186</v>
      </c>
      <c r="AJ1" s="38" t="s">
        <v>187</v>
      </c>
      <c r="AK1" s="38" t="s">
        <v>188</v>
      </c>
      <c r="AL1" s="41" t="s">
        <v>527</v>
      </c>
      <c r="AM1" s="38" t="s">
        <v>184</v>
      </c>
      <c r="AN1" s="38" t="s">
        <v>185</v>
      </c>
      <c r="AO1" s="38" t="s">
        <v>186</v>
      </c>
      <c r="AP1" s="38" t="s">
        <v>187</v>
      </c>
      <c r="AQ1" s="38" t="s">
        <v>188</v>
      </c>
      <c r="AR1" s="41" t="s">
        <v>528</v>
      </c>
      <c r="AS1" s="38" t="s">
        <v>184</v>
      </c>
      <c r="AT1" s="38" t="s">
        <v>185</v>
      </c>
      <c r="AU1" s="38" t="s">
        <v>186</v>
      </c>
      <c r="AV1" s="38" t="s">
        <v>187</v>
      </c>
      <c r="AW1" s="38" t="s">
        <v>188</v>
      </c>
      <c r="AX1" s="41" t="s">
        <v>529</v>
      </c>
      <c r="AY1" s="38" t="s">
        <v>184</v>
      </c>
      <c r="AZ1" s="38" t="s">
        <v>185</v>
      </c>
      <c r="BA1" s="38" t="s">
        <v>186</v>
      </c>
      <c r="BB1" s="38" t="s">
        <v>187</v>
      </c>
      <c r="BC1" s="38" t="s">
        <v>188</v>
      </c>
      <c r="BD1" s="41" t="s">
        <v>530</v>
      </c>
      <c r="BE1" s="38" t="s">
        <v>184</v>
      </c>
      <c r="BF1" s="38" t="s">
        <v>185</v>
      </c>
      <c r="BG1" s="38" t="s">
        <v>186</v>
      </c>
      <c r="BH1" s="38" t="s">
        <v>187</v>
      </c>
      <c r="BI1" s="38" t="s">
        <v>188</v>
      </c>
      <c r="BJ1" s="41" t="s">
        <v>531</v>
      </c>
      <c r="BK1" s="38" t="s">
        <v>184</v>
      </c>
      <c r="BL1" s="38" t="s">
        <v>185</v>
      </c>
      <c r="BM1" s="38" t="s">
        <v>186</v>
      </c>
      <c r="BN1" s="38" t="s">
        <v>187</v>
      </c>
      <c r="BO1" s="38" t="s">
        <v>188</v>
      </c>
    </row>
    <row r="2" spans="1:67" thickTop="1" thickBot="1">
      <c r="A2" s="38" t="s">
        <v>1201</v>
      </c>
      <c r="B2" s="43">
        <v>45344</v>
      </c>
      <c r="C2" s="39">
        <f ca="1">(TODAY()-B2)/30</f>
        <v>7.5666666666666664</v>
      </c>
      <c r="D2" s="44" t="s">
        <v>472</v>
      </c>
      <c r="E2" s="44" t="s">
        <v>472</v>
      </c>
      <c r="F2" s="43" t="s">
        <v>403</v>
      </c>
      <c r="G2" s="38"/>
      <c r="H2" s="38"/>
      <c r="I2" s="43"/>
      <c r="J2" s="43"/>
      <c r="K2" s="38"/>
      <c r="L2" s="38"/>
      <c r="M2" s="38"/>
      <c r="N2" s="38"/>
      <c r="O2" s="43"/>
      <c r="P2" s="43"/>
      <c r="Q2" s="38"/>
      <c r="R2" s="38"/>
      <c r="S2" s="38"/>
      <c r="T2" s="38"/>
      <c r="U2" s="43"/>
      <c r="V2" s="43"/>
      <c r="W2" s="38"/>
      <c r="X2" s="38"/>
      <c r="Y2" s="38"/>
      <c r="Z2" s="38"/>
      <c r="AA2" s="43"/>
      <c r="AB2" s="43"/>
      <c r="AC2" s="38"/>
      <c r="AD2" s="38"/>
      <c r="AE2" s="38"/>
      <c r="AF2" s="38"/>
      <c r="AG2" s="43"/>
      <c r="AH2" s="43"/>
      <c r="AI2" s="38"/>
      <c r="AJ2" s="38"/>
      <c r="AK2" s="38"/>
      <c r="AL2" s="38"/>
      <c r="AM2" s="43"/>
      <c r="AN2" s="43"/>
      <c r="AO2" s="38"/>
      <c r="AP2" s="38"/>
      <c r="AQ2" s="38"/>
      <c r="AR2" s="38"/>
      <c r="AS2" s="43"/>
      <c r="AT2" s="43"/>
      <c r="AU2" s="38"/>
      <c r="AV2" s="38"/>
      <c r="AW2" s="38"/>
      <c r="AX2" s="38"/>
      <c r="AY2" s="43"/>
      <c r="AZ2" s="43"/>
      <c r="BA2" s="38"/>
      <c r="BB2" s="38"/>
      <c r="BC2" s="38"/>
      <c r="BD2" s="38"/>
      <c r="BE2" s="43"/>
      <c r="BF2" s="43"/>
      <c r="BG2" s="38"/>
      <c r="BH2" s="38"/>
      <c r="BI2" s="38"/>
      <c r="BJ2" s="38"/>
      <c r="BK2" s="43"/>
      <c r="BL2" s="43"/>
      <c r="BM2" s="38"/>
      <c r="BN2" s="38"/>
      <c r="BO2" s="38"/>
    </row>
    <row r="3" spans="1:67" thickTop="1" thickBot="1">
      <c r="A3" s="38" t="s">
        <v>1201</v>
      </c>
      <c r="B3" s="43">
        <v>45344</v>
      </c>
      <c r="C3" s="39">
        <f ca="1">(TODAY()-B3)/30</f>
        <v>7.5666666666666664</v>
      </c>
      <c r="D3" s="44" t="s">
        <v>645</v>
      </c>
      <c r="E3" s="40" t="s">
        <v>472</v>
      </c>
      <c r="F3" s="43" t="s">
        <v>403</v>
      </c>
      <c r="G3" s="38"/>
      <c r="H3" s="38"/>
      <c r="I3" s="43"/>
      <c r="J3" s="43"/>
      <c r="K3" s="38"/>
      <c r="L3" s="38"/>
      <c r="M3" s="38"/>
      <c r="N3" s="38"/>
      <c r="O3" s="43"/>
      <c r="P3" s="43"/>
      <c r="Q3" s="38"/>
      <c r="R3" s="38"/>
      <c r="S3" s="38"/>
      <c r="T3" s="38"/>
      <c r="U3" s="43"/>
      <c r="V3" s="43"/>
      <c r="W3" s="38"/>
      <c r="X3" s="38"/>
      <c r="Y3" s="38"/>
      <c r="Z3" s="38"/>
      <c r="AA3" s="43"/>
      <c r="AB3" s="43"/>
      <c r="AC3" s="38"/>
      <c r="AD3" s="38"/>
      <c r="AE3" s="38"/>
      <c r="AF3" s="38"/>
      <c r="AG3" s="43"/>
      <c r="AH3" s="43"/>
      <c r="AI3" s="38"/>
      <c r="AJ3" s="38"/>
      <c r="AK3" s="38"/>
      <c r="AL3" s="38"/>
      <c r="AM3" s="43"/>
      <c r="AN3" s="43"/>
      <c r="AO3" s="38"/>
      <c r="AP3" s="38"/>
      <c r="AQ3" s="38"/>
      <c r="AR3" s="38"/>
      <c r="AS3" s="43"/>
      <c r="AT3" s="43"/>
      <c r="AU3" s="38"/>
      <c r="AV3" s="38"/>
      <c r="AW3" s="38"/>
      <c r="AX3" s="38"/>
      <c r="AY3" s="43"/>
      <c r="AZ3" s="43"/>
      <c r="BA3" s="38"/>
      <c r="BB3" s="38"/>
      <c r="BC3" s="38"/>
      <c r="BD3" s="38"/>
      <c r="BE3" s="43"/>
      <c r="BF3" s="43"/>
      <c r="BG3" s="38"/>
      <c r="BH3" s="38"/>
      <c r="BI3" s="38"/>
      <c r="BJ3" s="38"/>
      <c r="BK3" s="43"/>
      <c r="BL3" s="43"/>
      <c r="BM3" s="38"/>
      <c r="BN3" s="38"/>
      <c r="BO3" s="38"/>
    </row>
    <row r="4" spans="1:67" thickTop="1" thickBot="1">
      <c r="A4" s="38" t="s">
        <v>1236</v>
      </c>
      <c r="B4" s="43">
        <v>45132</v>
      </c>
      <c r="C4" s="39">
        <f ca="1">(TODAY()-B4)/30</f>
        <v>14.633333333333333</v>
      </c>
      <c r="D4" s="44" t="s">
        <v>471</v>
      </c>
      <c r="E4" s="44" t="s">
        <v>471</v>
      </c>
      <c r="F4" s="43" t="s">
        <v>401</v>
      </c>
      <c r="G4" s="38"/>
      <c r="H4" s="38"/>
      <c r="I4" s="43"/>
      <c r="J4" s="43"/>
      <c r="K4" s="38"/>
      <c r="L4" s="38"/>
      <c r="M4" s="38"/>
      <c r="N4" s="38"/>
      <c r="O4" s="43"/>
      <c r="P4" s="43"/>
      <c r="Q4" s="38"/>
      <c r="R4" s="38"/>
      <c r="S4" s="38"/>
      <c r="T4" s="38"/>
      <c r="U4" s="43"/>
      <c r="V4" s="43"/>
      <c r="W4" s="38"/>
      <c r="X4" s="38"/>
      <c r="Y4" s="38"/>
      <c r="Z4" s="38"/>
      <c r="AA4" s="43"/>
      <c r="AB4" s="43"/>
      <c r="AC4" s="38"/>
      <c r="AD4" s="38"/>
      <c r="AE4" s="38"/>
      <c r="AF4" s="38"/>
      <c r="AG4" s="43"/>
      <c r="AH4" s="43"/>
      <c r="AI4" s="38"/>
      <c r="AJ4" s="38"/>
      <c r="AK4" s="38"/>
      <c r="AL4" s="38"/>
      <c r="AM4" s="43"/>
      <c r="AN4" s="43"/>
      <c r="AO4" s="38"/>
      <c r="AP4" s="38"/>
      <c r="AQ4" s="38"/>
      <c r="AR4" s="38"/>
      <c r="AS4" s="43"/>
      <c r="AT4" s="43"/>
      <c r="AU4" s="38"/>
      <c r="AV4" s="38"/>
      <c r="AW4" s="38"/>
      <c r="AX4" s="38"/>
      <c r="AY4" s="43"/>
      <c r="AZ4" s="43"/>
      <c r="BA4" s="38"/>
      <c r="BB4" s="38"/>
      <c r="BC4" s="38"/>
      <c r="BD4" s="38"/>
      <c r="BE4" s="43"/>
      <c r="BF4" s="43"/>
      <c r="BG4" s="38"/>
      <c r="BH4" s="38"/>
      <c r="BI4" s="38"/>
      <c r="BJ4" s="38"/>
      <c r="BK4" s="43"/>
      <c r="BL4" s="43"/>
      <c r="BM4" s="38"/>
      <c r="BN4" s="38"/>
      <c r="BO4" s="38"/>
    </row>
    <row r="5" spans="1:67" thickTop="1" thickBot="1">
      <c r="A5" s="38" t="s">
        <v>172</v>
      </c>
      <c r="B5" s="43">
        <v>43739</v>
      </c>
      <c r="C5" s="39">
        <f ca="1">(TODAY()-B5)/30</f>
        <v>61.06666666666667</v>
      </c>
      <c r="D5" s="44" t="s">
        <v>472</v>
      </c>
      <c r="E5" s="44" t="s">
        <v>472</v>
      </c>
      <c r="F5" s="43" t="s">
        <v>401</v>
      </c>
      <c r="G5" s="38">
        <f>COUNTIFS(猫统计!I5,"&lt;&gt;")+COUNTIFS(猫统计!O5,"&lt;&gt;")+COUNTIFS(猫统计!U5,"&lt;&gt;")+COUNTIFS(猫统计!AA5,"&lt;&gt;")+COUNTIFS(猫统计!AG5,"&lt;&gt;")+COUNTIFS(猫统计!AM5,"&lt;&gt;")+COUNTIFS(猫统计!AS5,"&lt;&gt;")+COUNTIFS(猫统计!AY5,"&lt;&gt;")+COUNTIFS(猫统计!BE5,"&lt;&gt;")+COUNTIFS(猫统计!BK5,"&lt;&gt;")</f>
        <v>4</v>
      </c>
      <c r="H5" s="38"/>
      <c r="I5" s="43">
        <v>44442</v>
      </c>
      <c r="J5" s="43">
        <v>44506</v>
      </c>
      <c r="K5" s="38">
        <f>J5-I5</f>
        <v>64</v>
      </c>
      <c r="L5" s="38">
        <v>0</v>
      </c>
      <c r="M5" s="38">
        <v>3</v>
      </c>
      <c r="N5" s="38"/>
      <c r="O5" s="43">
        <v>44657</v>
      </c>
      <c r="P5" s="43">
        <v>44722</v>
      </c>
      <c r="Q5" s="38">
        <f>P5-O5</f>
        <v>65</v>
      </c>
      <c r="R5" s="38">
        <v>0</v>
      </c>
      <c r="S5" s="38">
        <v>3</v>
      </c>
      <c r="T5" s="38"/>
      <c r="U5" s="43">
        <v>44959</v>
      </c>
      <c r="V5" s="43">
        <v>45023</v>
      </c>
      <c r="W5" s="38">
        <f>V5-U5</f>
        <v>64</v>
      </c>
      <c r="X5" s="38">
        <v>0</v>
      </c>
      <c r="Y5" s="38">
        <v>4</v>
      </c>
      <c r="Z5" s="38"/>
      <c r="AA5" s="43">
        <v>45386</v>
      </c>
      <c r="AB5" s="43">
        <v>45452</v>
      </c>
      <c r="AC5" s="38">
        <f>AB5-AA5</f>
        <v>66</v>
      </c>
      <c r="AD5" s="38">
        <v>0</v>
      </c>
      <c r="AE5" s="38">
        <v>4</v>
      </c>
      <c r="AF5" s="38"/>
      <c r="AG5" s="43"/>
      <c r="AH5" s="43"/>
      <c r="AI5" s="38"/>
      <c r="AJ5" s="38"/>
      <c r="AK5" s="38"/>
      <c r="AL5" s="38"/>
      <c r="AM5" s="43"/>
      <c r="AN5" s="43"/>
      <c r="AO5" s="38"/>
      <c r="AP5" s="38"/>
      <c r="AQ5" s="38"/>
      <c r="AR5" s="38"/>
      <c r="AS5" s="43"/>
      <c r="AT5" s="43"/>
      <c r="AU5" s="38"/>
      <c r="AV5" s="38"/>
      <c r="AW5" s="38"/>
      <c r="AX5" s="38"/>
      <c r="AY5" s="43"/>
      <c r="AZ5" s="43"/>
      <c r="BA5" s="38"/>
      <c r="BB5" s="38"/>
      <c r="BC5" s="38"/>
      <c r="BD5" s="38"/>
      <c r="BE5" s="43"/>
      <c r="BF5" s="43"/>
      <c r="BG5" s="38"/>
      <c r="BH5" s="38"/>
      <c r="BI5" s="38"/>
      <c r="BJ5" s="38"/>
      <c r="BK5" s="43"/>
      <c r="BL5" s="43"/>
      <c r="BM5" s="38"/>
      <c r="BN5" s="38"/>
      <c r="BO5" s="38"/>
    </row>
    <row r="6" spans="1:67" thickTop="1" thickBot="1">
      <c r="A6" s="38" t="s">
        <v>1221</v>
      </c>
      <c r="B6" s="43">
        <v>45347</v>
      </c>
      <c r="C6" s="39">
        <f ca="1">(TODAY()-B6)/30</f>
        <v>7.4666666666666668</v>
      </c>
      <c r="D6" s="44" t="s">
        <v>471</v>
      </c>
      <c r="E6" s="44" t="s">
        <v>471</v>
      </c>
      <c r="F6" s="43" t="s">
        <v>403</v>
      </c>
      <c r="G6" s="38"/>
      <c r="H6" s="38"/>
      <c r="I6" s="43"/>
      <c r="J6" s="43"/>
      <c r="K6" s="38"/>
      <c r="L6" s="38"/>
      <c r="M6" s="38"/>
      <c r="N6" s="38"/>
      <c r="O6" s="43"/>
      <c r="P6" s="43"/>
      <c r="Q6" s="38"/>
      <c r="R6" s="38"/>
      <c r="S6" s="38"/>
      <c r="T6" s="38"/>
      <c r="U6" s="43"/>
      <c r="V6" s="43"/>
      <c r="W6" s="38"/>
      <c r="X6" s="38"/>
      <c r="Y6" s="38"/>
      <c r="Z6" s="38"/>
      <c r="AA6" s="43"/>
      <c r="AB6" s="43"/>
      <c r="AC6" s="38"/>
      <c r="AD6" s="38"/>
      <c r="AE6" s="38"/>
      <c r="AF6" s="38"/>
      <c r="AG6" s="43"/>
      <c r="AH6" s="43"/>
      <c r="AI6" s="38"/>
      <c r="AJ6" s="38"/>
      <c r="AK6" s="38"/>
      <c r="AL6" s="38"/>
      <c r="AM6" s="43"/>
      <c r="AN6" s="43"/>
      <c r="AO6" s="38"/>
      <c r="AP6" s="38"/>
      <c r="AQ6" s="38"/>
      <c r="AR6" s="38"/>
      <c r="AS6" s="43"/>
      <c r="AT6" s="43"/>
      <c r="AU6" s="38"/>
      <c r="AV6" s="38"/>
      <c r="AW6" s="38"/>
      <c r="AX6" s="38"/>
      <c r="AY6" s="43"/>
      <c r="AZ6" s="43"/>
      <c r="BA6" s="38"/>
      <c r="BB6" s="38"/>
      <c r="BC6" s="38"/>
      <c r="BD6" s="38"/>
      <c r="BE6" s="43"/>
      <c r="BF6" s="43"/>
      <c r="BG6" s="38"/>
      <c r="BH6" s="38"/>
      <c r="BI6" s="38"/>
      <c r="BJ6" s="38"/>
      <c r="BK6" s="43"/>
      <c r="BL6" s="43"/>
      <c r="BM6" s="38"/>
      <c r="BN6" s="38"/>
      <c r="BO6" s="38"/>
    </row>
    <row r="7" spans="1:67" thickTop="1" thickBot="1">
      <c r="A7" s="38" t="s">
        <v>1102</v>
      </c>
      <c r="B7" s="43">
        <v>45452</v>
      </c>
      <c r="C7" s="39">
        <f ca="1">(TODAY()-B7)/30</f>
        <v>3.9666666666666668</v>
      </c>
      <c r="D7" s="44" t="s">
        <v>645</v>
      </c>
      <c r="E7" s="40"/>
      <c r="F7" s="43" t="s">
        <v>401</v>
      </c>
      <c r="G7" s="38"/>
      <c r="H7" s="38"/>
      <c r="I7" s="43"/>
      <c r="J7" s="43"/>
      <c r="K7" s="38"/>
      <c r="L7" s="38"/>
      <c r="M7" s="38"/>
      <c r="N7" s="38"/>
      <c r="O7" s="43"/>
      <c r="P7" s="43"/>
      <c r="Q7" s="38"/>
      <c r="R7" s="38"/>
      <c r="S7" s="38"/>
      <c r="T7" s="38"/>
      <c r="U7" s="43"/>
      <c r="V7" s="43"/>
      <c r="W7" s="38"/>
      <c r="X7" s="38"/>
      <c r="Y7" s="38"/>
      <c r="Z7" s="38"/>
      <c r="AA7" s="43"/>
      <c r="AB7" s="43"/>
      <c r="AC7" s="38"/>
      <c r="AD7" s="38"/>
      <c r="AE7" s="38"/>
      <c r="AF7" s="38"/>
      <c r="AG7" s="43"/>
      <c r="AH7" s="43"/>
      <c r="AI7" s="38"/>
      <c r="AJ7" s="38"/>
      <c r="AK7" s="38"/>
      <c r="AL7" s="38"/>
      <c r="AM7" s="43"/>
      <c r="AN7" s="43"/>
      <c r="AO7" s="38"/>
      <c r="AP7" s="38"/>
      <c r="AQ7" s="38"/>
      <c r="AR7" s="38"/>
      <c r="AS7" s="43"/>
      <c r="AT7" s="43"/>
      <c r="AU7" s="38"/>
      <c r="AV7" s="38"/>
      <c r="AW7" s="38"/>
      <c r="AX7" s="38"/>
      <c r="AY7" s="43"/>
      <c r="AZ7" s="43"/>
      <c r="BA7" s="38"/>
      <c r="BB7" s="38"/>
      <c r="BC7" s="38"/>
      <c r="BD7" s="38"/>
      <c r="BE7" s="43"/>
      <c r="BF7" s="43"/>
      <c r="BG7" s="38"/>
      <c r="BH7" s="38"/>
      <c r="BI7" s="38"/>
      <c r="BJ7" s="38"/>
      <c r="BK7" s="43"/>
      <c r="BL7" s="43"/>
      <c r="BM7" s="38"/>
      <c r="BN7" s="38"/>
      <c r="BO7" s="38"/>
    </row>
    <row r="8" spans="1:67" thickTop="1" thickBot="1">
      <c r="A8" s="38" t="s">
        <v>1102</v>
      </c>
      <c r="B8" s="43">
        <v>45452</v>
      </c>
      <c r="C8" s="39">
        <f ca="1">(TODAY()-B8)/30</f>
        <v>3.9666666666666668</v>
      </c>
      <c r="D8" s="44" t="s">
        <v>472</v>
      </c>
      <c r="E8" s="44" t="s">
        <v>472</v>
      </c>
      <c r="F8" s="43" t="s">
        <v>401</v>
      </c>
      <c r="G8" s="38"/>
      <c r="H8" s="38"/>
      <c r="I8" s="43"/>
      <c r="J8" s="43"/>
      <c r="K8" s="38"/>
      <c r="L8" s="38"/>
      <c r="M8" s="38"/>
      <c r="N8" s="38"/>
      <c r="O8" s="43"/>
      <c r="P8" s="43"/>
      <c r="Q8" s="38"/>
      <c r="R8" s="38"/>
      <c r="S8" s="38"/>
      <c r="T8" s="38"/>
      <c r="U8" s="43"/>
      <c r="V8" s="43"/>
      <c r="W8" s="38"/>
      <c r="X8" s="38"/>
      <c r="Y8" s="38"/>
      <c r="Z8" s="38"/>
      <c r="AA8" s="43"/>
      <c r="AB8" s="43"/>
      <c r="AC8" s="38"/>
      <c r="AD8" s="38"/>
      <c r="AE8" s="38"/>
      <c r="AF8" s="38"/>
      <c r="AG8" s="43"/>
      <c r="AH8" s="43"/>
      <c r="AI8" s="38"/>
      <c r="AJ8" s="38"/>
      <c r="AK8" s="38"/>
      <c r="AL8" s="38"/>
      <c r="AM8" s="43"/>
      <c r="AN8" s="43"/>
      <c r="AO8" s="38"/>
      <c r="AP8" s="38"/>
      <c r="AQ8" s="38"/>
      <c r="AR8" s="38"/>
      <c r="AS8" s="43"/>
      <c r="AT8" s="43"/>
      <c r="AU8" s="38"/>
      <c r="AV8" s="38"/>
      <c r="AW8" s="38"/>
      <c r="AX8" s="38"/>
      <c r="AY8" s="43"/>
      <c r="AZ8" s="43"/>
      <c r="BA8" s="38"/>
      <c r="BB8" s="38"/>
      <c r="BC8" s="38"/>
      <c r="BD8" s="38"/>
      <c r="BE8" s="43"/>
      <c r="BF8" s="43"/>
      <c r="BG8" s="38"/>
      <c r="BH8" s="38"/>
      <c r="BI8" s="38"/>
      <c r="BJ8" s="38"/>
      <c r="BK8" s="43"/>
      <c r="BL8" s="43"/>
      <c r="BM8" s="38"/>
      <c r="BN8" s="38"/>
      <c r="BO8" s="38"/>
    </row>
    <row r="9" spans="1:67" thickTop="1" thickBot="1">
      <c r="A9" s="38" t="s">
        <v>1102</v>
      </c>
      <c r="B9" s="43">
        <v>45452</v>
      </c>
      <c r="C9" s="39">
        <f ca="1">(TODAY()-B9)/30</f>
        <v>3.9666666666666668</v>
      </c>
      <c r="D9" s="44" t="s">
        <v>645</v>
      </c>
      <c r="E9" s="40"/>
      <c r="F9" s="43" t="s">
        <v>401</v>
      </c>
      <c r="G9" s="38"/>
      <c r="H9" s="38"/>
      <c r="I9" s="43"/>
      <c r="J9" s="43"/>
      <c r="K9" s="38"/>
      <c r="L9" s="38"/>
      <c r="M9" s="38"/>
      <c r="N9" s="38"/>
      <c r="O9" s="43"/>
      <c r="P9" s="43"/>
      <c r="Q9" s="38"/>
      <c r="R9" s="38"/>
      <c r="S9" s="38"/>
      <c r="T9" s="38"/>
      <c r="U9" s="43"/>
      <c r="V9" s="43"/>
      <c r="W9" s="38"/>
      <c r="X9" s="38"/>
      <c r="Y9" s="38"/>
      <c r="Z9" s="38"/>
      <c r="AA9" s="43"/>
      <c r="AB9" s="43"/>
      <c r="AC9" s="38"/>
      <c r="AD9" s="38"/>
      <c r="AE9" s="38"/>
      <c r="AF9" s="38"/>
      <c r="AG9" s="43"/>
      <c r="AH9" s="43"/>
      <c r="AI9" s="38"/>
      <c r="AJ9" s="38"/>
      <c r="AK9" s="38"/>
      <c r="AL9" s="38"/>
      <c r="AM9" s="43"/>
      <c r="AN9" s="43"/>
      <c r="AO9" s="38"/>
      <c r="AP9" s="38"/>
      <c r="AQ9" s="38"/>
      <c r="AR9" s="38"/>
      <c r="AS9" s="43"/>
      <c r="AT9" s="43"/>
      <c r="AU9" s="38"/>
      <c r="AV9" s="38"/>
      <c r="AW9" s="38"/>
      <c r="AX9" s="38"/>
      <c r="AY9" s="43"/>
      <c r="AZ9" s="43"/>
      <c r="BA9" s="38"/>
      <c r="BB9" s="38"/>
      <c r="BC9" s="38"/>
      <c r="BD9" s="38"/>
      <c r="BE9" s="43"/>
      <c r="BF9" s="43"/>
      <c r="BG9" s="38"/>
      <c r="BH9" s="38"/>
      <c r="BI9" s="38"/>
      <c r="BJ9" s="38"/>
      <c r="BK9" s="43"/>
      <c r="BL9" s="43"/>
      <c r="BM9" s="38"/>
      <c r="BN9" s="38"/>
      <c r="BO9" s="38"/>
    </row>
    <row r="10" spans="1:67" thickTop="1" thickBot="1">
      <c r="A10" s="38" t="s">
        <v>826</v>
      </c>
      <c r="B10" s="43">
        <v>44394</v>
      </c>
      <c r="C10" s="39">
        <f t="shared" ref="C10:C11" ca="1" si="0">(TODAY()-B10)/30</f>
        <v>39.233333333333334</v>
      </c>
      <c r="D10" s="44" t="s">
        <v>645</v>
      </c>
      <c r="E10" s="40"/>
      <c r="F10" s="43" t="s">
        <v>401</v>
      </c>
      <c r="G10" s="38"/>
      <c r="H10" s="38"/>
      <c r="I10" s="43"/>
      <c r="J10" s="43"/>
      <c r="K10" s="38"/>
      <c r="L10" s="38"/>
      <c r="M10" s="38"/>
      <c r="N10" s="38"/>
      <c r="O10" s="43"/>
      <c r="P10" s="43"/>
      <c r="Q10" s="38"/>
      <c r="R10" s="38"/>
      <c r="S10" s="38"/>
      <c r="T10" s="38"/>
      <c r="U10" s="43"/>
      <c r="V10" s="43"/>
      <c r="W10" s="38"/>
      <c r="X10" s="38"/>
      <c r="Y10" s="38"/>
      <c r="Z10" s="38"/>
      <c r="AA10" s="43"/>
      <c r="AB10" s="43"/>
      <c r="AC10" s="38"/>
      <c r="AD10" s="38"/>
      <c r="AE10" s="38"/>
      <c r="AF10" s="38"/>
      <c r="AG10" s="43"/>
      <c r="AH10" s="43"/>
      <c r="AI10" s="38"/>
      <c r="AJ10" s="38"/>
      <c r="AK10" s="38"/>
      <c r="AL10" s="38"/>
      <c r="AM10" s="43"/>
      <c r="AN10" s="43"/>
      <c r="AO10" s="38"/>
      <c r="AP10" s="38"/>
      <c r="AQ10" s="38"/>
      <c r="AR10" s="38"/>
      <c r="AS10" s="43"/>
      <c r="AT10" s="43"/>
      <c r="AU10" s="38"/>
      <c r="AV10" s="38"/>
      <c r="AW10" s="38"/>
      <c r="AX10" s="38"/>
      <c r="AY10" s="43"/>
      <c r="AZ10" s="43"/>
      <c r="BA10" s="38"/>
      <c r="BB10" s="38"/>
      <c r="BC10" s="38"/>
      <c r="BD10" s="38"/>
      <c r="BE10" s="43"/>
      <c r="BF10" s="43"/>
      <c r="BG10" s="38"/>
      <c r="BH10" s="38"/>
      <c r="BI10" s="38"/>
      <c r="BJ10" s="38"/>
      <c r="BK10" s="43"/>
      <c r="BL10" s="43"/>
      <c r="BM10" s="38"/>
      <c r="BN10" s="38"/>
      <c r="BO10" s="38"/>
    </row>
    <row r="11" spans="1:67" thickTop="1" thickBot="1">
      <c r="A11" s="38" t="s">
        <v>281</v>
      </c>
      <c r="B11" s="43">
        <v>43793</v>
      </c>
      <c r="C11" s="39">
        <f t="shared" ca="1" si="0"/>
        <v>59.266666666666666</v>
      </c>
      <c r="D11" s="44" t="s">
        <v>1241</v>
      </c>
      <c r="E11" s="40"/>
      <c r="F11" s="43" t="s">
        <v>401</v>
      </c>
      <c r="G11" s="38"/>
      <c r="H11" s="38"/>
      <c r="I11" s="46"/>
      <c r="J11" s="46"/>
      <c r="K11" s="46"/>
      <c r="L11" s="38"/>
      <c r="M11" s="38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</row>
    <row r="12" spans="1:67" thickTop="1" thickBot="1">
      <c r="A12" s="38" t="s">
        <v>1125</v>
      </c>
      <c r="B12" s="43">
        <v>44435</v>
      </c>
      <c r="C12" s="39">
        <f ca="1">(TODAY()-B12)/30</f>
        <v>37.866666666666667</v>
      </c>
      <c r="D12" s="44" t="s">
        <v>472</v>
      </c>
      <c r="E12" s="40"/>
      <c r="F12" s="43" t="s">
        <v>400</v>
      </c>
      <c r="G12" s="38">
        <f>COUNTIFS(猫统计!I12,"&lt;&gt;")+COUNTIFS(猫统计!O12,"&lt;&gt;")+COUNTIFS(猫统计!U12,"&lt;&gt;")+COUNTIFS(猫统计!AA12,"&lt;&gt;")+COUNTIFS(猫统计!AG12,"&lt;&gt;")+COUNTIFS(猫统计!AM12,"&lt;&gt;")+COUNTIFS(猫统计!AS12,"&lt;&gt;")+COUNTIFS(猫统计!AY12,"&lt;&gt;")+COUNTIFS(猫统计!BE12,"&lt;&gt;")+COUNTIFS(猫统计!BK12,"&lt;&gt;")</f>
        <v>3</v>
      </c>
      <c r="H12" s="38"/>
      <c r="I12" s="43">
        <v>45222</v>
      </c>
      <c r="J12" s="43">
        <v>45290</v>
      </c>
      <c r="K12" s="38">
        <f>J12-I12</f>
        <v>68</v>
      </c>
      <c r="L12" s="38">
        <v>2</v>
      </c>
      <c r="M12" s="38">
        <v>0</v>
      </c>
      <c r="N12" s="38"/>
      <c r="O12" s="43">
        <v>45354</v>
      </c>
      <c r="P12" s="43">
        <v>45419</v>
      </c>
      <c r="Q12" s="38">
        <f>P12-O12</f>
        <v>65</v>
      </c>
      <c r="R12" s="38">
        <v>1</v>
      </c>
      <c r="S12" s="38">
        <v>1</v>
      </c>
      <c r="T12" s="38"/>
      <c r="U12" s="43">
        <v>45477</v>
      </c>
      <c r="V12" s="43">
        <v>45548</v>
      </c>
      <c r="W12" s="38">
        <f>V12-U12</f>
        <v>71</v>
      </c>
      <c r="X12" s="38">
        <v>1</v>
      </c>
      <c r="Y12" s="38">
        <v>1</v>
      </c>
      <c r="Z12" s="38"/>
      <c r="AA12" s="43"/>
      <c r="AB12" s="43"/>
      <c r="AC12" s="38"/>
      <c r="AD12" s="38"/>
      <c r="AE12" s="38"/>
      <c r="AF12" s="38"/>
      <c r="AG12" s="43"/>
      <c r="AH12" s="43"/>
      <c r="AI12" s="38"/>
      <c r="AJ12" s="38"/>
      <c r="AK12" s="38"/>
      <c r="AL12" s="38"/>
      <c r="AM12" s="43"/>
      <c r="AN12" s="43"/>
      <c r="AO12" s="38"/>
      <c r="AP12" s="38"/>
      <c r="AQ12" s="38"/>
      <c r="AR12" s="38"/>
      <c r="AS12" s="43"/>
      <c r="AT12" s="43"/>
      <c r="AU12" s="38"/>
      <c r="AV12" s="38"/>
      <c r="AW12" s="38"/>
      <c r="AX12" s="38"/>
      <c r="AY12" s="43"/>
      <c r="AZ12" s="43"/>
      <c r="BA12" s="38"/>
      <c r="BB12" s="38"/>
      <c r="BC12" s="38"/>
      <c r="BD12" s="38"/>
      <c r="BE12" s="43"/>
      <c r="BF12" s="43"/>
      <c r="BG12" s="38"/>
      <c r="BH12" s="38"/>
      <c r="BI12" s="38"/>
      <c r="BJ12" s="38"/>
      <c r="BK12" s="43"/>
      <c r="BL12" s="43"/>
      <c r="BM12" s="38"/>
      <c r="BN12" s="38"/>
      <c r="BO12" s="38"/>
    </row>
    <row r="13" spans="1:67" thickTop="1" thickBot="1">
      <c r="A13" s="38" t="s">
        <v>1289</v>
      </c>
      <c r="B13" s="43">
        <v>45548</v>
      </c>
      <c r="C13" s="39">
        <f t="shared" ref="C13" ca="1" si="1">(TODAY()-B13)/30</f>
        <v>0.76666666666666672</v>
      </c>
      <c r="D13" s="44" t="s">
        <v>1064</v>
      </c>
      <c r="E13" s="40" t="s">
        <v>1248</v>
      </c>
      <c r="F13" s="43" t="s">
        <v>400</v>
      </c>
      <c r="G13" s="38"/>
      <c r="H13" s="38"/>
      <c r="I13" s="43"/>
      <c r="J13" s="43"/>
      <c r="K13" s="38"/>
      <c r="L13" s="38"/>
      <c r="M13" s="38"/>
      <c r="N13" s="38"/>
      <c r="O13" s="43"/>
      <c r="P13" s="43"/>
      <c r="Q13" s="38"/>
      <c r="R13" s="38"/>
      <c r="S13" s="38"/>
      <c r="T13" s="38"/>
      <c r="U13" s="43"/>
      <c r="V13" s="43"/>
      <c r="W13" s="38"/>
      <c r="X13" s="38"/>
      <c r="Y13" s="38"/>
      <c r="Z13" s="38"/>
      <c r="AA13" s="43"/>
      <c r="AB13" s="43"/>
      <c r="AC13" s="38"/>
      <c r="AD13" s="38"/>
      <c r="AE13" s="38"/>
      <c r="AF13" s="38"/>
      <c r="AG13" s="43"/>
      <c r="AH13" s="43"/>
      <c r="AI13" s="38"/>
      <c r="AJ13" s="38"/>
      <c r="AK13" s="38"/>
      <c r="AL13" s="38"/>
      <c r="AM13" s="43"/>
      <c r="AN13" s="43"/>
      <c r="AO13" s="38"/>
      <c r="AP13" s="38"/>
      <c r="AQ13" s="38"/>
      <c r="AR13" s="38"/>
      <c r="AS13" s="43"/>
      <c r="AT13" s="43"/>
      <c r="AU13" s="38"/>
      <c r="AV13" s="38"/>
      <c r="AW13" s="38"/>
      <c r="AX13" s="38"/>
      <c r="AY13" s="43"/>
      <c r="AZ13" s="43"/>
      <c r="BA13" s="38"/>
      <c r="BB13" s="38"/>
      <c r="BC13" s="38"/>
      <c r="BD13" s="38"/>
      <c r="BE13" s="43"/>
      <c r="BF13" s="43"/>
      <c r="BG13" s="38"/>
      <c r="BH13" s="38"/>
      <c r="BI13" s="38"/>
      <c r="BJ13" s="38"/>
      <c r="BK13" s="43"/>
      <c r="BL13" s="43"/>
      <c r="BM13" s="38"/>
      <c r="BN13" s="38"/>
      <c r="BO13" s="38"/>
    </row>
    <row r="14" spans="1:67" thickTop="1" thickBot="1">
      <c r="A14" s="38" t="s">
        <v>1214</v>
      </c>
      <c r="B14" s="43">
        <v>44980</v>
      </c>
      <c r="C14" s="39">
        <f t="shared" ref="C14:C18" ca="1" si="2">(TODAY()-B14)/30</f>
        <v>19.7</v>
      </c>
      <c r="D14" s="44" t="s">
        <v>1241</v>
      </c>
      <c r="E14" s="40" t="s">
        <v>1248</v>
      </c>
      <c r="F14" s="43" t="s">
        <v>400</v>
      </c>
      <c r="G14" s="38">
        <v>1</v>
      </c>
      <c r="H14" s="38"/>
      <c r="I14" s="43">
        <v>45452</v>
      </c>
      <c r="J14" s="43">
        <v>45521</v>
      </c>
      <c r="K14" s="38">
        <f>J14-I14</f>
        <v>69</v>
      </c>
      <c r="L14" s="38">
        <v>0</v>
      </c>
      <c r="M14" s="38">
        <v>4</v>
      </c>
      <c r="N14" s="38"/>
      <c r="O14" s="43"/>
      <c r="P14" s="43"/>
      <c r="Q14" s="38"/>
      <c r="R14" s="38"/>
      <c r="S14" s="38"/>
      <c r="T14" s="38"/>
      <c r="U14" s="43"/>
      <c r="V14" s="43"/>
      <c r="W14" s="38"/>
      <c r="X14" s="38"/>
      <c r="Y14" s="38"/>
      <c r="Z14" s="38"/>
      <c r="AA14" s="43"/>
      <c r="AB14" s="43"/>
      <c r="AC14" s="38"/>
      <c r="AD14" s="38"/>
      <c r="AE14" s="38"/>
      <c r="AF14" s="38"/>
      <c r="AG14" s="43"/>
      <c r="AH14" s="43"/>
      <c r="AI14" s="38"/>
      <c r="AJ14" s="38"/>
      <c r="AK14" s="38"/>
      <c r="AL14" s="38"/>
      <c r="AM14" s="43"/>
      <c r="AN14" s="43"/>
      <c r="AO14" s="38"/>
      <c r="AP14" s="38"/>
      <c r="AQ14" s="38"/>
      <c r="AR14" s="38"/>
      <c r="AS14" s="43"/>
      <c r="AT14" s="43"/>
      <c r="AU14" s="38"/>
      <c r="AV14" s="38"/>
      <c r="AW14" s="38"/>
      <c r="AX14" s="38"/>
      <c r="AY14" s="43"/>
      <c r="AZ14" s="43"/>
      <c r="BA14" s="38"/>
      <c r="BB14" s="38"/>
      <c r="BC14" s="38"/>
      <c r="BD14" s="38"/>
      <c r="BE14" s="43"/>
      <c r="BF14" s="43"/>
      <c r="BG14" s="38"/>
      <c r="BH14" s="38"/>
      <c r="BI14" s="38"/>
      <c r="BJ14" s="38"/>
      <c r="BK14" s="43"/>
      <c r="BL14" s="43"/>
      <c r="BM14" s="38"/>
      <c r="BN14" s="38"/>
      <c r="BO14" s="38"/>
    </row>
    <row r="15" spans="1:67" thickTop="1" thickBot="1">
      <c r="A15" s="38" t="s">
        <v>1272</v>
      </c>
      <c r="B15" s="43">
        <v>45521</v>
      </c>
      <c r="C15" s="39">
        <f t="shared" ca="1" si="2"/>
        <v>1.6666666666666667</v>
      </c>
      <c r="D15" s="44" t="s">
        <v>1064</v>
      </c>
      <c r="E15" s="40"/>
      <c r="F15" s="43" t="s">
        <v>400</v>
      </c>
      <c r="G15" s="38"/>
      <c r="H15" s="38"/>
      <c r="I15" s="43"/>
      <c r="J15" s="43"/>
      <c r="K15" s="38"/>
      <c r="L15" s="38"/>
      <c r="M15" s="38"/>
      <c r="N15" s="38"/>
      <c r="O15" s="43"/>
      <c r="P15" s="43"/>
      <c r="Q15" s="38"/>
      <c r="R15" s="38"/>
      <c r="S15" s="38"/>
      <c r="T15" s="38"/>
      <c r="U15" s="43"/>
      <c r="V15" s="43"/>
      <c r="W15" s="38"/>
      <c r="X15" s="38"/>
      <c r="Y15" s="38"/>
      <c r="Z15" s="38"/>
      <c r="AA15" s="43"/>
      <c r="AB15" s="43"/>
      <c r="AC15" s="38"/>
      <c r="AD15" s="38"/>
      <c r="AE15" s="38"/>
      <c r="AF15" s="38"/>
      <c r="AG15" s="43"/>
      <c r="AH15" s="43"/>
      <c r="AI15" s="38"/>
      <c r="AJ15" s="38"/>
      <c r="AK15" s="38"/>
      <c r="AL15" s="38"/>
      <c r="AM15" s="43"/>
      <c r="AN15" s="43"/>
      <c r="AO15" s="38"/>
      <c r="AP15" s="38"/>
      <c r="AQ15" s="38"/>
      <c r="AR15" s="38"/>
      <c r="AS15" s="43"/>
      <c r="AT15" s="43"/>
      <c r="AU15" s="38"/>
      <c r="AV15" s="38"/>
      <c r="AW15" s="38"/>
      <c r="AX15" s="38"/>
      <c r="AY15" s="43"/>
      <c r="AZ15" s="43"/>
      <c r="BA15" s="38"/>
      <c r="BB15" s="38"/>
      <c r="BC15" s="38"/>
      <c r="BD15" s="38"/>
      <c r="BE15" s="43"/>
      <c r="BF15" s="43"/>
      <c r="BG15" s="38"/>
      <c r="BH15" s="38"/>
      <c r="BI15" s="38"/>
      <c r="BJ15" s="38"/>
      <c r="BK15" s="43"/>
      <c r="BL15" s="43"/>
      <c r="BM15" s="38"/>
      <c r="BN15" s="38"/>
      <c r="BO15" s="38"/>
    </row>
    <row r="16" spans="1:67" thickTop="1" thickBot="1">
      <c r="A16" s="38" t="s">
        <v>1273</v>
      </c>
      <c r="B16" s="43">
        <v>45521</v>
      </c>
      <c r="C16" s="39">
        <f t="shared" ca="1" si="2"/>
        <v>1.6666666666666667</v>
      </c>
      <c r="D16" s="44" t="s">
        <v>1064</v>
      </c>
      <c r="E16" s="40"/>
      <c r="F16" s="43" t="s">
        <v>400</v>
      </c>
      <c r="G16" s="38"/>
      <c r="H16" s="38"/>
      <c r="I16" s="43"/>
      <c r="J16" s="43"/>
      <c r="K16" s="38"/>
      <c r="L16" s="38"/>
      <c r="M16" s="38"/>
      <c r="N16" s="38"/>
      <c r="O16" s="43"/>
      <c r="P16" s="43"/>
      <c r="Q16" s="38"/>
      <c r="R16" s="38"/>
      <c r="S16" s="38"/>
      <c r="T16" s="38"/>
      <c r="U16" s="43"/>
      <c r="V16" s="43"/>
      <c r="W16" s="38"/>
      <c r="X16" s="38"/>
      <c r="Y16" s="38"/>
      <c r="Z16" s="38"/>
      <c r="AA16" s="43"/>
      <c r="AB16" s="43"/>
      <c r="AC16" s="38"/>
      <c r="AD16" s="38"/>
      <c r="AE16" s="38"/>
      <c r="AF16" s="38"/>
      <c r="AG16" s="43"/>
      <c r="AH16" s="43"/>
      <c r="AI16" s="38"/>
      <c r="AJ16" s="38"/>
      <c r="AK16" s="38"/>
      <c r="AL16" s="38"/>
      <c r="AM16" s="43"/>
      <c r="AN16" s="43"/>
      <c r="AO16" s="38"/>
      <c r="AP16" s="38"/>
      <c r="AQ16" s="38"/>
      <c r="AR16" s="38"/>
      <c r="AS16" s="43"/>
      <c r="AT16" s="43"/>
      <c r="AU16" s="38"/>
      <c r="AV16" s="38"/>
      <c r="AW16" s="38"/>
      <c r="AX16" s="38"/>
      <c r="AY16" s="43"/>
      <c r="AZ16" s="43"/>
      <c r="BA16" s="38"/>
      <c r="BB16" s="38"/>
      <c r="BC16" s="38"/>
      <c r="BD16" s="38"/>
      <c r="BE16" s="43"/>
      <c r="BF16" s="43"/>
      <c r="BG16" s="38"/>
      <c r="BH16" s="38"/>
      <c r="BI16" s="38"/>
      <c r="BJ16" s="38"/>
      <c r="BK16" s="43"/>
      <c r="BL16" s="43"/>
      <c r="BM16" s="38"/>
      <c r="BN16" s="38"/>
      <c r="BO16" s="38"/>
    </row>
    <row r="17" spans="1:67" thickTop="1" thickBot="1">
      <c r="A17" s="38" t="s">
        <v>1271</v>
      </c>
      <c r="B17" s="43">
        <v>45521</v>
      </c>
      <c r="C17" s="39">
        <f t="shared" ca="1" si="2"/>
        <v>1.6666666666666667</v>
      </c>
      <c r="D17" s="44" t="s">
        <v>1064</v>
      </c>
      <c r="E17" s="40"/>
      <c r="F17" s="43" t="s">
        <v>400</v>
      </c>
      <c r="G17" s="38"/>
      <c r="H17" s="38"/>
      <c r="I17" s="43"/>
      <c r="J17" s="43"/>
      <c r="K17" s="38"/>
      <c r="L17" s="38"/>
      <c r="M17" s="38"/>
      <c r="N17" s="38"/>
      <c r="O17" s="43"/>
      <c r="P17" s="43"/>
      <c r="Q17" s="38"/>
      <c r="R17" s="38"/>
      <c r="S17" s="38"/>
      <c r="T17" s="38"/>
      <c r="U17" s="43"/>
      <c r="V17" s="43"/>
      <c r="W17" s="38"/>
      <c r="X17" s="38"/>
      <c r="Y17" s="38"/>
      <c r="Z17" s="38"/>
      <c r="AA17" s="43"/>
      <c r="AB17" s="43"/>
      <c r="AC17" s="38"/>
      <c r="AD17" s="38"/>
      <c r="AE17" s="38"/>
      <c r="AF17" s="38"/>
      <c r="AG17" s="43"/>
      <c r="AH17" s="43"/>
      <c r="AI17" s="38"/>
      <c r="AJ17" s="38"/>
      <c r="AK17" s="38"/>
      <c r="AL17" s="38"/>
      <c r="AM17" s="43"/>
      <c r="AN17" s="43"/>
      <c r="AO17" s="38"/>
      <c r="AP17" s="38"/>
      <c r="AQ17" s="38"/>
      <c r="AR17" s="38"/>
      <c r="AS17" s="43"/>
      <c r="AT17" s="43"/>
      <c r="AU17" s="38"/>
      <c r="AV17" s="38"/>
      <c r="AW17" s="38"/>
      <c r="AX17" s="38"/>
      <c r="AY17" s="43"/>
      <c r="AZ17" s="43"/>
      <c r="BA17" s="38"/>
      <c r="BB17" s="38"/>
      <c r="BC17" s="38"/>
      <c r="BD17" s="38"/>
      <c r="BE17" s="43"/>
      <c r="BF17" s="43"/>
      <c r="BG17" s="38"/>
      <c r="BH17" s="38"/>
      <c r="BI17" s="38"/>
      <c r="BJ17" s="38"/>
      <c r="BK17" s="43"/>
      <c r="BL17" s="43"/>
      <c r="BM17" s="38"/>
      <c r="BN17" s="38"/>
      <c r="BO17" s="38"/>
    </row>
    <row r="18" spans="1:67" thickTop="1" thickBot="1">
      <c r="A18" s="38" t="s">
        <v>1274</v>
      </c>
      <c r="B18" s="43">
        <v>45521</v>
      </c>
      <c r="C18" s="39">
        <f t="shared" ca="1" si="2"/>
        <v>1.6666666666666667</v>
      </c>
      <c r="D18" s="44" t="s">
        <v>1064</v>
      </c>
      <c r="E18" s="40"/>
      <c r="F18" s="43" t="s">
        <v>400</v>
      </c>
      <c r="G18" s="38"/>
      <c r="H18" s="38"/>
      <c r="I18" s="43"/>
      <c r="J18" s="43"/>
      <c r="K18" s="38"/>
      <c r="L18" s="38"/>
      <c r="M18" s="38"/>
      <c r="N18" s="38"/>
      <c r="O18" s="43"/>
      <c r="P18" s="43"/>
      <c r="Q18" s="38"/>
      <c r="R18" s="38"/>
      <c r="S18" s="38"/>
      <c r="T18" s="38"/>
      <c r="U18" s="43"/>
      <c r="V18" s="43"/>
      <c r="W18" s="38"/>
      <c r="X18" s="38"/>
      <c r="Y18" s="38"/>
      <c r="Z18" s="38"/>
      <c r="AA18" s="43"/>
      <c r="AB18" s="43"/>
      <c r="AC18" s="38"/>
      <c r="AD18" s="38"/>
      <c r="AE18" s="38"/>
      <c r="AF18" s="38"/>
      <c r="AG18" s="43"/>
      <c r="AH18" s="43"/>
      <c r="AI18" s="38"/>
      <c r="AJ18" s="38"/>
      <c r="AK18" s="38"/>
      <c r="AL18" s="38"/>
      <c r="AM18" s="43"/>
      <c r="AN18" s="43"/>
      <c r="AO18" s="38"/>
      <c r="AP18" s="38"/>
      <c r="AQ18" s="38"/>
      <c r="AR18" s="38"/>
      <c r="AS18" s="43"/>
      <c r="AT18" s="43"/>
      <c r="AU18" s="38"/>
      <c r="AV18" s="38"/>
      <c r="AW18" s="38"/>
      <c r="AX18" s="38"/>
      <c r="AY18" s="43"/>
      <c r="AZ18" s="43"/>
      <c r="BA18" s="38"/>
      <c r="BB18" s="38"/>
      <c r="BC18" s="38"/>
      <c r="BD18" s="38"/>
      <c r="BE18" s="43"/>
      <c r="BF18" s="43"/>
      <c r="BG18" s="38"/>
      <c r="BH18" s="38"/>
      <c r="BI18" s="38"/>
      <c r="BJ18" s="38"/>
      <c r="BK18" s="43"/>
      <c r="BL18" s="43"/>
      <c r="BM18" s="38"/>
      <c r="BN18" s="38"/>
      <c r="BO18" s="38"/>
    </row>
    <row r="19" spans="1:67" thickTop="1" thickBot="1">
      <c r="A19" s="38" t="s">
        <v>1279</v>
      </c>
      <c r="B19" s="43"/>
      <c r="C19" s="39"/>
      <c r="D19" s="44" t="s">
        <v>645</v>
      </c>
      <c r="E19" s="40"/>
      <c r="F19" s="43" t="s">
        <v>400</v>
      </c>
      <c r="G19" s="38">
        <v>1</v>
      </c>
      <c r="H19" s="38"/>
      <c r="I19" s="43">
        <v>45363</v>
      </c>
      <c r="J19" s="43">
        <v>45428</v>
      </c>
      <c r="K19" s="38">
        <f>J19-I19</f>
        <v>65</v>
      </c>
      <c r="L19" s="38">
        <v>0</v>
      </c>
      <c r="M19" s="38">
        <v>2</v>
      </c>
      <c r="N19" s="38"/>
      <c r="O19" s="43">
        <v>45504</v>
      </c>
      <c r="P19" s="43">
        <v>45571</v>
      </c>
      <c r="Q19" s="38"/>
      <c r="R19" s="38">
        <v>1</v>
      </c>
      <c r="S19" s="38">
        <v>3</v>
      </c>
      <c r="T19" s="38"/>
      <c r="U19" s="43"/>
      <c r="V19" s="43"/>
      <c r="W19" s="38"/>
      <c r="X19" s="38"/>
      <c r="Y19" s="38"/>
      <c r="Z19" s="38"/>
      <c r="AA19" s="43"/>
      <c r="AB19" s="43"/>
      <c r="AC19" s="38"/>
      <c r="AD19" s="38"/>
      <c r="AE19" s="38"/>
      <c r="AF19" s="38"/>
      <c r="AG19" s="43"/>
      <c r="AH19" s="43"/>
      <c r="AI19" s="38"/>
      <c r="AJ19" s="38"/>
      <c r="AK19" s="38"/>
      <c r="AL19" s="38"/>
      <c r="AM19" s="43"/>
      <c r="AN19" s="43"/>
      <c r="AO19" s="38"/>
      <c r="AP19" s="38"/>
      <c r="AQ19" s="38"/>
      <c r="AR19" s="38"/>
      <c r="AS19" s="43"/>
      <c r="AT19" s="43"/>
      <c r="AU19" s="38"/>
      <c r="AV19" s="38"/>
      <c r="AW19" s="38"/>
      <c r="AX19" s="38"/>
      <c r="AY19" s="43"/>
      <c r="AZ19" s="43"/>
      <c r="BA19" s="38"/>
      <c r="BB19" s="38"/>
      <c r="BC19" s="38"/>
      <c r="BD19" s="38"/>
      <c r="BE19" s="43"/>
      <c r="BF19" s="43"/>
      <c r="BG19" s="38"/>
      <c r="BH19" s="38"/>
      <c r="BI19" s="38"/>
      <c r="BJ19" s="38"/>
      <c r="BK19" s="43"/>
      <c r="BL19" s="43"/>
      <c r="BM19" s="38"/>
      <c r="BN19" s="38"/>
      <c r="BO19" s="38"/>
    </row>
    <row r="20" spans="1:67" thickTop="1" thickBot="1">
      <c r="A20" s="38" t="s">
        <v>1298</v>
      </c>
      <c r="B20" s="43">
        <v>45571</v>
      </c>
      <c r="C20" s="39">
        <f t="shared" ref="C20:C22" ca="1" si="3">(TODAY()-B20)/30</f>
        <v>0</v>
      </c>
      <c r="D20" s="44" t="s">
        <v>1064</v>
      </c>
      <c r="E20" s="40"/>
      <c r="F20" s="43" t="s">
        <v>400</v>
      </c>
      <c r="G20" s="38"/>
      <c r="H20" s="38"/>
      <c r="I20" s="43"/>
      <c r="J20" s="43"/>
      <c r="K20" s="38"/>
      <c r="L20" s="38"/>
      <c r="M20" s="38"/>
      <c r="N20" s="38"/>
      <c r="O20" s="43"/>
      <c r="P20" s="43"/>
      <c r="Q20" s="38"/>
      <c r="R20" s="38"/>
      <c r="S20" s="38"/>
      <c r="T20" s="38"/>
      <c r="U20" s="43"/>
      <c r="V20" s="43"/>
      <c r="W20" s="38"/>
      <c r="X20" s="38"/>
      <c r="Y20" s="38"/>
      <c r="Z20" s="38"/>
      <c r="AA20" s="43"/>
      <c r="AB20" s="43"/>
      <c r="AC20" s="38"/>
      <c r="AD20" s="38"/>
      <c r="AE20" s="38"/>
      <c r="AF20" s="38"/>
      <c r="AG20" s="43"/>
      <c r="AH20" s="43"/>
      <c r="AI20" s="38"/>
      <c r="AJ20" s="38"/>
      <c r="AK20" s="38"/>
      <c r="AL20" s="38"/>
      <c r="AM20" s="43"/>
      <c r="AN20" s="43"/>
      <c r="AO20" s="38"/>
      <c r="AP20" s="38"/>
      <c r="AQ20" s="38"/>
      <c r="AR20" s="38"/>
      <c r="AS20" s="43"/>
      <c r="AT20" s="43"/>
      <c r="AU20" s="38"/>
      <c r="AV20" s="38"/>
      <c r="AW20" s="38"/>
      <c r="AX20" s="38"/>
      <c r="AY20" s="43"/>
      <c r="AZ20" s="43"/>
      <c r="BA20" s="38"/>
      <c r="BB20" s="38"/>
      <c r="BC20" s="38"/>
      <c r="BD20" s="38"/>
      <c r="BE20" s="43"/>
      <c r="BF20" s="43"/>
      <c r="BG20" s="38"/>
      <c r="BH20" s="38"/>
      <c r="BI20" s="38"/>
      <c r="BJ20" s="38"/>
      <c r="BK20" s="43"/>
      <c r="BL20" s="43"/>
      <c r="BM20" s="38"/>
      <c r="BN20" s="38"/>
      <c r="BO20" s="38"/>
    </row>
    <row r="21" spans="1:67" thickTop="1" thickBot="1">
      <c r="A21" s="38" t="s">
        <v>1299</v>
      </c>
      <c r="B21" s="43">
        <v>45571</v>
      </c>
      <c r="C21" s="39">
        <f t="shared" ca="1" si="3"/>
        <v>0</v>
      </c>
      <c r="D21" s="44" t="s">
        <v>1064</v>
      </c>
      <c r="E21" s="40"/>
      <c r="F21" s="43" t="s">
        <v>400</v>
      </c>
      <c r="G21" s="38"/>
      <c r="H21" s="38"/>
      <c r="I21" s="43"/>
      <c r="J21" s="43"/>
      <c r="K21" s="38"/>
      <c r="L21" s="38"/>
      <c r="M21" s="38"/>
      <c r="N21" s="38"/>
      <c r="O21" s="43"/>
      <c r="P21" s="43"/>
      <c r="Q21" s="38"/>
      <c r="R21" s="38"/>
      <c r="S21" s="38"/>
      <c r="T21" s="38"/>
      <c r="U21" s="43"/>
      <c r="V21" s="43"/>
      <c r="W21" s="38"/>
      <c r="X21" s="38"/>
      <c r="Y21" s="38"/>
      <c r="Z21" s="38"/>
      <c r="AA21" s="43"/>
      <c r="AB21" s="43"/>
      <c r="AC21" s="38"/>
      <c r="AD21" s="38"/>
      <c r="AE21" s="38"/>
      <c r="AF21" s="38"/>
      <c r="AG21" s="43"/>
      <c r="AH21" s="43"/>
      <c r="AI21" s="38"/>
      <c r="AJ21" s="38"/>
      <c r="AK21" s="38"/>
      <c r="AL21" s="38"/>
      <c r="AM21" s="43"/>
      <c r="AN21" s="43"/>
      <c r="AO21" s="38"/>
      <c r="AP21" s="38"/>
      <c r="AQ21" s="38"/>
      <c r="AR21" s="38"/>
      <c r="AS21" s="43"/>
      <c r="AT21" s="43"/>
      <c r="AU21" s="38"/>
      <c r="AV21" s="38"/>
      <c r="AW21" s="38"/>
      <c r="AX21" s="38"/>
      <c r="AY21" s="43"/>
      <c r="AZ21" s="43"/>
      <c r="BA21" s="38"/>
      <c r="BB21" s="38"/>
      <c r="BC21" s="38"/>
      <c r="BD21" s="38"/>
      <c r="BE21" s="43"/>
      <c r="BF21" s="43"/>
      <c r="BG21" s="38"/>
      <c r="BH21" s="38"/>
      <c r="BI21" s="38"/>
      <c r="BJ21" s="38"/>
      <c r="BK21" s="43"/>
      <c r="BL21" s="43"/>
      <c r="BM21" s="38"/>
      <c r="BN21" s="38"/>
      <c r="BO21" s="38"/>
    </row>
    <row r="22" spans="1:67" thickTop="1" thickBot="1">
      <c r="A22" s="38" t="s">
        <v>1299</v>
      </c>
      <c r="B22" s="43">
        <v>45571</v>
      </c>
      <c r="C22" s="39">
        <f t="shared" ca="1" si="3"/>
        <v>0</v>
      </c>
      <c r="D22" s="44" t="s">
        <v>1064</v>
      </c>
      <c r="E22" s="40"/>
      <c r="F22" s="43" t="s">
        <v>400</v>
      </c>
      <c r="G22" s="38"/>
      <c r="H22" s="38"/>
      <c r="I22" s="43"/>
      <c r="J22" s="43"/>
      <c r="K22" s="38"/>
      <c r="L22" s="38"/>
      <c r="M22" s="38"/>
      <c r="N22" s="38"/>
      <c r="O22" s="43"/>
      <c r="P22" s="43"/>
      <c r="Q22" s="38"/>
      <c r="R22" s="38"/>
      <c r="S22" s="38"/>
      <c r="T22" s="38"/>
      <c r="U22" s="43"/>
      <c r="V22" s="43"/>
      <c r="W22" s="38"/>
      <c r="X22" s="38"/>
      <c r="Y22" s="38"/>
      <c r="Z22" s="38"/>
      <c r="AA22" s="43"/>
      <c r="AB22" s="43"/>
      <c r="AC22" s="38"/>
      <c r="AD22" s="38"/>
      <c r="AE22" s="38"/>
      <c r="AF22" s="38"/>
      <c r="AG22" s="43"/>
      <c r="AH22" s="43"/>
      <c r="AI22" s="38"/>
      <c r="AJ22" s="38"/>
      <c r="AK22" s="38"/>
      <c r="AL22" s="38"/>
      <c r="AM22" s="43"/>
      <c r="AN22" s="43"/>
      <c r="AO22" s="38"/>
      <c r="AP22" s="38"/>
      <c r="AQ22" s="38"/>
      <c r="AR22" s="38"/>
      <c r="AS22" s="43"/>
      <c r="AT22" s="43"/>
      <c r="AU22" s="38"/>
      <c r="AV22" s="38"/>
      <c r="AW22" s="38"/>
      <c r="AX22" s="38"/>
      <c r="AY22" s="43"/>
      <c r="AZ22" s="43"/>
      <c r="BA22" s="38"/>
      <c r="BB22" s="38"/>
      <c r="BC22" s="38"/>
      <c r="BD22" s="38"/>
      <c r="BE22" s="43"/>
      <c r="BF22" s="43"/>
      <c r="BG22" s="38"/>
      <c r="BH22" s="38"/>
      <c r="BI22" s="38"/>
      <c r="BJ22" s="38"/>
      <c r="BK22" s="43"/>
      <c r="BL22" s="43"/>
      <c r="BM22" s="38"/>
      <c r="BN22" s="38"/>
      <c r="BO22" s="38"/>
    </row>
    <row r="23" spans="1:67" thickTop="1" thickBot="1">
      <c r="A23" s="38" t="s">
        <v>1252</v>
      </c>
      <c r="B23" s="43">
        <v>45456</v>
      </c>
      <c r="C23" s="39">
        <f t="shared" ref="C23:C24" ca="1" si="4">(TODAY()-B23)/30</f>
        <v>3.8333333333333335</v>
      </c>
      <c r="D23" s="44" t="s">
        <v>645</v>
      </c>
      <c r="E23" s="40"/>
      <c r="F23" s="43" t="s">
        <v>400</v>
      </c>
      <c r="G23" s="38"/>
      <c r="H23" s="38"/>
      <c r="I23" s="43"/>
      <c r="J23" s="43"/>
      <c r="K23" s="38"/>
      <c r="L23" s="38"/>
      <c r="M23" s="38"/>
      <c r="N23" s="38"/>
      <c r="O23" s="43"/>
      <c r="P23" s="43"/>
      <c r="Q23" s="38"/>
      <c r="R23" s="38"/>
      <c r="S23" s="38"/>
      <c r="T23" s="38"/>
      <c r="U23" s="43"/>
      <c r="V23" s="43"/>
      <c r="W23" s="38"/>
      <c r="X23" s="38"/>
      <c r="Y23" s="38"/>
      <c r="Z23" s="38"/>
      <c r="AA23" s="43"/>
      <c r="AB23" s="43"/>
      <c r="AC23" s="38"/>
      <c r="AD23" s="38"/>
      <c r="AE23" s="38"/>
      <c r="AF23" s="38"/>
      <c r="AG23" s="43"/>
      <c r="AH23" s="43"/>
      <c r="AI23" s="38"/>
      <c r="AJ23" s="38"/>
      <c r="AK23" s="38"/>
      <c r="AL23" s="38"/>
      <c r="AM23" s="43"/>
      <c r="AN23" s="43"/>
      <c r="AO23" s="38"/>
      <c r="AP23" s="38"/>
      <c r="AQ23" s="38"/>
      <c r="AR23" s="38"/>
      <c r="AS23" s="43"/>
      <c r="AT23" s="43"/>
      <c r="AU23" s="38"/>
      <c r="AV23" s="38"/>
      <c r="AW23" s="38"/>
      <c r="AX23" s="38"/>
      <c r="AY23" s="43"/>
      <c r="AZ23" s="43"/>
      <c r="BA23" s="38"/>
      <c r="BB23" s="38"/>
      <c r="BC23" s="38"/>
      <c r="BD23" s="38"/>
      <c r="BE23" s="43"/>
      <c r="BF23" s="43"/>
      <c r="BG23" s="38"/>
      <c r="BH23" s="38"/>
      <c r="BI23" s="38"/>
      <c r="BJ23" s="38"/>
      <c r="BK23" s="43"/>
      <c r="BL23" s="43"/>
      <c r="BM23" s="38"/>
      <c r="BN23" s="38"/>
      <c r="BO23" s="38"/>
    </row>
    <row r="24" spans="1:67" thickTop="1" thickBot="1">
      <c r="A24" s="38" t="s">
        <v>1253</v>
      </c>
      <c r="B24" s="43">
        <v>45456</v>
      </c>
      <c r="C24" s="39">
        <f t="shared" ca="1" si="4"/>
        <v>3.8333333333333335</v>
      </c>
      <c r="D24" s="44" t="s">
        <v>472</v>
      </c>
      <c r="E24" s="44" t="s">
        <v>472</v>
      </c>
      <c r="F24" s="43" t="s">
        <v>400</v>
      </c>
      <c r="G24" s="38"/>
      <c r="H24" s="38"/>
      <c r="I24" s="43"/>
      <c r="J24" s="43"/>
      <c r="K24" s="38"/>
      <c r="L24" s="38"/>
      <c r="M24" s="38"/>
      <c r="N24" s="38"/>
      <c r="O24" s="43"/>
      <c r="P24" s="43"/>
      <c r="Q24" s="38"/>
      <c r="R24" s="38"/>
      <c r="S24" s="38"/>
      <c r="T24" s="38"/>
      <c r="U24" s="43"/>
      <c r="V24" s="43"/>
      <c r="W24" s="38"/>
      <c r="X24" s="38"/>
      <c r="Y24" s="38"/>
      <c r="Z24" s="38"/>
      <c r="AA24" s="43"/>
      <c r="AB24" s="43"/>
      <c r="AC24" s="38"/>
      <c r="AD24" s="38"/>
      <c r="AE24" s="38"/>
      <c r="AF24" s="38"/>
      <c r="AG24" s="43"/>
      <c r="AH24" s="43"/>
      <c r="AI24" s="38"/>
      <c r="AJ24" s="38"/>
      <c r="AK24" s="38"/>
      <c r="AL24" s="38"/>
      <c r="AM24" s="43"/>
      <c r="AN24" s="43"/>
      <c r="AO24" s="38"/>
      <c r="AP24" s="38"/>
      <c r="AQ24" s="38"/>
      <c r="AR24" s="38"/>
      <c r="AS24" s="43"/>
      <c r="AT24" s="43"/>
      <c r="AU24" s="38"/>
      <c r="AV24" s="38"/>
      <c r="AW24" s="38"/>
      <c r="AX24" s="38"/>
      <c r="AY24" s="43"/>
      <c r="AZ24" s="43"/>
      <c r="BA24" s="38"/>
      <c r="BB24" s="38"/>
      <c r="BC24" s="38"/>
      <c r="BD24" s="38"/>
      <c r="BE24" s="43"/>
      <c r="BF24" s="43"/>
      <c r="BG24" s="38"/>
      <c r="BH24" s="38"/>
      <c r="BI24" s="38"/>
      <c r="BJ24" s="38"/>
      <c r="BK24" s="43"/>
      <c r="BL24" s="43"/>
      <c r="BM24" s="38"/>
      <c r="BN24" s="38"/>
      <c r="BO24" s="38"/>
    </row>
    <row r="25" spans="1:67" thickTop="1" thickBot="1">
      <c r="A25" s="38" t="s">
        <v>1247</v>
      </c>
      <c r="B25" s="43">
        <v>45428</v>
      </c>
      <c r="C25" s="39">
        <f ca="1">(TODAY()-B25)/30</f>
        <v>4.7666666666666666</v>
      </c>
      <c r="D25" s="44" t="s">
        <v>472</v>
      </c>
      <c r="E25" s="44" t="s">
        <v>472</v>
      </c>
      <c r="F25" s="43" t="s">
        <v>400</v>
      </c>
      <c r="G25" s="38"/>
      <c r="H25" s="38"/>
      <c r="I25" s="43"/>
      <c r="J25" s="43"/>
      <c r="K25" s="38"/>
      <c r="L25" s="38"/>
      <c r="M25" s="38"/>
      <c r="N25" s="38"/>
      <c r="O25" s="43"/>
      <c r="P25" s="43"/>
      <c r="Q25" s="38"/>
      <c r="R25" s="38"/>
      <c r="S25" s="38"/>
      <c r="T25" s="38"/>
      <c r="U25" s="43"/>
      <c r="V25" s="43"/>
      <c r="W25" s="38"/>
      <c r="X25" s="38"/>
      <c r="Y25" s="38"/>
      <c r="Z25" s="38"/>
      <c r="AA25" s="43"/>
      <c r="AB25" s="43"/>
      <c r="AC25" s="38"/>
      <c r="AD25" s="38"/>
      <c r="AE25" s="38"/>
      <c r="AF25" s="38"/>
      <c r="AG25" s="43"/>
      <c r="AH25" s="43"/>
      <c r="AI25" s="38"/>
      <c r="AJ25" s="38"/>
      <c r="AK25" s="38"/>
      <c r="AL25" s="38"/>
      <c r="AM25" s="43"/>
      <c r="AN25" s="43"/>
      <c r="AO25" s="38"/>
      <c r="AP25" s="38"/>
      <c r="AQ25" s="38"/>
      <c r="AR25" s="38"/>
      <c r="AS25" s="43"/>
      <c r="AT25" s="43"/>
      <c r="AU25" s="38"/>
      <c r="AV25" s="38"/>
      <c r="AW25" s="38"/>
      <c r="AX25" s="38"/>
      <c r="AY25" s="43"/>
      <c r="AZ25" s="43"/>
      <c r="BA25" s="38"/>
      <c r="BB25" s="38"/>
      <c r="BC25" s="38"/>
      <c r="BD25" s="38"/>
      <c r="BE25" s="43"/>
      <c r="BF25" s="43"/>
      <c r="BG25" s="38"/>
      <c r="BH25" s="38"/>
      <c r="BI25" s="38"/>
      <c r="BJ25" s="38"/>
      <c r="BK25" s="43"/>
      <c r="BL25" s="43"/>
      <c r="BM25" s="38"/>
      <c r="BN25" s="38"/>
      <c r="BO25" s="38"/>
    </row>
    <row r="26" spans="1:67" thickTop="1" thickBot="1">
      <c r="A26" s="38" t="s">
        <v>1212</v>
      </c>
      <c r="B26" s="43">
        <v>45258</v>
      </c>
      <c r="C26" s="39">
        <f t="shared" ref="C26" ca="1" si="5">(TODAY()-B26)/30</f>
        <v>10.433333333333334</v>
      </c>
      <c r="D26" s="44" t="s">
        <v>472</v>
      </c>
      <c r="E26" s="44" t="s">
        <v>472</v>
      </c>
      <c r="F26" s="43" t="s">
        <v>400</v>
      </c>
      <c r="G26" s="38"/>
      <c r="H26" s="38"/>
      <c r="I26" s="43"/>
      <c r="J26" s="43"/>
      <c r="K26" s="38"/>
      <c r="L26" s="38"/>
      <c r="M26" s="38"/>
      <c r="N26" s="38"/>
      <c r="O26" s="43"/>
      <c r="P26" s="43"/>
      <c r="Q26" s="38"/>
      <c r="R26" s="38"/>
      <c r="S26" s="38"/>
      <c r="T26" s="38"/>
      <c r="U26" s="43"/>
      <c r="V26" s="43"/>
      <c r="W26" s="38"/>
      <c r="X26" s="38"/>
      <c r="Y26" s="38"/>
      <c r="Z26" s="38"/>
      <c r="AA26" s="43"/>
      <c r="AB26" s="43"/>
      <c r="AC26" s="38"/>
      <c r="AD26" s="38"/>
      <c r="AE26" s="38"/>
      <c r="AF26" s="38"/>
      <c r="AG26" s="43"/>
      <c r="AH26" s="43"/>
      <c r="AI26" s="38"/>
      <c r="AJ26" s="38"/>
      <c r="AK26" s="38"/>
      <c r="AL26" s="38"/>
      <c r="AM26" s="43"/>
      <c r="AN26" s="43"/>
      <c r="AO26" s="38"/>
      <c r="AP26" s="38"/>
      <c r="AQ26" s="38"/>
      <c r="AR26" s="38"/>
      <c r="AS26" s="43"/>
      <c r="AT26" s="43"/>
      <c r="AU26" s="38"/>
      <c r="AV26" s="38"/>
      <c r="AW26" s="38"/>
      <c r="AX26" s="38"/>
      <c r="AY26" s="43"/>
      <c r="AZ26" s="43"/>
      <c r="BA26" s="38"/>
      <c r="BB26" s="38"/>
      <c r="BC26" s="38"/>
      <c r="BD26" s="38"/>
      <c r="BE26" s="43"/>
      <c r="BF26" s="43"/>
      <c r="BG26" s="38"/>
      <c r="BH26" s="38"/>
      <c r="BI26" s="38"/>
      <c r="BJ26" s="38"/>
      <c r="BK26" s="43"/>
      <c r="BL26" s="43"/>
      <c r="BM26" s="38"/>
      <c r="BN26" s="38"/>
      <c r="BO26" s="38"/>
    </row>
    <row r="27" spans="1:67" thickTop="1" thickBot="1">
      <c r="A27" s="38" t="s">
        <v>1242</v>
      </c>
      <c r="B27" s="43">
        <v>45304</v>
      </c>
      <c r="C27" s="39">
        <f t="shared" ref="C27" ca="1" si="6">(TODAY()-B27)/30</f>
        <v>8.9</v>
      </c>
      <c r="D27" s="44" t="s">
        <v>1241</v>
      </c>
      <c r="E27" s="40"/>
      <c r="F27" s="43" t="s">
        <v>400</v>
      </c>
      <c r="G27" s="38"/>
      <c r="H27" s="38"/>
      <c r="I27" s="43"/>
      <c r="J27" s="43"/>
      <c r="K27" s="38"/>
      <c r="L27" s="38"/>
      <c r="M27" s="38"/>
      <c r="N27" s="38"/>
      <c r="O27" s="43"/>
      <c r="P27" s="43"/>
      <c r="Q27" s="38"/>
      <c r="R27" s="38"/>
      <c r="S27" s="38"/>
      <c r="T27" s="38"/>
      <c r="U27" s="43"/>
      <c r="V27" s="43"/>
      <c r="W27" s="38"/>
      <c r="X27" s="38"/>
      <c r="Y27" s="38"/>
      <c r="Z27" s="38"/>
      <c r="AA27" s="43"/>
      <c r="AB27" s="43"/>
      <c r="AC27" s="38"/>
      <c r="AD27" s="38"/>
      <c r="AE27" s="38"/>
      <c r="AF27" s="38"/>
      <c r="AG27" s="43"/>
      <c r="AH27" s="43"/>
      <c r="AI27" s="38"/>
      <c r="AJ27" s="38"/>
      <c r="AK27" s="38"/>
      <c r="AL27" s="38"/>
      <c r="AM27" s="43"/>
      <c r="AN27" s="43"/>
      <c r="AO27" s="38"/>
      <c r="AP27" s="38"/>
      <c r="AQ27" s="38"/>
      <c r="AR27" s="38"/>
      <c r="AS27" s="43"/>
      <c r="AT27" s="43"/>
      <c r="AU27" s="38"/>
      <c r="AV27" s="38"/>
      <c r="AW27" s="38"/>
      <c r="AX27" s="38"/>
      <c r="AY27" s="43"/>
      <c r="AZ27" s="43"/>
      <c r="BA27" s="38"/>
      <c r="BB27" s="38"/>
      <c r="BC27" s="38"/>
      <c r="BD27" s="38"/>
      <c r="BE27" s="43"/>
      <c r="BF27" s="43"/>
      <c r="BG27" s="38"/>
      <c r="BH27" s="38"/>
      <c r="BI27" s="38"/>
      <c r="BJ27" s="38"/>
      <c r="BK27" s="43"/>
      <c r="BL27" s="43"/>
      <c r="BM27" s="38"/>
      <c r="BN27" s="38"/>
      <c r="BO27" s="38"/>
    </row>
    <row r="28" spans="1:67" thickTop="1" thickBot="1">
      <c r="A28" s="38" t="s">
        <v>168</v>
      </c>
      <c r="B28" s="43">
        <v>43793</v>
      </c>
      <c r="C28" s="39">
        <f ca="1">(TODAY()-B28)/30</f>
        <v>59.266666666666666</v>
      </c>
      <c r="D28" s="44" t="s">
        <v>472</v>
      </c>
      <c r="E28" s="40"/>
      <c r="F28" s="43" t="s">
        <v>403</v>
      </c>
      <c r="G28" s="38">
        <f>COUNTIFS(猫统计!I28,"&lt;&gt;")+COUNTIFS(猫统计!O28,"&lt;&gt;")+COUNTIFS(猫统计!U28,"&lt;&gt;")+COUNTIFS(猫统计!AA28,"&lt;&gt;")+COUNTIFS(猫统计!AG28,"&lt;&gt;")+COUNTIFS(猫统计!AM28,"&lt;&gt;")+COUNTIFS(猫统计!AS28,"&lt;&gt;")+COUNTIFS(猫统计!AY28,"&lt;&gt;")+COUNTIFS(猫统计!BE28,"&lt;&gt;")+COUNTIFS(猫统计!BK28,"&lt;&gt;")</f>
        <v>7</v>
      </c>
      <c r="H28" s="38"/>
      <c r="I28" s="43">
        <v>44186</v>
      </c>
      <c r="J28" s="43">
        <v>44251</v>
      </c>
      <c r="K28" s="38">
        <f>J28-I28</f>
        <v>65</v>
      </c>
      <c r="L28" s="38">
        <v>0</v>
      </c>
      <c r="M28" s="38">
        <v>4</v>
      </c>
      <c r="N28" s="38"/>
      <c r="O28" s="43">
        <v>44318</v>
      </c>
      <c r="P28" s="43">
        <v>44382</v>
      </c>
      <c r="Q28" s="38">
        <f>P28-O28</f>
        <v>64</v>
      </c>
      <c r="R28" s="38">
        <v>3</v>
      </c>
      <c r="S28" s="38">
        <v>1</v>
      </c>
      <c r="T28" s="38"/>
      <c r="U28" s="43">
        <v>44605</v>
      </c>
      <c r="V28" s="43">
        <v>44671</v>
      </c>
      <c r="W28" s="38">
        <f>V28-U28</f>
        <v>66</v>
      </c>
      <c r="X28" s="38">
        <v>0</v>
      </c>
      <c r="Y28" s="38">
        <v>2</v>
      </c>
      <c r="Z28" s="38"/>
      <c r="AA28" s="43">
        <v>44936</v>
      </c>
      <c r="AB28" s="43">
        <v>45001</v>
      </c>
      <c r="AC28" s="38">
        <f>AB28-AA28</f>
        <v>65</v>
      </c>
      <c r="AD28" s="38">
        <v>0</v>
      </c>
      <c r="AE28" s="38">
        <v>3</v>
      </c>
      <c r="AF28" s="38"/>
      <c r="AG28" s="43">
        <v>45093</v>
      </c>
      <c r="AH28" s="43">
        <v>45159</v>
      </c>
      <c r="AI28" s="38">
        <f>AH28-AG28</f>
        <v>66</v>
      </c>
      <c r="AJ28" s="38">
        <v>0</v>
      </c>
      <c r="AK28" s="38">
        <v>5</v>
      </c>
      <c r="AL28" s="38"/>
      <c r="AM28" s="43">
        <v>45277</v>
      </c>
      <c r="AN28" s="43">
        <v>45344</v>
      </c>
      <c r="AO28" s="38">
        <f>AN28-AM28</f>
        <v>67</v>
      </c>
      <c r="AP28" s="38">
        <v>1</v>
      </c>
      <c r="AQ28" s="38">
        <v>2</v>
      </c>
      <c r="AR28" s="38"/>
      <c r="AS28" s="43">
        <v>45476</v>
      </c>
      <c r="AT28" s="43">
        <v>45542</v>
      </c>
      <c r="AU28" s="38">
        <f>AT28-AS28</f>
        <v>66</v>
      </c>
      <c r="AV28" s="38">
        <v>1</v>
      </c>
      <c r="AW28" s="38">
        <v>3</v>
      </c>
      <c r="AX28" s="38"/>
      <c r="AY28" s="43"/>
      <c r="AZ28" s="43"/>
      <c r="BA28" s="38"/>
      <c r="BB28" s="38"/>
      <c r="BC28" s="38"/>
      <c r="BD28" s="38"/>
      <c r="BE28" s="43"/>
      <c r="BF28" s="43"/>
      <c r="BG28" s="38"/>
      <c r="BH28" s="38"/>
      <c r="BI28" s="38"/>
      <c r="BJ28" s="38"/>
      <c r="BK28" s="43"/>
      <c r="BL28" s="43"/>
      <c r="BM28" s="38"/>
      <c r="BN28" s="38"/>
      <c r="BO28" s="38"/>
    </row>
    <row r="29" spans="1:67" thickTop="1" thickBot="1">
      <c r="A29" s="38" t="s">
        <v>1287</v>
      </c>
      <c r="B29" s="43">
        <v>45538</v>
      </c>
      <c r="C29" s="39">
        <f t="shared" ref="C29:C31" ca="1" si="7">(TODAY()-B29)/30</f>
        <v>1.1000000000000001</v>
      </c>
      <c r="D29" s="44" t="s">
        <v>1064</v>
      </c>
      <c r="E29" s="40"/>
      <c r="F29" s="43" t="s">
        <v>403</v>
      </c>
      <c r="G29" s="38"/>
      <c r="H29" s="38"/>
      <c r="I29" s="43"/>
      <c r="J29" s="43"/>
      <c r="K29" s="38"/>
      <c r="L29" s="38"/>
      <c r="M29" s="38"/>
      <c r="N29" s="38"/>
      <c r="O29" s="43"/>
      <c r="P29" s="43"/>
      <c r="Q29" s="38"/>
      <c r="R29" s="38"/>
      <c r="S29" s="38"/>
      <c r="T29" s="38"/>
      <c r="U29" s="43"/>
      <c r="V29" s="43"/>
      <c r="W29" s="38"/>
      <c r="X29" s="38"/>
      <c r="Y29" s="38"/>
      <c r="Z29" s="38"/>
      <c r="AA29" s="43"/>
      <c r="AB29" s="43"/>
      <c r="AC29" s="38"/>
      <c r="AD29" s="38"/>
      <c r="AE29" s="38"/>
      <c r="AF29" s="38"/>
      <c r="AG29" s="43"/>
      <c r="AH29" s="43"/>
      <c r="AI29" s="38"/>
      <c r="AJ29" s="38"/>
      <c r="AK29" s="38"/>
      <c r="AL29" s="38"/>
      <c r="AM29" s="43"/>
      <c r="AN29" s="43"/>
      <c r="AO29" s="38"/>
      <c r="AP29" s="38"/>
      <c r="AQ29" s="38"/>
      <c r="AR29" s="38"/>
      <c r="AS29" s="43"/>
      <c r="AT29" s="43"/>
      <c r="AU29" s="38"/>
      <c r="AV29" s="38"/>
      <c r="AW29" s="38"/>
      <c r="AX29" s="38"/>
      <c r="AY29" s="43"/>
      <c r="AZ29" s="43"/>
      <c r="BA29" s="38"/>
      <c r="BB29" s="38"/>
      <c r="BC29" s="38"/>
      <c r="BD29" s="38"/>
      <c r="BE29" s="43"/>
      <c r="BF29" s="43"/>
      <c r="BG29" s="38"/>
      <c r="BH29" s="38"/>
      <c r="BI29" s="38"/>
      <c r="BJ29" s="38"/>
      <c r="BK29" s="43"/>
      <c r="BL29" s="43"/>
      <c r="BM29" s="38"/>
      <c r="BN29" s="38"/>
      <c r="BO29" s="38"/>
    </row>
    <row r="30" spans="1:67" thickTop="1" thickBot="1">
      <c r="A30" s="38" t="s">
        <v>1288</v>
      </c>
      <c r="B30" s="43">
        <v>45538</v>
      </c>
      <c r="C30" s="39">
        <f t="shared" ca="1" si="7"/>
        <v>1.1000000000000001</v>
      </c>
      <c r="D30" s="44" t="s">
        <v>1064</v>
      </c>
      <c r="E30" s="40"/>
      <c r="F30" s="43" t="s">
        <v>403</v>
      </c>
      <c r="G30" s="38"/>
      <c r="H30" s="38"/>
      <c r="I30" s="43"/>
      <c r="J30" s="43"/>
      <c r="K30" s="38"/>
      <c r="L30" s="38"/>
      <c r="M30" s="38"/>
      <c r="N30" s="38"/>
      <c r="O30" s="43"/>
      <c r="P30" s="43"/>
      <c r="Q30" s="38"/>
      <c r="R30" s="38"/>
      <c r="S30" s="38"/>
      <c r="T30" s="38"/>
      <c r="U30" s="43"/>
      <c r="V30" s="43"/>
      <c r="W30" s="38"/>
      <c r="X30" s="38"/>
      <c r="Y30" s="38"/>
      <c r="Z30" s="38"/>
      <c r="AA30" s="43"/>
      <c r="AB30" s="43"/>
      <c r="AC30" s="38"/>
      <c r="AD30" s="38"/>
      <c r="AE30" s="38"/>
      <c r="AF30" s="38"/>
      <c r="AG30" s="43"/>
      <c r="AH30" s="43"/>
      <c r="AI30" s="38"/>
      <c r="AJ30" s="38"/>
      <c r="AK30" s="38"/>
      <c r="AL30" s="38"/>
      <c r="AM30" s="43"/>
      <c r="AN30" s="43"/>
      <c r="AO30" s="38"/>
      <c r="AP30" s="38"/>
      <c r="AQ30" s="38"/>
      <c r="AR30" s="38"/>
      <c r="AS30" s="43"/>
      <c r="AT30" s="43"/>
      <c r="AU30" s="38"/>
      <c r="AV30" s="38"/>
      <c r="AW30" s="38"/>
      <c r="AX30" s="38"/>
      <c r="AY30" s="43"/>
      <c r="AZ30" s="43"/>
      <c r="BA30" s="38"/>
      <c r="BB30" s="38"/>
      <c r="BC30" s="38"/>
      <c r="BD30" s="38"/>
      <c r="BE30" s="43"/>
      <c r="BF30" s="43"/>
      <c r="BG30" s="38"/>
      <c r="BH30" s="38"/>
      <c r="BI30" s="38"/>
      <c r="BJ30" s="38"/>
      <c r="BK30" s="43"/>
      <c r="BL30" s="43"/>
      <c r="BM30" s="38"/>
      <c r="BN30" s="38"/>
      <c r="BO30" s="38"/>
    </row>
    <row r="31" spans="1:67" thickTop="1" thickBot="1">
      <c r="A31" s="38" t="s">
        <v>1288</v>
      </c>
      <c r="B31" s="43">
        <v>45538</v>
      </c>
      <c r="C31" s="39">
        <f t="shared" ca="1" si="7"/>
        <v>1.1000000000000001</v>
      </c>
      <c r="D31" s="44" t="s">
        <v>1064</v>
      </c>
      <c r="E31" s="40"/>
      <c r="F31" s="43" t="s">
        <v>403</v>
      </c>
      <c r="G31" s="38"/>
      <c r="H31" s="38"/>
      <c r="I31" s="43"/>
      <c r="J31" s="43"/>
      <c r="K31" s="38"/>
      <c r="L31" s="38"/>
      <c r="M31" s="38"/>
      <c r="N31" s="38"/>
      <c r="O31" s="43"/>
      <c r="P31" s="43"/>
      <c r="Q31" s="38"/>
      <c r="R31" s="38"/>
      <c r="S31" s="38"/>
      <c r="T31" s="38"/>
      <c r="U31" s="43"/>
      <c r="V31" s="43"/>
      <c r="W31" s="38"/>
      <c r="X31" s="38"/>
      <c r="Y31" s="38"/>
      <c r="Z31" s="38"/>
      <c r="AA31" s="43"/>
      <c r="AB31" s="43"/>
      <c r="AC31" s="38"/>
      <c r="AD31" s="38"/>
      <c r="AE31" s="38"/>
      <c r="AF31" s="38"/>
      <c r="AG31" s="43"/>
      <c r="AH31" s="43"/>
      <c r="AI31" s="38"/>
      <c r="AJ31" s="38"/>
      <c r="AK31" s="38"/>
      <c r="AL31" s="38"/>
      <c r="AM31" s="43"/>
      <c r="AN31" s="43"/>
      <c r="AO31" s="38"/>
      <c r="AP31" s="38"/>
      <c r="AQ31" s="38"/>
      <c r="AR31" s="38"/>
      <c r="AS31" s="43"/>
      <c r="AT31" s="43"/>
      <c r="AU31" s="38"/>
      <c r="AV31" s="38"/>
      <c r="AW31" s="38"/>
      <c r="AX31" s="38"/>
      <c r="AY31" s="43"/>
      <c r="AZ31" s="43"/>
      <c r="BA31" s="38"/>
      <c r="BB31" s="38"/>
      <c r="BC31" s="38"/>
      <c r="BD31" s="38"/>
      <c r="BE31" s="43"/>
      <c r="BF31" s="43"/>
      <c r="BG31" s="38"/>
      <c r="BH31" s="38"/>
      <c r="BI31" s="38"/>
      <c r="BJ31" s="38"/>
      <c r="BK31" s="43"/>
      <c r="BL31" s="43"/>
      <c r="BM31" s="38"/>
      <c r="BN31" s="38"/>
      <c r="BO31" s="38"/>
    </row>
    <row r="32" spans="1:67" thickTop="1" thickBot="1">
      <c r="A32" s="38" t="s">
        <v>1257</v>
      </c>
      <c r="B32" s="43"/>
      <c r="C32" s="39"/>
      <c r="D32" s="44" t="s">
        <v>645</v>
      </c>
      <c r="E32" s="40"/>
      <c r="F32" s="43" t="s">
        <v>403</v>
      </c>
      <c r="G32" s="38"/>
      <c r="H32" s="38"/>
      <c r="I32" s="43"/>
      <c r="J32" s="43"/>
      <c r="K32" s="38"/>
      <c r="L32" s="38"/>
      <c r="M32" s="38"/>
      <c r="N32" s="38"/>
      <c r="O32" s="43"/>
      <c r="P32" s="43"/>
      <c r="Q32" s="38"/>
      <c r="R32" s="38"/>
      <c r="S32" s="38"/>
      <c r="T32" s="38"/>
      <c r="U32" s="43"/>
      <c r="V32" s="43"/>
      <c r="W32" s="38"/>
      <c r="X32" s="38"/>
      <c r="Y32" s="38"/>
      <c r="Z32" s="38"/>
      <c r="AA32" s="43"/>
      <c r="AB32" s="43"/>
      <c r="AC32" s="38"/>
      <c r="AD32" s="38"/>
      <c r="AE32" s="38"/>
      <c r="AF32" s="38"/>
      <c r="AG32" s="43"/>
      <c r="AH32" s="43"/>
      <c r="AI32" s="38"/>
      <c r="AJ32" s="38"/>
      <c r="AK32" s="38"/>
      <c r="AL32" s="38"/>
      <c r="AM32" s="43"/>
      <c r="AN32" s="43"/>
      <c r="AO32" s="38"/>
      <c r="AP32" s="38"/>
      <c r="AQ32" s="38"/>
      <c r="AR32" s="38"/>
      <c r="AS32" s="43"/>
      <c r="AT32" s="43"/>
      <c r="AU32" s="38"/>
      <c r="AV32" s="38"/>
      <c r="AW32" s="38"/>
      <c r="AX32" s="38"/>
      <c r="AY32" s="43"/>
      <c r="AZ32" s="43"/>
      <c r="BA32" s="38"/>
      <c r="BB32" s="38"/>
      <c r="BC32" s="38"/>
      <c r="BD32" s="38"/>
      <c r="BE32" s="43"/>
      <c r="BF32" s="43"/>
      <c r="BG32" s="38"/>
      <c r="BH32" s="38"/>
      <c r="BI32" s="38"/>
      <c r="BJ32" s="38"/>
      <c r="BK32" s="43"/>
      <c r="BL32" s="43"/>
      <c r="BM32" s="38"/>
      <c r="BN32" s="38"/>
      <c r="BO32" s="38"/>
    </row>
    <row r="33" spans="1:67" s="54" customFormat="1" thickTop="1" thickBot="1">
      <c r="A33" s="48"/>
      <c r="B33" s="49"/>
      <c r="C33" s="49"/>
      <c r="D33" s="50"/>
      <c r="E33" s="50"/>
      <c r="F33" s="51"/>
      <c r="G33" s="48"/>
      <c r="H33" s="52"/>
      <c r="I33" s="53"/>
      <c r="J33" s="53"/>
      <c r="K33" s="52"/>
      <c r="L33" s="52"/>
      <c r="M33" s="52"/>
      <c r="N33" s="52"/>
      <c r="O33" s="53"/>
      <c r="P33" s="53"/>
      <c r="Q33" s="52"/>
      <c r="R33" s="52"/>
      <c r="S33" s="52"/>
      <c r="T33" s="52"/>
      <c r="U33" s="53"/>
      <c r="V33" s="53"/>
      <c r="W33" s="52"/>
      <c r="X33" s="52"/>
      <c r="Y33" s="52"/>
      <c r="Z33" s="52"/>
      <c r="AA33" s="53"/>
      <c r="AB33" s="53"/>
      <c r="AC33" s="48"/>
      <c r="AD33" s="52"/>
      <c r="AE33" s="52"/>
      <c r="AF33" s="52"/>
      <c r="AG33" s="53"/>
      <c r="AH33" s="51"/>
      <c r="AI33" s="48"/>
      <c r="AJ33" s="48"/>
      <c r="AK33" s="48"/>
      <c r="AL33" s="48"/>
      <c r="AM33" s="51"/>
      <c r="AN33" s="51"/>
      <c r="AO33" s="48"/>
      <c r="AP33" s="48"/>
      <c r="AQ33" s="48"/>
      <c r="AR33" s="48"/>
      <c r="AS33" s="51"/>
      <c r="AT33" s="51"/>
      <c r="AU33" s="48"/>
      <c r="AV33" s="48"/>
      <c r="AW33" s="48"/>
      <c r="AX33" s="48"/>
      <c r="AY33" s="51"/>
      <c r="AZ33" s="51"/>
      <c r="BA33" s="48"/>
      <c r="BB33" s="48"/>
      <c r="BC33" s="48"/>
      <c r="BD33" s="48"/>
      <c r="BE33" s="51"/>
      <c r="BF33" s="51"/>
      <c r="BG33" s="48"/>
      <c r="BH33" s="48"/>
      <c r="BI33" s="48"/>
      <c r="BJ33" s="48"/>
      <c r="BK33" s="51"/>
      <c r="BL33" s="51"/>
      <c r="BM33" s="48"/>
      <c r="BN33" s="48"/>
      <c r="BO33" s="48"/>
    </row>
    <row r="34" spans="1:67" s="60" customFormat="1" thickTop="1" thickBot="1">
      <c r="A34" s="55" t="s">
        <v>370</v>
      </c>
      <c r="B34" s="56">
        <v>43221</v>
      </c>
      <c r="C34" s="57"/>
      <c r="D34" s="45"/>
      <c r="E34" s="45"/>
      <c r="F34" s="58"/>
      <c r="G34" s="59">
        <f>COUNTIFS(猫统计!I34,"&lt;&gt;")+COUNTIFS(猫统计!O34,"&lt;&gt;")+COUNTIFS(猫统计!U34,"&lt;&gt;")+COUNTIFS(猫统计!AA34,"&lt;&gt;")+COUNTIFS(猫统计!AG34,"&lt;&gt;")+COUNTIFS(猫统计!AM34,"&lt;&gt;")+COUNTIFS(猫统计!AS34,"&lt;&gt;")+COUNTIFS(猫统计!AY34,"&lt;&gt;")+COUNTIFS(猫统计!BE34,"&lt;&gt;")+COUNTIFS(猫统计!BK34,"&lt;&gt;")</f>
        <v>1</v>
      </c>
      <c r="H34" s="55"/>
      <c r="I34" s="56">
        <v>43969</v>
      </c>
      <c r="J34" s="56">
        <v>44034</v>
      </c>
      <c r="K34" s="55">
        <f t="shared" ref="K34:K43" si="8">J34-I34</f>
        <v>65</v>
      </c>
      <c r="L34" s="55">
        <v>3</v>
      </c>
      <c r="M34" s="55">
        <v>1</v>
      </c>
      <c r="N34" s="55"/>
      <c r="O34" s="56"/>
      <c r="P34" s="56"/>
      <c r="Q34" s="55"/>
      <c r="R34" s="55"/>
      <c r="S34" s="55"/>
      <c r="T34" s="55"/>
      <c r="U34" s="56"/>
      <c r="V34" s="56"/>
      <c r="W34" s="55"/>
      <c r="X34" s="55"/>
      <c r="Y34" s="55"/>
      <c r="Z34" s="55"/>
      <c r="AA34" s="56"/>
      <c r="AB34" s="56"/>
      <c r="AC34" s="38"/>
      <c r="AD34" s="55"/>
      <c r="AE34" s="55"/>
      <c r="AF34" s="55"/>
      <c r="AG34" s="56"/>
      <c r="AH34" s="56"/>
      <c r="AI34" s="55"/>
      <c r="AJ34" s="55"/>
      <c r="AK34" s="55"/>
      <c r="AL34" s="55"/>
      <c r="AM34" s="56"/>
      <c r="AN34" s="56"/>
      <c r="AO34" s="55"/>
      <c r="AP34" s="55"/>
      <c r="AQ34" s="55"/>
      <c r="AR34" s="55"/>
      <c r="AS34" s="56"/>
      <c r="AT34" s="56"/>
      <c r="AU34" s="55"/>
      <c r="AV34" s="55"/>
      <c r="AW34" s="55"/>
      <c r="AX34" s="55"/>
      <c r="AY34" s="56"/>
      <c r="AZ34" s="56"/>
      <c r="BA34" s="55"/>
      <c r="BB34" s="55"/>
      <c r="BC34" s="55"/>
      <c r="BD34" s="55"/>
      <c r="BE34" s="56"/>
      <c r="BF34" s="56"/>
      <c r="BG34" s="55"/>
      <c r="BH34" s="55"/>
      <c r="BI34" s="55"/>
      <c r="BJ34" s="55"/>
      <c r="BK34" s="56"/>
      <c r="BL34" s="56"/>
      <c r="BM34" s="55"/>
      <c r="BN34" s="55"/>
      <c r="BO34" s="55"/>
    </row>
    <row r="35" spans="1:67" thickTop="1" thickBot="1">
      <c r="A35" s="55" t="s">
        <v>228</v>
      </c>
      <c r="B35" s="56">
        <v>44097</v>
      </c>
      <c r="C35" s="57"/>
      <c r="D35" s="45"/>
      <c r="E35" s="45"/>
      <c r="F35" s="58"/>
      <c r="G35" s="59">
        <f>COUNTIFS(猫统计!I35,"&lt;&gt;")+COUNTIFS(猫统计!O35,"&lt;&gt;")+COUNTIFS(猫统计!U35,"&lt;&gt;")+COUNTIFS(猫统计!AA35,"&lt;&gt;")+COUNTIFS(猫统计!AG35,"&lt;&gt;")+COUNTIFS(猫统计!AM35,"&lt;&gt;")+COUNTIFS(猫统计!AS35,"&lt;&gt;")+COUNTIFS(猫统计!AY35,"&lt;&gt;")+COUNTIFS(猫统计!BE35,"&lt;&gt;")+COUNTIFS(猫统计!BK35,"&lt;&gt;")</f>
        <v>2</v>
      </c>
      <c r="H35" s="55"/>
      <c r="I35" s="56">
        <v>44035</v>
      </c>
      <c r="J35" s="56">
        <v>44097</v>
      </c>
      <c r="K35" s="55">
        <f t="shared" si="8"/>
        <v>62</v>
      </c>
      <c r="L35" s="55">
        <v>0</v>
      </c>
      <c r="M35" s="55">
        <v>3</v>
      </c>
      <c r="N35" s="55"/>
      <c r="O35" s="56">
        <v>44147</v>
      </c>
      <c r="P35" s="56">
        <v>44213</v>
      </c>
      <c r="Q35" s="55">
        <f>P35-O35</f>
        <v>66</v>
      </c>
      <c r="R35" s="55">
        <v>1</v>
      </c>
      <c r="S35" s="55">
        <v>2</v>
      </c>
      <c r="T35" s="55"/>
      <c r="U35" s="56"/>
      <c r="V35" s="56"/>
      <c r="W35" s="55"/>
      <c r="X35" s="55"/>
      <c r="Y35" s="55"/>
      <c r="Z35" s="55"/>
      <c r="AA35" s="56"/>
      <c r="AB35" s="56"/>
      <c r="AC35" s="38"/>
      <c r="AD35" s="55"/>
      <c r="AE35" s="55"/>
      <c r="AF35" s="55"/>
      <c r="AG35" s="56"/>
      <c r="AH35" s="56"/>
      <c r="AI35" s="55"/>
      <c r="AJ35" s="55"/>
      <c r="AK35" s="55"/>
      <c r="AL35" s="55"/>
      <c r="AM35" s="56"/>
      <c r="AN35" s="56"/>
      <c r="AO35" s="55"/>
      <c r="AP35" s="55"/>
      <c r="AQ35" s="55"/>
      <c r="AR35" s="55"/>
      <c r="AS35" s="56"/>
      <c r="AT35" s="56"/>
      <c r="AU35" s="55"/>
      <c r="AV35" s="55"/>
      <c r="AW35" s="55"/>
      <c r="AX35" s="55"/>
      <c r="AY35" s="56"/>
      <c r="AZ35" s="56"/>
      <c r="BA35" s="55"/>
      <c r="BB35" s="55"/>
      <c r="BC35" s="55"/>
      <c r="BD35" s="55"/>
      <c r="BE35" s="56"/>
      <c r="BF35" s="56"/>
      <c r="BG35" s="55"/>
      <c r="BH35" s="55"/>
      <c r="BI35" s="55"/>
      <c r="BJ35" s="55"/>
      <c r="BK35" s="56"/>
      <c r="BL35" s="56"/>
      <c r="BM35" s="55"/>
      <c r="BN35" s="55"/>
      <c r="BO35" s="55"/>
    </row>
    <row r="36" spans="1:67" thickTop="1" thickBot="1">
      <c r="A36" s="55" t="s">
        <v>173</v>
      </c>
      <c r="B36" s="56">
        <v>43717</v>
      </c>
      <c r="C36" s="57"/>
      <c r="D36" s="45"/>
      <c r="E36" s="45"/>
      <c r="F36" s="58"/>
      <c r="G36" s="59">
        <f>COUNTIFS(猫统计!I36,"&lt;&gt;")+COUNTIFS(猫统计!O36,"&lt;&gt;")+COUNTIFS(猫统计!U36,"&lt;&gt;")+COUNTIFS(猫统计!AA36,"&lt;&gt;")+COUNTIFS(猫统计!AG36,"&lt;&gt;")+COUNTIFS(猫统计!AM36,"&lt;&gt;")+COUNTIFS(猫统计!AS36,"&lt;&gt;")+COUNTIFS(猫统计!AY36,"&lt;&gt;")+COUNTIFS(猫统计!BE36,"&lt;&gt;")+COUNTIFS(猫统计!BK36,"&lt;&gt;")</f>
        <v>1</v>
      </c>
      <c r="H36" s="55"/>
      <c r="I36" s="56">
        <v>44154</v>
      </c>
      <c r="J36" s="56">
        <v>44220</v>
      </c>
      <c r="K36" s="55">
        <f t="shared" si="8"/>
        <v>66</v>
      </c>
      <c r="L36" s="55">
        <v>1</v>
      </c>
      <c r="M36" s="55">
        <v>4</v>
      </c>
      <c r="N36" s="55"/>
      <c r="O36" s="56"/>
      <c r="P36" s="56"/>
      <c r="Q36" s="55"/>
      <c r="R36" s="55"/>
      <c r="S36" s="55"/>
      <c r="T36" s="55"/>
      <c r="U36" s="56"/>
      <c r="V36" s="56"/>
      <c r="W36" s="55"/>
      <c r="X36" s="55"/>
      <c r="Y36" s="55"/>
      <c r="Z36" s="55"/>
      <c r="AA36" s="56"/>
      <c r="AB36" s="56"/>
      <c r="AC36" s="38"/>
      <c r="AD36" s="55"/>
      <c r="AE36" s="55"/>
      <c r="AF36" s="55"/>
      <c r="AG36" s="56"/>
      <c r="AH36" s="56"/>
      <c r="AI36" s="55"/>
      <c r="AJ36" s="55"/>
      <c r="AK36" s="55"/>
      <c r="AL36" s="55"/>
      <c r="AM36" s="56"/>
      <c r="AN36" s="56"/>
      <c r="AO36" s="55"/>
      <c r="AP36" s="55"/>
      <c r="AQ36" s="55"/>
      <c r="AR36" s="55"/>
      <c r="AS36" s="56"/>
      <c r="AT36" s="56"/>
      <c r="AU36" s="55"/>
      <c r="AV36" s="55"/>
      <c r="AW36" s="55"/>
      <c r="AX36" s="55"/>
      <c r="AY36" s="56"/>
      <c r="AZ36" s="56"/>
      <c r="BA36" s="55"/>
      <c r="BB36" s="55"/>
      <c r="BC36" s="55"/>
      <c r="BD36" s="55"/>
      <c r="BE36" s="56"/>
      <c r="BF36" s="56"/>
      <c r="BG36" s="55"/>
      <c r="BH36" s="55"/>
      <c r="BI36" s="55"/>
      <c r="BJ36" s="55"/>
      <c r="BK36" s="56"/>
      <c r="BL36" s="56"/>
      <c r="BM36" s="55"/>
      <c r="BN36" s="55"/>
      <c r="BO36" s="55"/>
    </row>
    <row r="37" spans="1:67" thickTop="1" thickBot="1">
      <c r="A37" s="59" t="s">
        <v>167</v>
      </c>
      <c r="B37" s="58">
        <v>43843</v>
      </c>
      <c r="C37" s="57"/>
      <c r="D37" s="61"/>
      <c r="E37" s="61"/>
      <c r="F37" s="58"/>
      <c r="G37" s="59">
        <f>COUNTIFS(猫统计!I37,"&lt;&gt;")+COUNTIFS(猫统计!O37,"&lt;&gt;")+COUNTIFS(猫统计!U37,"&lt;&gt;")+COUNTIFS(猫统计!AA37,"&lt;&gt;")+COUNTIFS(猫统计!AG37,"&lt;&gt;")+COUNTIFS(猫统计!AM37,"&lt;&gt;")+COUNTIFS(猫统计!AS37,"&lt;&gt;")+COUNTIFS(猫统计!AY37,"&lt;&gt;")+COUNTIFS(猫统计!BE37,"&lt;&gt;")+COUNTIFS(猫统计!BK37,"&lt;&gt;")</f>
        <v>1</v>
      </c>
      <c r="H37" s="55"/>
      <c r="I37" s="56">
        <v>44154</v>
      </c>
      <c r="J37" s="56">
        <v>44220</v>
      </c>
      <c r="K37" s="55">
        <f t="shared" si="8"/>
        <v>66</v>
      </c>
      <c r="L37" s="55">
        <v>0</v>
      </c>
      <c r="M37" s="55">
        <v>3</v>
      </c>
      <c r="N37" s="55"/>
      <c r="O37" s="56"/>
      <c r="P37" s="56"/>
      <c r="Q37" s="55"/>
      <c r="R37" s="55"/>
      <c r="S37" s="55"/>
      <c r="T37" s="55"/>
      <c r="U37" s="56"/>
      <c r="V37" s="56"/>
      <c r="W37" s="55"/>
      <c r="X37" s="55"/>
      <c r="Y37" s="55"/>
      <c r="Z37" s="55"/>
      <c r="AA37" s="56"/>
      <c r="AB37" s="56"/>
      <c r="AC37" s="38"/>
      <c r="AD37" s="55"/>
      <c r="AE37" s="55"/>
      <c r="AF37" s="55"/>
      <c r="AG37" s="56"/>
      <c r="AH37" s="43"/>
      <c r="AI37" s="38"/>
      <c r="AJ37" s="38"/>
      <c r="AK37" s="38"/>
      <c r="AL37" s="38"/>
      <c r="AM37" s="43"/>
      <c r="AN37" s="43"/>
      <c r="AO37" s="38"/>
      <c r="AP37" s="38"/>
      <c r="AQ37" s="38"/>
      <c r="AR37" s="38"/>
      <c r="AS37" s="43"/>
      <c r="AT37" s="43"/>
      <c r="AU37" s="38"/>
      <c r="AV37" s="38"/>
      <c r="AW37" s="38"/>
      <c r="AX37" s="38"/>
      <c r="AY37" s="43"/>
      <c r="AZ37" s="43"/>
      <c r="BA37" s="38"/>
      <c r="BB37" s="38"/>
      <c r="BC37" s="38"/>
      <c r="BD37" s="38"/>
      <c r="BE37" s="43"/>
      <c r="BF37" s="43"/>
      <c r="BG37" s="38"/>
      <c r="BH37" s="38"/>
      <c r="BI37" s="38"/>
      <c r="BJ37" s="38"/>
      <c r="BK37" s="43"/>
      <c r="BL37" s="43"/>
      <c r="BM37" s="38"/>
      <c r="BN37" s="38"/>
      <c r="BO37" s="38"/>
    </row>
    <row r="38" spans="1:67" s="62" customFormat="1" thickTop="1" thickBot="1">
      <c r="A38" s="59" t="s">
        <v>227</v>
      </c>
      <c r="B38" s="58">
        <v>43954</v>
      </c>
      <c r="C38" s="57"/>
      <c r="D38" s="61"/>
      <c r="E38" s="61"/>
      <c r="F38" s="58"/>
      <c r="G38" s="59">
        <f>COUNTIFS(猫统计!I38,"&lt;&gt;")+COUNTIFS(猫统计!O38,"&lt;&gt;")+COUNTIFS(猫统计!U38,"&lt;&gt;")+COUNTIFS(猫统计!AA38,"&lt;&gt;")+COUNTIFS(猫统计!AG38,"&lt;&gt;")+COUNTIFS(猫统计!AM38,"&lt;&gt;")+COUNTIFS(猫统计!AS38,"&lt;&gt;")+COUNTIFS(猫统计!AY38,"&lt;&gt;")+COUNTIFS(猫统计!BE38,"&lt;&gt;")+COUNTIFS(猫统计!BK38,"&lt;&gt;")</f>
        <v>1</v>
      </c>
      <c r="H38" s="55"/>
      <c r="I38" s="56">
        <v>44217</v>
      </c>
      <c r="J38" s="56">
        <v>44282</v>
      </c>
      <c r="K38" s="55">
        <f t="shared" si="8"/>
        <v>65</v>
      </c>
      <c r="L38" s="55">
        <v>2</v>
      </c>
      <c r="M38" s="55">
        <v>3</v>
      </c>
      <c r="N38" s="55"/>
      <c r="O38" s="56"/>
      <c r="P38" s="56"/>
      <c r="Q38" s="55"/>
      <c r="R38" s="55"/>
      <c r="S38" s="55"/>
      <c r="T38" s="55"/>
      <c r="U38" s="56"/>
      <c r="V38" s="56"/>
      <c r="W38" s="55"/>
      <c r="X38" s="55"/>
      <c r="Y38" s="55"/>
      <c r="Z38" s="55"/>
      <c r="AA38" s="56"/>
      <c r="AB38" s="56"/>
      <c r="AC38" s="38"/>
      <c r="AD38" s="55"/>
      <c r="AE38" s="55"/>
      <c r="AF38" s="55"/>
      <c r="AG38" s="56"/>
      <c r="AH38" s="58"/>
      <c r="AI38" s="59"/>
      <c r="AJ38" s="59"/>
      <c r="AK38" s="59"/>
      <c r="AL38" s="59"/>
      <c r="AM38" s="58"/>
      <c r="AN38" s="58"/>
      <c r="AO38" s="59"/>
      <c r="AP38" s="59"/>
      <c r="AQ38" s="59"/>
      <c r="AR38" s="59"/>
      <c r="AS38" s="58"/>
      <c r="AT38" s="58"/>
      <c r="AU38" s="59"/>
      <c r="AV38" s="59"/>
      <c r="AW38" s="59"/>
      <c r="AX38" s="59"/>
      <c r="AY38" s="58"/>
      <c r="AZ38" s="58"/>
      <c r="BA38" s="59"/>
      <c r="BB38" s="59"/>
      <c r="BC38" s="59"/>
      <c r="BD38" s="59"/>
      <c r="BE38" s="58"/>
      <c r="BF38" s="58"/>
      <c r="BG38" s="59"/>
      <c r="BH38" s="59"/>
      <c r="BI38" s="59"/>
      <c r="BJ38" s="59"/>
      <c r="BK38" s="58"/>
      <c r="BL38" s="58"/>
      <c r="BM38" s="59"/>
      <c r="BN38" s="59"/>
      <c r="BO38" s="59"/>
    </row>
    <row r="39" spans="1:67" s="62" customFormat="1" thickTop="1" thickBot="1">
      <c r="A39" s="59" t="s">
        <v>399</v>
      </c>
      <c r="B39" s="58"/>
      <c r="C39" s="57"/>
      <c r="D39" s="61"/>
      <c r="E39" s="61"/>
      <c r="F39" s="58"/>
      <c r="G39" s="59">
        <f>COUNTIFS(猫统计!I39,"&lt;&gt;")+COUNTIFS(猫统计!O39,"&lt;&gt;")+COUNTIFS(猫统计!U39,"&lt;&gt;")+COUNTIFS(猫统计!AA39,"&lt;&gt;")+COUNTIFS(猫统计!AG39,"&lt;&gt;")+COUNTIFS(猫统计!AM39,"&lt;&gt;")+COUNTIFS(猫统计!AS39,"&lt;&gt;")+COUNTIFS(猫统计!AY39,"&lt;&gt;")+COUNTIFS(猫统计!BE39,"&lt;&gt;")+COUNTIFS(猫统计!BK39,"&lt;&gt;")</f>
        <v>1</v>
      </c>
      <c r="H39" s="55"/>
      <c r="I39" s="56">
        <v>44243</v>
      </c>
      <c r="J39" s="56">
        <v>44309</v>
      </c>
      <c r="K39" s="55">
        <f t="shared" si="8"/>
        <v>66</v>
      </c>
      <c r="L39" s="55">
        <v>1</v>
      </c>
      <c r="M39" s="55">
        <v>5</v>
      </c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46"/>
      <c r="AD39" s="63"/>
      <c r="AE39" s="63"/>
      <c r="AF39" s="63"/>
      <c r="AG39" s="63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</row>
    <row r="40" spans="1:67" s="62" customFormat="1" thickTop="1" thickBot="1">
      <c r="A40" s="59" t="s">
        <v>164</v>
      </c>
      <c r="B40" s="58">
        <v>43941</v>
      </c>
      <c r="C40" s="57"/>
      <c r="D40" s="61"/>
      <c r="E40" s="61"/>
      <c r="F40" s="58"/>
      <c r="G40" s="59">
        <f>COUNTIFS(猫统计!I40,"&lt;&gt;")+COUNTIFS(猫统计!O40,"&lt;&gt;")+COUNTIFS(猫统计!U40,"&lt;&gt;")+COUNTIFS(猫统计!AA40,"&lt;&gt;")+COUNTIFS(猫统计!AG40,"&lt;&gt;")+COUNTIFS(猫统计!AM40,"&lt;&gt;")+COUNTIFS(猫统计!AS40,"&lt;&gt;")+COUNTIFS(猫统计!AY40,"&lt;&gt;")+COUNTIFS(猫统计!BE40,"&lt;&gt;")+COUNTIFS(猫统计!BK40,"&lt;&gt;")</f>
        <v>1</v>
      </c>
      <c r="H40" s="55"/>
      <c r="I40" s="56">
        <v>44274</v>
      </c>
      <c r="J40" s="56">
        <v>44342</v>
      </c>
      <c r="K40" s="55">
        <f t="shared" si="8"/>
        <v>68</v>
      </c>
      <c r="L40" s="55">
        <v>1</v>
      </c>
      <c r="M40" s="55">
        <v>0</v>
      </c>
      <c r="N40" s="55"/>
      <c r="O40" s="56"/>
      <c r="P40" s="56"/>
      <c r="Q40" s="55"/>
      <c r="R40" s="55"/>
      <c r="S40" s="55"/>
      <c r="T40" s="55"/>
      <c r="U40" s="56"/>
      <c r="V40" s="56"/>
      <c r="W40" s="55"/>
      <c r="X40" s="55"/>
      <c r="Y40" s="55"/>
      <c r="Z40" s="55"/>
      <c r="AA40" s="56"/>
      <c r="AB40" s="56"/>
      <c r="AC40" s="38"/>
      <c r="AD40" s="55"/>
      <c r="AE40" s="55"/>
      <c r="AF40" s="55"/>
      <c r="AG40" s="56"/>
      <c r="AH40" s="58"/>
      <c r="AI40" s="59"/>
      <c r="AJ40" s="59"/>
      <c r="AK40" s="59"/>
      <c r="AL40" s="59"/>
      <c r="AM40" s="58"/>
      <c r="AN40" s="58"/>
      <c r="AO40" s="59"/>
      <c r="AP40" s="59"/>
      <c r="AQ40" s="59"/>
      <c r="AR40" s="59"/>
      <c r="AS40" s="58"/>
      <c r="AT40" s="58"/>
      <c r="AU40" s="59"/>
      <c r="AV40" s="59"/>
      <c r="AW40" s="59"/>
      <c r="AX40" s="59"/>
      <c r="AY40" s="58"/>
      <c r="AZ40" s="58"/>
      <c r="BA40" s="59"/>
      <c r="BB40" s="59"/>
      <c r="BC40" s="59"/>
      <c r="BD40" s="59"/>
      <c r="BE40" s="58"/>
      <c r="BF40" s="58"/>
      <c r="BG40" s="59"/>
      <c r="BH40" s="59"/>
      <c r="BI40" s="59"/>
      <c r="BJ40" s="59"/>
      <c r="BK40" s="58"/>
      <c r="BL40" s="58"/>
      <c r="BM40" s="59"/>
      <c r="BN40" s="59"/>
      <c r="BO40" s="59"/>
    </row>
    <row r="41" spans="1:67" s="62" customFormat="1" thickTop="1" thickBot="1">
      <c r="A41" s="59" t="s">
        <v>169</v>
      </c>
      <c r="B41" s="58">
        <v>43875</v>
      </c>
      <c r="C41" s="57"/>
      <c r="D41" s="61"/>
      <c r="E41" s="61"/>
      <c r="F41" s="58"/>
      <c r="G41" s="59">
        <f>COUNTIFS(猫统计!I41,"&lt;&gt;")+COUNTIFS(猫统计!O41,"&lt;&gt;")+COUNTIFS(猫统计!U41,"&lt;&gt;")+COUNTIFS(猫统计!AA41,"&lt;&gt;")+COUNTIFS(猫统计!AG41,"&lt;&gt;")+COUNTIFS(猫统计!AM41,"&lt;&gt;")+COUNTIFS(猫统计!AS41,"&lt;&gt;")+COUNTIFS(猫统计!AY41,"&lt;&gt;")+COUNTIFS(猫统计!BE41,"&lt;&gt;")+COUNTIFS(猫统计!BK41,"&lt;&gt;")</f>
        <v>1</v>
      </c>
      <c r="H41" s="55"/>
      <c r="I41" s="56">
        <v>44233</v>
      </c>
      <c r="J41" s="56">
        <v>44300</v>
      </c>
      <c r="K41" s="55">
        <f t="shared" si="8"/>
        <v>67</v>
      </c>
      <c r="L41" s="55">
        <v>1</v>
      </c>
      <c r="M41" s="55">
        <v>4</v>
      </c>
      <c r="N41" s="55"/>
      <c r="O41" s="56"/>
      <c r="P41" s="56"/>
      <c r="Q41" s="55"/>
      <c r="R41" s="55"/>
      <c r="S41" s="55"/>
      <c r="T41" s="55"/>
      <c r="U41" s="56"/>
      <c r="V41" s="56"/>
      <c r="W41" s="55"/>
      <c r="X41" s="55"/>
      <c r="Y41" s="55"/>
      <c r="Z41" s="55"/>
      <c r="AA41" s="56"/>
      <c r="AB41" s="56"/>
      <c r="AC41" s="38"/>
      <c r="AD41" s="55"/>
      <c r="AE41" s="55"/>
      <c r="AF41" s="55"/>
      <c r="AG41" s="56"/>
      <c r="AH41" s="58"/>
      <c r="AI41" s="59"/>
      <c r="AJ41" s="59"/>
      <c r="AK41" s="59"/>
      <c r="AL41" s="59"/>
      <c r="AM41" s="58"/>
      <c r="AN41" s="58"/>
      <c r="AO41" s="59"/>
      <c r="AP41" s="59"/>
      <c r="AQ41" s="59"/>
      <c r="AR41" s="59"/>
      <c r="AS41" s="58"/>
      <c r="AT41" s="58"/>
      <c r="AU41" s="59"/>
      <c r="AV41" s="59"/>
      <c r="AW41" s="59"/>
      <c r="AX41" s="59"/>
      <c r="AY41" s="58"/>
      <c r="AZ41" s="58"/>
      <c r="BA41" s="59"/>
      <c r="BB41" s="59"/>
      <c r="BC41" s="59"/>
      <c r="BD41" s="59"/>
      <c r="BE41" s="58"/>
      <c r="BF41" s="58"/>
      <c r="BG41" s="59"/>
      <c r="BH41" s="59"/>
      <c r="BI41" s="59"/>
      <c r="BJ41" s="59"/>
      <c r="BK41" s="58"/>
      <c r="BL41" s="58"/>
      <c r="BM41" s="59"/>
      <c r="BN41" s="59"/>
      <c r="BO41" s="59"/>
    </row>
    <row r="42" spans="1:67" s="62" customFormat="1" thickTop="1" thickBot="1">
      <c r="A42" s="59" t="s">
        <v>163</v>
      </c>
      <c r="B42" s="58">
        <v>43763</v>
      </c>
      <c r="C42" s="57"/>
      <c r="D42" s="61"/>
      <c r="E42" s="61"/>
      <c r="F42" s="58"/>
      <c r="G42" s="59">
        <f>COUNTIFS(猫统计!I42,"&lt;&gt;")+COUNTIFS(猫统计!O42,"&lt;&gt;")+COUNTIFS(猫统计!U42,"&lt;&gt;")+COUNTIFS(猫统计!AA42,"&lt;&gt;")+COUNTIFS(猫统计!AG42,"&lt;&gt;")+COUNTIFS(猫统计!AM42,"&lt;&gt;")+COUNTIFS(猫统计!AS42,"&lt;&gt;")+COUNTIFS(猫统计!AY42,"&lt;&gt;")+COUNTIFS(猫统计!BE42,"&lt;&gt;")+COUNTIFS(猫统计!BK42,"&lt;&gt;")</f>
        <v>1</v>
      </c>
      <c r="H42" s="55"/>
      <c r="I42" s="56">
        <v>44274</v>
      </c>
      <c r="J42" s="56">
        <v>44328</v>
      </c>
      <c r="K42" s="55">
        <f t="shared" si="8"/>
        <v>54</v>
      </c>
      <c r="L42" s="55">
        <v>3</v>
      </c>
      <c r="M42" s="55">
        <v>4</v>
      </c>
      <c r="N42" s="55"/>
      <c r="O42" s="56"/>
      <c r="P42" s="56"/>
      <c r="Q42" s="55"/>
      <c r="R42" s="55"/>
      <c r="S42" s="55"/>
      <c r="T42" s="55"/>
      <c r="U42" s="56"/>
      <c r="V42" s="56"/>
      <c r="W42" s="55"/>
      <c r="X42" s="55"/>
      <c r="Y42" s="55"/>
      <c r="Z42" s="55"/>
      <c r="AA42" s="56"/>
      <c r="AB42" s="56"/>
      <c r="AC42" s="38"/>
      <c r="AD42" s="55"/>
      <c r="AE42" s="55"/>
      <c r="AF42" s="55"/>
      <c r="AG42" s="56"/>
      <c r="AH42" s="58"/>
      <c r="AI42" s="59"/>
      <c r="AJ42" s="59"/>
      <c r="AK42" s="59"/>
      <c r="AL42" s="59"/>
      <c r="AM42" s="58"/>
      <c r="AN42" s="58"/>
      <c r="AO42" s="59"/>
      <c r="AP42" s="59"/>
      <c r="AQ42" s="59"/>
      <c r="AR42" s="59"/>
      <c r="AS42" s="58"/>
      <c r="AT42" s="58"/>
      <c r="AU42" s="59"/>
      <c r="AV42" s="59"/>
      <c r="AW42" s="59"/>
      <c r="AX42" s="59"/>
      <c r="AY42" s="58"/>
      <c r="AZ42" s="58"/>
      <c r="BA42" s="59"/>
      <c r="BB42" s="59"/>
      <c r="BC42" s="59"/>
      <c r="BD42" s="59"/>
      <c r="BE42" s="58"/>
      <c r="BF42" s="58"/>
      <c r="BG42" s="59"/>
      <c r="BH42" s="59"/>
      <c r="BI42" s="59"/>
      <c r="BJ42" s="59"/>
      <c r="BK42" s="58"/>
      <c r="BL42" s="58"/>
      <c r="BM42" s="59"/>
      <c r="BN42" s="59"/>
      <c r="BO42" s="59"/>
    </row>
    <row r="43" spans="1:67" s="62" customFormat="1" thickTop="1" thickBot="1">
      <c r="A43" s="59" t="s">
        <v>176</v>
      </c>
      <c r="B43" s="58">
        <v>43525</v>
      </c>
      <c r="C43" s="57"/>
      <c r="D43" s="61"/>
      <c r="E43" s="61"/>
      <c r="F43" s="58"/>
      <c r="G43" s="59">
        <f>COUNTIFS(猫统计!I43,"&lt;&gt;")+COUNTIFS(猫统计!O43,"&lt;&gt;")+COUNTIFS(猫统计!U43,"&lt;&gt;")+COUNTIFS(猫统计!AA43,"&lt;&gt;")+COUNTIFS(猫统计!AG43,"&lt;&gt;")+COUNTIFS(猫统计!AM43,"&lt;&gt;")+COUNTIFS(猫统计!AS43,"&lt;&gt;")+COUNTIFS(猫统计!AY43,"&lt;&gt;")+COUNTIFS(猫统计!BE43,"&lt;&gt;")+COUNTIFS(猫统计!BK43,"&lt;&gt;")</f>
        <v>1</v>
      </c>
      <c r="H43" s="55"/>
      <c r="I43" s="56">
        <v>44205</v>
      </c>
      <c r="J43" s="56">
        <v>44272</v>
      </c>
      <c r="K43" s="55">
        <f t="shared" si="8"/>
        <v>67</v>
      </c>
      <c r="L43" s="55">
        <v>3</v>
      </c>
      <c r="M43" s="55">
        <v>1</v>
      </c>
      <c r="N43" s="55"/>
      <c r="O43" s="56"/>
      <c r="P43" s="56"/>
      <c r="Q43" s="55"/>
      <c r="R43" s="55"/>
      <c r="S43" s="55"/>
      <c r="T43" s="55"/>
      <c r="U43" s="56"/>
      <c r="V43" s="56"/>
      <c r="W43" s="55"/>
      <c r="X43" s="55"/>
      <c r="Y43" s="55"/>
      <c r="Z43" s="55"/>
      <c r="AA43" s="56"/>
      <c r="AB43" s="56"/>
      <c r="AC43" s="38"/>
      <c r="AD43" s="55"/>
      <c r="AE43" s="55"/>
      <c r="AF43" s="55"/>
      <c r="AG43" s="56"/>
      <c r="AH43" s="58"/>
      <c r="AI43" s="59"/>
      <c r="AJ43" s="59"/>
      <c r="AK43" s="59"/>
      <c r="AL43" s="59"/>
      <c r="AM43" s="58"/>
      <c r="AN43" s="58"/>
      <c r="AO43" s="59"/>
      <c r="AP43" s="59"/>
      <c r="AQ43" s="59"/>
      <c r="AR43" s="59"/>
      <c r="AS43" s="58"/>
      <c r="AT43" s="58"/>
      <c r="AU43" s="59"/>
      <c r="AV43" s="59"/>
      <c r="AW43" s="59"/>
      <c r="AX43" s="59"/>
      <c r="AY43" s="58"/>
      <c r="AZ43" s="58"/>
      <c r="BA43" s="59"/>
      <c r="BB43" s="59"/>
      <c r="BC43" s="59"/>
      <c r="BD43" s="59"/>
      <c r="BE43" s="58"/>
      <c r="BF43" s="58"/>
      <c r="BG43" s="59"/>
      <c r="BH43" s="59"/>
      <c r="BI43" s="59"/>
      <c r="BJ43" s="59"/>
      <c r="BK43" s="58"/>
      <c r="BL43" s="58"/>
      <c r="BM43" s="59"/>
      <c r="BN43" s="59"/>
      <c r="BO43" s="59"/>
    </row>
    <row r="44" spans="1:67" s="62" customFormat="1" thickTop="1" thickBot="1">
      <c r="A44" s="59" t="s">
        <v>563</v>
      </c>
      <c r="B44" s="58">
        <v>43981</v>
      </c>
      <c r="C44" s="57"/>
      <c r="D44" s="61"/>
      <c r="E44" s="61"/>
      <c r="F44" s="58"/>
      <c r="G44" s="59">
        <f>COUNTIFS(猫统计!I44,"&lt;&gt;")+COUNTIFS(猫统计!O44,"&lt;&gt;")+COUNTIFS(猫统计!U44,"&lt;&gt;")+COUNTIFS(猫统计!AA44,"&lt;&gt;")+COUNTIFS(猫统计!AG44,"&lt;&gt;")+COUNTIFS(猫统计!AM44,"&lt;&gt;")+COUNTIFS(猫统计!AS44,"&lt;&gt;")+COUNTIFS(猫统计!AY44,"&lt;&gt;")+COUNTIFS(猫统计!BE44,"&lt;&gt;")+COUNTIFS(猫统计!BK44,"&lt;&gt;")</f>
        <v>0</v>
      </c>
      <c r="H44" s="55"/>
      <c r="I44" s="56"/>
      <c r="J44" s="56"/>
      <c r="K44" s="55"/>
      <c r="L44" s="55"/>
      <c r="M44" s="55"/>
      <c r="N44" s="55"/>
      <c r="O44" s="56"/>
      <c r="P44" s="56"/>
      <c r="Q44" s="55"/>
      <c r="R44" s="55"/>
      <c r="S44" s="55"/>
      <c r="T44" s="55"/>
      <c r="U44" s="56"/>
      <c r="V44" s="56"/>
      <c r="W44" s="55"/>
      <c r="X44" s="55"/>
      <c r="Y44" s="55"/>
      <c r="Z44" s="55"/>
      <c r="AA44" s="56"/>
      <c r="AB44" s="56"/>
      <c r="AC44" s="38"/>
      <c r="AD44" s="55"/>
      <c r="AE44" s="55"/>
      <c r="AF44" s="55"/>
      <c r="AG44" s="56"/>
      <c r="AH44" s="58"/>
      <c r="AI44" s="59"/>
      <c r="AJ44" s="59"/>
      <c r="AK44" s="59"/>
      <c r="AL44" s="59"/>
      <c r="AM44" s="58"/>
      <c r="AN44" s="58"/>
      <c r="AO44" s="59"/>
      <c r="AP44" s="59"/>
      <c r="AQ44" s="59"/>
      <c r="AR44" s="59"/>
      <c r="AS44" s="58"/>
      <c r="AT44" s="58"/>
      <c r="AU44" s="59"/>
      <c r="AV44" s="59"/>
      <c r="AW44" s="59"/>
      <c r="AX44" s="59"/>
      <c r="AY44" s="58"/>
      <c r="AZ44" s="58"/>
      <c r="BA44" s="59"/>
      <c r="BB44" s="59"/>
      <c r="BC44" s="59"/>
      <c r="BD44" s="59"/>
      <c r="BE44" s="58"/>
      <c r="BF44" s="58"/>
      <c r="BG44" s="59"/>
      <c r="BH44" s="59"/>
      <c r="BI44" s="59"/>
      <c r="BJ44" s="59"/>
      <c r="BK44" s="58"/>
      <c r="BL44" s="58"/>
      <c r="BM44" s="59"/>
      <c r="BN44" s="59"/>
      <c r="BO44" s="59"/>
    </row>
    <row r="45" spans="1:67" s="62" customFormat="1" thickTop="1" thickBot="1">
      <c r="A45" s="59" t="s">
        <v>340</v>
      </c>
      <c r="B45" s="58">
        <v>44029</v>
      </c>
      <c r="C45" s="57"/>
      <c r="D45" s="61"/>
      <c r="E45" s="61"/>
      <c r="F45" s="58"/>
      <c r="G45" s="59">
        <f>COUNTIFS(猫统计!I45,"&lt;&gt;")+COUNTIFS(猫统计!O45,"&lt;&gt;")+COUNTIFS(猫统计!U45,"&lt;&gt;")+COUNTIFS(猫统计!AA45,"&lt;&gt;")+COUNTIFS(猫统计!AG45,"&lt;&gt;")+COUNTIFS(猫统计!AM45,"&lt;&gt;")+COUNTIFS(猫统计!AS45,"&lt;&gt;")+COUNTIFS(猫统计!AY45,"&lt;&gt;")+COUNTIFS(猫统计!BE45,"&lt;&gt;")+COUNTIFS(猫统计!BK45,"&lt;&gt;")</f>
        <v>2</v>
      </c>
      <c r="H45" s="55"/>
      <c r="I45" s="56">
        <v>44205</v>
      </c>
      <c r="J45" s="56">
        <v>44271</v>
      </c>
      <c r="K45" s="55">
        <f>J45-I45</f>
        <v>66</v>
      </c>
      <c r="L45" s="55">
        <v>0</v>
      </c>
      <c r="M45" s="55">
        <v>4</v>
      </c>
      <c r="N45" s="55"/>
      <c r="O45" s="56">
        <v>44326</v>
      </c>
      <c r="P45" s="56">
        <v>44391</v>
      </c>
      <c r="Q45" s="65">
        <f t="shared" ref="Q45:Q49" si="9">P45-O45</f>
        <v>65</v>
      </c>
      <c r="R45" s="55">
        <v>0</v>
      </c>
      <c r="S45" s="55">
        <v>5</v>
      </c>
      <c r="T45" s="55"/>
      <c r="U45" s="56"/>
      <c r="V45" s="56"/>
      <c r="W45" s="55"/>
      <c r="X45" s="55"/>
      <c r="Y45" s="55"/>
      <c r="Z45" s="55"/>
      <c r="AA45" s="56"/>
      <c r="AB45" s="56"/>
      <c r="AC45" s="38"/>
      <c r="AD45" s="55"/>
      <c r="AE45" s="55"/>
      <c r="AF45" s="55"/>
      <c r="AG45" s="56"/>
      <c r="AH45" s="58"/>
      <c r="AI45" s="59"/>
      <c r="AJ45" s="59"/>
      <c r="AK45" s="59"/>
      <c r="AL45" s="59"/>
      <c r="AM45" s="58"/>
      <c r="AN45" s="58"/>
      <c r="AO45" s="59"/>
      <c r="AP45" s="59"/>
      <c r="AQ45" s="59"/>
      <c r="AR45" s="59"/>
      <c r="AS45" s="58"/>
      <c r="AT45" s="58"/>
      <c r="AU45" s="59"/>
      <c r="AV45" s="59"/>
      <c r="AW45" s="59"/>
      <c r="AX45" s="59"/>
      <c r="AY45" s="58"/>
      <c r="AZ45" s="58"/>
      <c r="BA45" s="59"/>
      <c r="BB45" s="59"/>
      <c r="BC45" s="59"/>
      <c r="BD45" s="59"/>
      <c r="BE45" s="58"/>
      <c r="BF45" s="58"/>
      <c r="BG45" s="59"/>
      <c r="BH45" s="59"/>
      <c r="BI45" s="59"/>
      <c r="BJ45" s="59"/>
      <c r="BK45" s="58"/>
      <c r="BL45" s="58"/>
      <c r="BM45" s="59"/>
      <c r="BN45" s="59"/>
      <c r="BO45" s="59"/>
    </row>
    <row r="46" spans="1:67" s="69" customFormat="1" thickTop="1" thickBot="1">
      <c r="A46" s="66" t="s">
        <v>175</v>
      </c>
      <c r="B46" s="67">
        <v>76458</v>
      </c>
      <c r="C46" s="57"/>
      <c r="D46" s="61"/>
      <c r="E46" s="61"/>
      <c r="F46" s="58"/>
      <c r="G46" s="59">
        <f>COUNTIFS(猫统计!I46,"&lt;&gt;")+COUNTIFS(猫统计!O46,"&lt;&gt;")+COUNTIFS(猫统计!U46,"&lt;&gt;")+COUNTIFS(猫统计!AA46,"&lt;&gt;")+COUNTIFS(猫统计!AG46,"&lt;&gt;")+COUNTIFS(猫统计!AM46,"&lt;&gt;")+COUNTIFS(猫统计!AS46,"&lt;&gt;")+COUNTIFS(猫统计!AY46,"&lt;&gt;")+COUNTIFS(猫统计!BE46,"&lt;&gt;")+COUNTIFS(猫统计!BK46,"&lt;&gt;")</f>
        <v>3</v>
      </c>
      <c r="H46" s="65"/>
      <c r="I46" s="68">
        <v>43979</v>
      </c>
      <c r="J46" s="68">
        <v>44044</v>
      </c>
      <c r="K46" s="65">
        <f>J46-I46</f>
        <v>65</v>
      </c>
      <c r="L46" s="65">
        <v>0</v>
      </c>
      <c r="M46" s="65">
        <v>1</v>
      </c>
      <c r="N46" s="65"/>
      <c r="O46" s="68">
        <v>44203</v>
      </c>
      <c r="P46" s="68">
        <v>44268</v>
      </c>
      <c r="Q46" s="65">
        <f t="shared" si="9"/>
        <v>65</v>
      </c>
      <c r="R46" s="65">
        <v>0</v>
      </c>
      <c r="S46" s="65">
        <v>3</v>
      </c>
      <c r="T46" s="65"/>
      <c r="U46" s="68">
        <v>44322</v>
      </c>
      <c r="V46" s="68">
        <v>44388</v>
      </c>
      <c r="W46" s="55">
        <f>V46-U46</f>
        <v>66</v>
      </c>
      <c r="X46" s="65">
        <v>0</v>
      </c>
      <c r="Y46" s="65">
        <v>1</v>
      </c>
      <c r="Z46" s="65"/>
      <c r="AA46" s="68"/>
      <c r="AB46" s="68"/>
      <c r="AC46" s="38"/>
      <c r="AD46" s="65"/>
      <c r="AE46" s="65"/>
      <c r="AF46" s="65"/>
      <c r="AG46" s="68"/>
      <c r="AH46" s="67"/>
      <c r="AI46" s="59"/>
      <c r="AJ46" s="66"/>
      <c r="AK46" s="66"/>
      <c r="AL46" s="66"/>
      <c r="AM46" s="67"/>
      <c r="AN46" s="67"/>
      <c r="AO46" s="59"/>
      <c r="AP46" s="66"/>
      <c r="AQ46" s="66"/>
      <c r="AR46" s="66"/>
      <c r="AS46" s="67"/>
      <c r="AT46" s="67"/>
      <c r="AU46" s="59"/>
      <c r="AV46" s="66"/>
      <c r="AW46" s="66"/>
      <c r="AX46" s="66"/>
      <c r="AY46" s="67"/>
      <c r="AZ46" s="67"/>
      <c r="BA46" s="59"/>
      <c r="BB46" s="66"/>
      <c r="BC46" s="66"/>
      <c r="BD46" s="66"/>
      <c r="BE46" s="67"/>
      <c r="BF46" s="67"/>
      <c r="BG46" s="59"/>
      <c r="BH46" s="66"/>
      <c r="BI46" s="66"/>
      <c r="BJ46" s="66"/>
      <c r="BK46" s="67"/>
      <c r="BL46" s="67"/>
      <c r="BM46" s="59"/>
      <c r="BN46" s="66"/>
      <c r="BO46" s="66"/>
    </row>
    <row r="47" spans="1:67" thickTop="1" thickBot="1">
      <c r="A47" s="59" t="s">
        <v>402</v>
      </c>
      <c r="B47" s="58">
        <v>43833</v>
      </c>
      <c r="C47" s="57"/>
      <c r="D47" s="61"/>
      <c r="E47" s="61"/>
      <c r="F47" s="58"/>
      <c r="G47" s="59">
        <f>COUNTIFS(猫统计!I47,"&lt;&gt;")+COUNTIFS(猫统计!O47,"&lt;&gt;")+COUNTIFS(猫统计!U47,"&lt;&gt;")+COUNTIFS(猫统计!AA47,"&lt;&gt;")+COUNTIFS(猫统计!AG47,"&lt;&gt;")+COUNTIFS(猫统计!AM47,"&lt;&gt;")+COUNTIFS(猫统计!AS47,"&lt;&gt;")+COUNTIFS(猫统计!AY47,"&lt;&gt;")+COUNTIFS(猫统计!BE47,"&lt;&gt;")+COUNTIFS(猫统计!BK47,"&lt;&gt;")</f>
        <v>2</v>
      </c>
      <c r="H47" s="55"/>
      <c r="I47" s="56">
        <v>44183</v>
      </c>
      <c r="J47" s="56">
        <v>44247</v>
      </c>
      <c r="K47" s="55">
        <f>J47-I47</f>
        <v>64</v>
      </c>
      <c r="L47" s="55">
        <v>0</v>
      </c>
      <c r="M47" s="55">
        <v>3</v>
      </c>
      <c r="N47" s="55"/>
      <c r="O47" s="56">
        <v>44381</v>
      </c>
      <c r="P47" s="56">
        <v>44445</v>
      </c>
      <c r="Q47" s="55">
        <f t="shared" si="9"/>
        <v>64</v>
      </c>
      <c r="R47" s="55">
        <v>0</v>
      </c>
      <c r="S47" s="55">
        <v>3</v>
      </c>
      <c r="T47" s="55"/>
      <c r="U47" s="56"/>
      <c r="V47" s="56"/>
      <c r="W47" s="55"/>
      <c r="X47" s="55"/>
      <c r="Y47" s="55"/>
      <c r="Z47" s="55"/>
      <c r="AA47" s="56"/>
      <c r="AB47" s="56"/>
      <c r="AC47" s="38"/>
      <c r="AD47" s="55"/>
      <c r="AE47" s="55"/>
      <c r="AF47" s="55"/>
      <c r="AG47" s="56"/>
      <c r="AH47" s="43"/>
      <c r="AI47" s="38"/>
      <c r="AJ47" s="38"/>
      <c r="AK47" s="38"/>
      <c r="AL47" s="38"/>
      <c r="AM47" s="43"/>
      <c r="AN47" s="43"/>
      <c r="AO47" s="38"/>
      <c r="AP47" s="38"/>
      <c r="AQ47" s="38"/>
      <c r="AR47" s="38"/>
      <c r="AS47" s="43"/>
      <c r="AT47" s="43"/>
      <c r="AU47" s="38"/>
      <c r="AV47" s="38"/>
      <c r="AW47" s="38"/>
      <c r="AX47" s="38"/>
      <c r="AY47" s="43"/>
      <c r="AZ47" s="43"/>
      <c r="BA47" s="38"/>
      <c r="BB47" s="38"/>
      <c r="BC47" s="38"/>
      <c r="BD47" s="38"/>
      <c r="BE47" s="43"/>
      <c r="BF47" s="43"/>
      <c r="BG47" s="38"/>
      <c r="BH47" s="38"/>
      <c r="BI47" s="38"/>
      <c r="BJ47" s="38"/>
      <c r="BK47" s="43"/>
      <c r="BL47" s="43"/>
      <c r="BM47" s="38"/>
      <c r="BN47" s="38"/>
      <c r="BO47" s="38"/>
    </row>
    <row r="48" spans="1:67" s="72" customFormat="1" thickTop="1" thickBot="1">
      <c r="A48" s="59" t="s">
        <v>171</v>
      </c>
      <c r="B48" s="58">
        <v>43915</v>
      </c>
      <c r="C48" s="57"/>
      <c r="D48" s="61"/>
      <c r="E48" s="61"/>
      <c r="F48" s="58"/>
      <c r="G48" s="59">
        <f>COUNTIFS(猫统计!I48,"&lt;&gt;")+COUNTIFS(猫统计!O48,"&lt;&gt;")+COUNTIFS(猫统计!U48,"&lt;&gt;")+COUNTIFS(猫统计!AA48,"&lt;&gt;")+COUNTIFS(猫统计!AG48,"&lt;&gt;")+COUNTIFS(猫统计!AM48,"&lt;&gt;")+COUNTIFS(猫统计!AS48,"&lt;&gt;")+COUNTIFS(猫统计!AY48,"&lt;&gt;")+COUNTIFS(猫统计!BE48,"&lt;&gt;")+COUNTIFS(猫统计!BK48,"&lt;&gt;")</f>
        <v>2</v>
      </c>
      <c r="H48" s="55"/>
      <c r="I48" s="56">
        <v>44246</v>
      </c>
      <c r="J48" s="56">
        <v>44312</v>
      </c>
      <c r="K48" s="55">
        <f>J48-I48</f>
        <v>66</v>
      </c>
      <c r="L48" s="55">
        <v>2</v>
      </c>
      <c r="M48" s="55">
        <v>4</v>
      </c>
      <c r="N48" s="55"/>
      <c r="O48" s="56">
        <v>44381</v>
      </c>
      <c r="P48" s="56">
        <v>44447</v>
      </c>
      <c r="Q48" s="55">
        <f t="shared" si="9"/>
        <v>66</v>
      </c>
      <c r="R48" s="55">
        <v>2</v>
      </c>
      <c r="S48" s="55">
        <v>2</v>
      </c>
      <c r="T48" s="55"/>
      <c r="U48" s="56"/>
      <c r="V48" s="56"/>
      <c r="W48" s="55"/>
      <c r="X48" s="55"/>
      <c r="Y48" s="55"/>
      <c r="Z48" s="55"/>
      <c r="AA48" s="56"/>
      <c r="AB48" s="56"/>
      <c r="AC48" s="38"/>
      <c r="AD48" s="55"/>
      <c r="AE48" s="55"/>
      <c r="AF48" s="55"/>
      <c r="AG48" s="56"/>
      <c r="AH48" s="70"/>
      <c r="AI48" s="71"/>
      <c r="AJ48" s="71"/>
      <c r="AK48" s="71"/>
      <c r="AL48" s="71"/>
      <c r="AM48" s="70"/>
      <c r="AN48" s="70"/>
      <c r="AO48" s="71"/>
      <c r="AP48" s="71"/>
      <c r="AQ48" s="71"/>
      <c r="AR48" s="71"/>
      <c r="AS48" s="70"/>
      <c r="AT48" s="70"/>
      <c r="AU48" s="71"/>
      <c r="AV48" s="71"/>
      <c r="AW48" s="71"/>
      <c r="AX48" s="71"/>
      <c r="AY48" s="70"/>
      <c r="AZ48" s="70"/>
      <c r="BA48" s="71"/>
      <c r="BB48" s="71"/>
      <c r="BC48" s="71"/>
      <c r="BD48" s="71"/>
      <c r="BE48" s="70"/>
      <c r="BF48" s="70"/>
      <c r="BG48" s="71"/>
      <c r="BH48" s="71"/>
      <c r="BI48" s="71"/>
      <c r="BJ48" s="71"/>
      <c r="BK48" s="70"/>
      <c r="BL48" s="70"/>
      <c r="BM48" s="71"/>
      <c r="BN48" s="71"/>
      <c r="BO48" s="71"/>
    </row>
    <row r="49" spans="1:67" thickTop="1" thickBot="1">
      <c r="A49" s="59" t="s">
        <v>566</v>
      </c>
      <c r="B49" s="58">
        <v>43961</v>
      </c>
      <c r="C49" s="57"/>
      <c r="D49" s="61"/>
      <c r="E49" s="61"/>
      <c r="F49" s="58"/>
      <c r="G49" s="59">
        <f>COUNTIFS(猫统计!I49,"&lt;&gt;")+COUNTIFS(猫统计!O49,"&lt;&gt;")+COUNTIFS(猫统计!U49,"&lt;&gt;")+COUNTIFS(猫统计!AA49,"&lt;&gt;")+COUNTIFS(猫统计!AG49,"&lt;&gt;")+COUNTIFS(猫统计!AM49,"&lt;&gt;")+COUNTIFS(猫统计!AS49,"&lt;&gt;")+COUNTIFS(猫统计!AY49,"&lt;&gt;")+COUNTIFS(猫统计!BE49,"&lt;&gt;")+COUNTIFS(猫统计!BK49,"&lt;&gt;")</f>
        <v>2</v>
      </c>
      <c r="H49" s="55"/>
      <c r="I49" s="56">
        <v>44257</v>
      </c>
      <c r="J49" s="56">
        <v>44326</v>
      </c>
      <c r="K49" s="55">
        <f>J49-I49</f>
        <v>69</v>
      </c>
      <c r="L49" s="55">
        <v>0</v>
      </c>
      <c r="M49" s="55">
        <v>1</v>
      </c>
      <c r="N49" s="55"/>
      <c r="O49" s="56">
        <v>44395</v>
      </c>
      <c r="P49" s="56">
        <v>44461</v>
      </c>
      <c r="Q49" s="55">
        <f t="shared" si="9"/>
        <v>66</v>
      </c>
      <c r="R49" s="55">
        <v>0</v>
      </c>
      <c r="S49" s="55">
        <v>3</v>
      </c>
      <c r="T49" s="55"/>
      <c r="U49" s="56"/>
      <c r="V49" s="56"/>
      <c r="W49" s="55"/>
      <c r="X49" s="55"/>
      <c r="Y49" s="55"/>
      <c r="Z49" s="55"/>
      <c r="AA49" s="56"/>
      <c r="AB49" s="56"/>
      <c r="AC49" s="38"/>
      <c r="AD49" s="55"/>
      <c r="AE49" s="55"/>
      <c r="AF49" s="55"/>
      <c r="AG49" s="56"/>
      <c r="AH49" s="43"/>
      <c r="AI49" s="38"/>
      <c r="AJ49" s="38"/>
      <c r="AK49" s="38"/>
      <c r="AL49" s="38"/>
      <c r="AM49" s="43"/>
      <c r="AN49" s="43"/>
      <c r="AO49" s="38"/>
      <c r="AP49" s="38"/>
      <c r="AQ49" s="38"/>
      <c r="AR49" s="38"/>
      <c r="AS49" s="43"/>
      <c r="AT49" s="43"/>
      <c r="AU49" s="38"/>
      <c r="AV49" s="38"/>
      <c r="AW49" s="38"/>
      <c r="AX49" s="38"/>
      <c r="AY49" s="43"/>
      <c r="AZ49" s="43"/>
      <c r="BA49" s="38"/>
      <c r="BB49" s="38"/>
      <c r="BC49" s="38"/>
      <c r="BD49" s="38"/>
      <c r="BE49" s="43"/>
      <c r="BF49" s="43"/>
      <c r="BG49" s="38"/>
      <c r="BH49" s="38"/>
      <c r="BI49" s="38"/>
      <c r="BJ49" s="38"/>
      <c r="BK49" s="43"/>
      <c r="BL49" s="43"/>
      <c r="BM49" s="38"/>
      <c r="BN49" s="38"/>
      <c r="BO49" s="38"/>
    </row>
    <row r="50" spans="1:67" thickTop="1" thickBot="1">
      <c r="A50" s="59" t="s">
        <v>467</v>
      </c>
      <c r="B50" s="58"/>
      <c r="C50" s="57"/>
      <c r="D50" s="61"/>
      <c r="E50" s="61"/>
      <c r="F50" s="58"/>
      <c r="G50" s="59">
        <f>COUNTIFS(猫统计!I50,"&lt;&gt;")+COUNTIFS(猫统计!O50,"&lt;&gt;")+COUNTIFS(猫统计!U50,"&lt;&gt;")+COUNTIFS(猫统计!AA50,"&lt;&gt;")+COUNTIFS(猫统计!AG50,"&lt;&gt;")+COUNTIFS(猫统计!AM50,"&lt;&gt;")+COUNTIFS(猫统计!AS50,"&lt;&gt;")+COUNTIFS(猫统计!AY50,"&lt;&gt;")+COUNTIFS(猫统计!BE50,"&lt;&gt;")+COUNTIFS(猫统计!BK50,"&lt;&gt;")</f>
        <v>1</v>
      </c>
      <c r="H50" s="55"/>
      <c r="I50" s="56">
        <v>44342</v>
      </c>
      <c r="J50" s="56">
        <v>44406</v>
      </c>
      <c r="K50" s="55">
        <f t="shared" ref="K50:K54" si="10">J50-I50</f>
        <v>64</v>
      </c>
      <c r="L50" s="55">
        <v>0</v>
      </c>
      <c r="M50" s="55">
        <v>7</v>
      </c>
      <c r="N50" s="55"/>
      <c r="O50" s="56"/>
      <c r="P50" s="56"/>
      <c r="Q50" s="55"/>
      <c r="R50" s="55"/>
      <c r="S50" s="55"/>
      <c r="T50" s="55"/>
      <c r="U50" s="56"/>
      <c r="V50" s="56"/>
      <c r="W50" s="55"/>
      <c r="X50" s="55"/>
      <c r="Y50" s="55"/>
      <c r="Z50" s="55"/>
      <c r="AA50" s="56"/>
      <c r="AB50" s="56"/>
      <c r="AC50" s="38"/>
      <c r="AD50" s="55"/>
      <c r="AE50" s="55"/>
      <c r="AF50" s="55"/>
      <c r="AG50" s="56"/>
      <c r="AH50" s="43"/>
      <c r="AI50" s="38"/>
      <c r="AJ50" s="38"/>
      <c r="AK50" s="38"/>
      <c r="AL50" s="38"/>
      <c r="AM50" s="43"/>
      <c r="AN50" s="43"/>
      <c r="AO50" s="38"/>
      <c r="AP50" s="38"/>
      <c r="AQ50" s="38"/>
      <c r="AR50" s="38"/>
      <c r="AS50" s="43"/>
      <c r="AT50" s="43"/>
      <c r="AU50" s="38"/>
      <c r="AV50" s="38"/>
      <c r="AW50" s="38"/>
      <c r="AX50" s="38"/>
      <c r="AY50" s="43"/>
      <c r="AZ50" s="43"/>
      <c r="BA50" s="38"/>
      <c r="BB50" s="38"/>
      <c r="BC50" s="38"/>
      <c r="BD50" s="38"/>
      <c r="BE50" s="43"/>
      <c r="BF50" s="43"/>
      <c r="BG50" s="38"/>
      <c r="BH50" s="38"/>
      <c r="BI50" s="38"/>
      <c r="BJ50" s="38"/>
      <c r="BK50" s="43"/>
      <c r="BL50" s="43"/>
      <c r="BM50" s="38"/>
      <c r="BN50" s="38"/>
      <c r="BO50" s="38"/>
    </row>
    <row r="51" spans="1:67" thickTop="1" thickBot="1">
      <c r="A51" s="59" t="s">
        <v>457</v>
      </c>
      <c r="B51" s="58"/>
      <c r="C51" s="57"/>
      <c r="D51" s="61"/>
      <c r="E51" s="61"/>
      <c r="F51" s="58"/>
      <c r="G51" s="59">
        <f>COUNTIFS(猫统计!I51,"&lt;&gt;")+COUNTIFS(猫统计!O51,"&lt;&gt;")+COUNTIFS(猫统计!U51,"&lt;&gt;")+COUNTIFS(猫统计!AA51,"&lt;&gt;")+COUNTIFS(猫统计!AG51,"&lt;&gt;")+COUNTIFS(猫统计!AM51,"&lt;&gt;")+COUNTIFS(猫统计!AS51,"&lt;&gt;")+COUNTIFS(猫统计!AY51,"&lt;&gt;")+COUNTIFS(猫统计!BE51,"&lt;&gt;")+COUNTIFS(猫统计!BK51,"&lt;&gt;")</f>
        <v>1</v>
      </c>
      <c r="H51" s="55"/>
      <c r="I51" s="56">
        <v>44347</v>
      </c>
      <c r="J51" s="56">
        <v>44412</v>
      </c>
      <c r="K51" s="55">
        <f t="shared" si="10"/>
        <v>65</v>
      </c>
      <c r="L51" s="55">
        <v>0</v>
      </c>
      <c r="M51" s="55">
        <v>7</v>
      </c>
      <c r="N51" s="55"/>
      <c r="O51" s="56"/>
      <c r="P51" s="56"/>
      <c r="Q51" s="55"/>
      <c r="R51" s="55"/>
      <c r="S51" s="55"/>
      <c r="T51" s="55"/>
      <c r="U51" s="56"/>
      <c r="V51" s="56"/>
      <c r="W51" s="55"/>
      <c r="X51" s="55"/>
      <c r="Y51" s="55"/>
      <c r="Z51" s="55"/>
      <c r="AA51" s="56"/>
      <c r="AB51" s="56"/>
      <c r="AC51" s="38"/>
      <c r="AD51" s="55"/>
      <c r="AE51" s="55"/>
      <c r="AF51" s="55"/>
      <c r="AG51" s="56"/>
      <c r="AH51" s="43"/>
      <c r="AI51" s="38"/>
      <c r="AJ51" s="38"/>
      <c r="AK51" s="38"/>
      <c r="AL51" s="38"/>
      <c r="AM51" s="43"/>
      <c r="AN51" s="43"/>
      <c r="AO51" s="38"/>
      <c r="AP51" s="38"/>
      <c r="AQ51" s="38"/>
      <c r="AR51" s="38"/>
      <c r="AS51" s="43"/>
      <c r="AT51" s="43"/>
      <c r="AU51" s="38"/>
      <c r="AV51" s="38"/>
      <c r="AW51" s="38"/>
      <c r="AX51" s="38"/>
      <c r="AY51" s="43"/>
      <c r="AZ51" s="43"/>
      <c r="BA51" s="38"/>
      <c r="BB51" s="38"/>
      <c r="BC51" s="38"/>
      <c r="BD51" s="38"/>
      <c r="BE51" s="43"/>
      <c r="BF51" s="43"/>
      <c r="BG51" s="38"/>
      <c r="BH51" s="38"/>
      <c r="BI51" s="38"/>
      <c r="BJ51" s="38"/>
      <c r="BK51" s="43"/>
      <c r="BL51" s="43"/>
      <c r="BM51" s="38"/>
      <c r="BN51" s="38"/>
      <c r="BO51" s="38"/>
    </row>
    <row r="52" spans="1:67" thickTop="1" thickBot="1">
      <c r="A52" s="59" t="s">
        <v>162</v>
      </c>
      <c r="B52" s="58">
        <v>43781</v>
      </c>
      <c r="C52" s="57"/>
      <c r="D52" s="61"/>
      <c r="E52" s="61"/>
      <c r="F52" s="58"/>
      <c r="G52" s="59">
        <f>COUNTIFS(猫统计!I52,"&lt;&gt;")+COUNTIFS(猫统计!O52,"&lt;&gt;")+COUNTIFS(猫统计!U52,"&lt;&gt;")+COUNTIFS(猫统计!AA52,"&lt;&gt;")+COUNTIFS(猫统计!AG52,"&lt;&gt;")+COUNTIFS(猫统计!AM52,"&lt;&gt;")+COUNTIFS(猫统计!AS52,"&lt;&gt;")+COUNTIFS(猫统计!AY52,"&lt;&gt;")+COUNTIFS(猫统计!BE52,"&lt;&gt;")+COUNTIFS(猫统计!BK52,"&lt;&gt;")</f>
        <v>2</v>
      </c>
      <c r="H52" s="55"/>
      <c r="I52" s="56">
        <v>44232</v>
      </c>
      <c r="J52" s="56">
        <v>44299</v>
      </c>
      <c r="K52" s="55">
        <f t="shared" si="10"/>
        <v>67</v>
      </c>
      <c r="L52" s="55">
        <v>1</v>
      </c>
      <c r="M52" s="55">
        <v>3</v>
      </c>
      <c r="N52" s="55"/>
      <c r="O52" s="56">
        <v>44412</v>
      </c>
      <c r="P52" s="56">
        <v>44478</v>
      </c>
      <c r="Q52" s="55">
        <f>P52-O52</f>
        <v>66</v>
      </c>
      <c r="R52" s="55">
        <v>0</v>
      </c>
      <c r="S52" s="55">
        <v>4</v>
      </c>
      <c r="T52" s="55"/>
      <c r="U52" s="56"/>
      <c r="V52" s="56"/>
      <c r="W52" s="55"/>
      <c r="X52" s="55"/>
      <c r="Y52" s="55"/>
      <c r="Z52" s="55"/>
      <c r="AA52" s="56"/>
      <c r="AB52" s="56"/>
      <c r="AC52" s="38"/>
      <c r="AD52" s="55"/>
      <c r="AE52" s="55"/>
      <c r="AF52" s="55"/>
      <c r="AG52" s="56"/>
      <c r="AH52" s="43"/>
      <c r="AI52" s="38"/>
      <c r="AJ52" s="38"/>
      <c r="AK52" s="38"/>
      <c r="AL52" s="38"/>
      <c r="AM52" s="43"/>
      <c r="AN52" s="43"/>
      <c r="AO52" s="38"/>
      <c r="AP52" s="38"/>
      <c r="AQ52" s="38"/>
      <c r="AR52" s="38"/>
      <c r="AS52" s="43"/>
      <c r="AT52" s="43"/>
      <c r="AU52" s="38"/>
      <c r="AV52" s="38"/>
      <c r="AW52" s="38"/>
      <c r="AX52" s="38"/>
      <c r="AY52" s="43"/>
      <c r="AZ52" s="43"/>
      <c r="BA52" s="38"/>
      <c r="BB52" s="38"/>
      <c r="BC52" s="38"/>
      <c r="BD52" s="38"/>
      <c r="BE52" s="43"/>
      <c r="BF52" s="43"/>
      <c r="BG52" s="38"/>
      <c r="BH52" s="38"/>
      <c r="BI52" s="38"/>
      <c r="BJ52" s="38"/>
      <c r="BK52" s="43"/>
      <c r="BL52" s="43"/>
      <c r="BM52" s="38"/>
      <c r="BN52" s="38"/>
      <c r="BO52" s="38"/>
    </row>
    <row r="53" spans="1:67" s="62" customFormat="1" thickTop="1" thickBot="1">
      <c r="A53" s="59" t="s">
        <v>190</v>
      </c>
      <c r="B53" s="58">
        <v>43915</v>
      </c>
      <c r="C53" s="57"/>
      <c r="D53" s="61"/>
      <c r="E53" s="61"/>
      <c r="F53" s="58"/>
      <c r="G53" s="59">
        <f>COUNTIFS(猫统计!I53,"&lt;&gt;")+COUNTIFS(猫统计!O53,"&lt;&gt;")+COUNTIFS(猫统计!U53,"&lt;&gt;")+COUNTIFS(猫统计!AA53,"&lt;&gt;")+COUNTIFS(猫统计!AG53,"&lt;&gt;")+COUNTIFS(猫统计!AM53,"&lt;&gt;")+COUNTIFS(猫统计!AS53,"&lt;&gt;")+COUNTIFS(猫统计!AY53,"&lt;&gt;")+COUNTIFS(猫统计!BE53,"&lt;&gt;")+COUNTIFS(猫统计!BK53,"&lt;&gt;")</f>
        <v>2</v>
      </c>
      <c r="H53" s="59"/>
      <c r="I53" s="58">
        <v>44215</v>
      </c>
      <c r="J53" s="58">
        <v>44280</v>
      </c>
      <c r="K53" s="59">
        <f t="shared" si="10"/>
        <v>65</v>
      </c>
      <c r="L53" s="59">
        <v>2</v>
      </c>
      <c r="M53" s="59">
        <v>2</v>
      </c>
      <c r="N53" s="59"/>
      <c r="O53" s="58">
        <v>44505</v>
      </c>
      <c r="P53" s="58">
        <v>44570</v>
      </c>
      <c r="Q53" s="59">
        <f>P53-O53</f>
        <v>65</v>
      </c>
      <c r="R53" s="59">
        <v>3</v>
      </c>
      <c r="S53" s="59">
        <v>2</v>
      </c>
      <c r="T53" s="59"/>
      <c r="U53" s="58"/>
      <c r="V53" s="58"/>
      <c r="W53" s="59"/>
      <c r="X53" s="59"/>
      <c r="Y53" s="59"/>
      <c r="Z53" s="59"/>
      <c r="AA53" s="58"/>
      <c r="AB53" s="58"/>
      <c r="AC53" s="38"/>
      <c r="AD53" s="59"/>
      <c r="AE53" s="59"/>
      <c r="AF53" s="59"/>
      <c r="AG53" s="58"/>
      <c r="AH53" s="58"/>
      <c r="AI53" s="59"/>
      <c r="AJ53" s="59"/>
      <c r="AK53" s="59"/>
      <c r="AL53" s="59"/>
      <c r="AM53" s="58"/>
      <c r="AN53" s="58"/>
      <c r="AO53" s="59"/>
      <c r="AP53" s="59"/>
      <c r="AQ53" s="59"/>
      <c r="AR53" s="59"/>
      <c r="AS53" s="58"/>
      <c r="AT53" s="58"/>
      <c r="AU53" s="59"/>
      <c r="AV53" s="59"/>
      <c r="AW53" s="59"/>
      <c r="AX53" s="59"/>
      <c r="AY53" s="58"/>
      <c r="AZ53" s="58"/>
      <c r="BA53" s="59"/>
      <c r="BB53" s="59"/>
      <c r="BC53" s="59"/>
      <c r="BD53" s="59"/>
      <c r="BE53" s="58"/>
      <c r="BF53" s="58"/>
      <c r="BG53" s="59"/>
      <c r="BH53" s="59"/>
      <c r="BI53" s="59"/>
      <c r="BJ53" s="59"/>
      <c r="BK53" s="58"/>
      <c r="BL53" s="58"/>
      <c r="BM53" s="59"/>
      <c r="BN53" s="59"/>
      <c r="BO53" s="59"/>
    </row>
    <row r="54" spans="1:67" s="62" customFormat="1" thickTop="1" thickBot="1">
      <c r="A54" s="59" t="s">
        <v>474</v>
      </c>
      <c r="B54" s="58"/>
      <c r="C54" s="57"/>
      <c r="D54" s="61"/>
      <c r="E54" s="61"/>
      <c r="F54" s="58"/>
      <c r="G54" s="59">
        <f>COUNTIFS(猫统计!I54,"&lt;&gt;")+COUNTIFS(猫统计!O54,"&lt;&gt;")+COUNTIFS(猫统计!U54,"&lt;&gt;")+COUNTIFS(猫统计!AA54,"&lt;&gt;")+COUNTIFS(猫统计!AG54,"&lt;&gt;")+COUNTIFS(猫统计!AM54,"&lt;&gt;")+COUNTIFS(猫统计!AS54,"&lt;&gt;")+COUNTIFS(猫统计!AY54,"&lt;&gt;")+COUNTIFS(猫统计!BE54,"&lt;&gt;")+COUNTIFS(猫统计!BK54,"&lt;&gt;")</f>
        <v>1</v>
      </c>
      <c r="H54" s="59"/>
      <c r="I54" s="58">
        <v>44421</v>
      </c>
      <c r="J54" s="58">
        <v>44485</v>
      </c>
      <c r="K54" s="59">
        <f t="shared" si="10"/>
        <v>64</v>
      </c>
      <c r="L54" s="59">
        <v>2</v>
      </c>
      <c r="M54" s="59">
        <v>5</v>
      </c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46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</row>
    <row r="55" spans="1:67" s="62" customFormat="1" thickTop="1" thickBot="1">
      <c r="A55" s="59" t="s">
        <v>307</v>
      </c>
      <c r="B55" s="58">
        <v>43709</v>
      </c>
      <c r="C55" s="57"/>
      <c r="D55" s="61"/>
      <c r="E55" s="61"/>
      <c r="F55" s="58"/>
      <c r="G55" s="59">
        <f>COUNTIFS(猫统计!I55,"&lt;&gt;")+COUNTIFS(猫统计!O55,"&lt;&gt;")+COUNTIFS(猫统计!U55,"&lt;&gt;")+COUNTIFS(猫统计!AA55,"&lt;&gt;")+COUNTIFS(猫统计!AG55,"&lt;&gt;")+COUNTIFS(猫统计!AM55,"&lt;&gt;")+COUNTIFS(猫统计!AS55,"&lt;&gt;")+COUNTIFS(猫统计!AY55,"&lt;&gt;")+COUNTIFS(猫统计!BE55,"&lt;&gt;")+COUNTIFS(猫统计!BK55,"&lt;&gt;")</f>
        <v>3</v>
      </c>
      <c r="H55" s="59"/>
      <c r="I55" s="58">
        <v>44064</v>
      </c>
      <c r="J55" s="58">
        <v>44132</v>
      </c>
      <c r="K55" s="59">
        <f t="shared" ref="K55:K62" si="11">J55-I55</f>
        <v>68</v>
      </c>
      <c r="L55" s="59">
        <v>0</v>
      </c>
      <c r="M55" s="59">
        <v>3</v>
      </c>
      <c r="N55" s="59"/>
      <c r="O55" s="58">
        <v>44209</v>
      </c>
      <c r="P55" s="58">
        <v>44275</v>
      </c>
      <c r="Q55" s="59">
        <f>P55-O55</f>
        <v>66</v>
      </c>
      <c r="R55" s="59">
        <v>0</v>
      </c>
      <c r="S55" s="59">
        <v>4</v>
      </c>
      <c r="T55" s="59"/>
      <c r="U55" s="58">
        <v>44370</v>
      </c>
      <c r="V55" s="58">
        <v>44435</v>
      </c>
      <c r="W55" s="59">
        <f>V55-U55</f>
        <v>65</v>
      </c>
      <c r="X55" s="59">
        <v>0</v>
      </c>
      <c r="Y55" s="59">
        <v>3</v>
      </c>
      <c r="Z55" s="59"/>
      <c r="AA55" s="58"/>
      <c r="AB55" s="58"/>
      <c r="AC55" s="38"/>
      <c r="AD55" s="59"/>
      <c r="AE55" s="59"/>
      <c r="AF55" s="59"/>
      <c r="AG55" s="58"/>
      <c r="AH55" s="58"/>
      <c r="AI55" s="59"/>
      <c r="AJ55" s="59"/>
      <c r="AK55" s="59"/>
      <c r="AL55" s="59"/>
      <c r="AM55" s="58"/>
      <c r="AN55" s="58"/>
      <c r="AO55" s="59"/>
      <c r="AP55" s="59"/>
      <c r="AQ55" s="59"/>
      <c r="AR55" s="59"/>
      <c r="AS55" s="58"/>
      <c r="AT55" s="58"/>
      <c r="AU55" s="59"/>
      <c r="AV55" s="59"/>
      <c r="AW55" s="59"/>
      <c r="AX55" s="59"/>
      <c r="AY55" s="58"/>
      <c r="AZ55" s="58"/>
      <c r="BA55" s="59"/>
      <c r="BB55" s="59"/>
      <c r="BC55" s="59"/>
      <c r="BD55" s="59"/>
      <c r="BE55" s="58"/>
      <c r="BF55" s="58"/>
      <c r="BG55" s="59"/>
      <c r="BH55" s="59"/>
      <c r="BI55" s="59"/>
      <c r="BJ55" s="59"/>
      <c r="BK55" s="58"/>
      <c r="BL55" s="58"/>
      <c r="BM55" s="59"/>
      <c r="BN55" s="59"/>
      <c r="BO55" s="59"/>
    </row>
    <row r="56" spans="1:67" s="62" customFormat="1" thickTop="1" thickBot="1">
      <c r="A56" s="59" t="s">
        <v>809</v>
      </c>
      <c r="B56" s="58">
        <v>44309</v>
      </c>
      <c r="C56" s="73"/>
      <c r="D56" s="61"/>
      <c r="E56" s="61"/>
      <c r="F56" s="58"/>
      <c r="G56" s="59">
        <f>COUNTIFS(猫统计!I56,"&lt;&gt;")+COUNTIFS(猫统计!O56,"&lt;&gt;")+COUNTIFS(猫统计!U56,"&lt;&gt;")+COUNTIFS(猫统计!AA56,"&lt;&gt;")+COUNTIFS(猫统计!AG56,"&lt;&gt;")+COUNTIFS(猫统计!AM56,"&lt;&gt;")+COUNTIFS(猫统计!AS56,"&lt;&gt;")+COUNTIFS(猫统计!AY56,"&lt;&gt;")+COUNTIFS(猫统计!BE56,"&lt;&gt;")+COUNTIFS(猫统计!BK56,"&lt;&gt;")</f>
        <v>1</v>
      </c>
      <c r="H56" s="59"/>
      <c r="I56" s="58">
        <v>44575</v>
      </c>
      <c r="J56" s="58">
        <v>44639</v>
      </c>
      <c r="K56" s="59">
        <f t="shared" si="11"/>
        <v>64</v>
      </c>
      <c r="L56" s="59">
        <v>0</v>
      </c>
      <c r="M56" s="59">
        <v>6</v>
      </c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46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</row>
    <row r="57" spans="1:67" s="62" customFormat="1" thickTop="1" thickBot="1">
      <c r="A57" s="59" t="s">
        <v>736</v>
      </c>
      <c r="B57" s="58">
        <v>44061</v>
      </c>
      <c r="C57" s="73"/>
      <c r="D57" s="61"/>
      <c r="E57" s="61"/>
      <c r="F57" s="58"/>
      <c r="G57" s="59">
        <f>COUNTIFS(猫统计!I57,"&lt;&gt;")+COUNTIFS(猫统计!O57,"&lt;&gt;")+COUNTIFS(猫统计!U57,"&lt;&gt;")+COUNTIFS(猫统计!AA57,"&lt;&gt;")+COUNTIFS(猫统计!AG57,"&lt;&gt;")+COUNTIFS(猫统计!AM57,"&lt;&gt;")+COUNTIFS(猫统计!AS57,"&lt;&gt;")+COUNTIFS(猫统计!AY57,"&lt;&gt;")+COUNTIFS(猫统计!BE57,"&lt;&gt;")+COUNTIFS(猫统计!BK57,"&lt;&gt;")</f>
        <v>1</v>
      </c>
      <c r="H57" s="59"/>
      <c r="I57" s="58">
        <v>44393</v>
      </c>
      <c r="J57" s="58">
        <v>44456</v>
      </c>
      <c r="K57" s="59">
        <f t="shared" si="11"/>
        <v>63</v>
      </c>
      <c r="L57" s="59">
        <v>0</v>
      </c>
      <c r="M57" s="59">
        <v>4</v>
      </c>
      <c r="N57" s="59"/>
      <c r="O57" s="58"/>
      <c r="P57" s="58"/>
      <c r="Q57" s="59"/>
      <c r="R57" s="59"/>
      <c r="S57" s="59"/>
      <c r="T57" s="59"/>
      <c r="U57" s="58"/>
      <c r="V57" s="58"/>
      <c r="W57" s="59"/>
      <c r="X57" s="59"/>
      <c r="Y57" s="59"/>
      <c r="Z57" s="59"/>
      <c r="AA57" s="58"/>
      <c r="AB57" s="58"/>
      <c r="AC57" s="38"/>
      <c r="AD57" s="59"/>
      <c r="AE57" s="59"/>
      <c r="AF57" s="59"/>
      <c r="AG57" s="58"/>
      <c r="AH57" s="58"/>
      <c r="AI57" s="59"/>
      <c r="AJ57" s="59"/>
      <c r="AK57" s="59"/>
      <c r="AL57" s="59"/>
      <c r="AM57" s="58"/>
      <c r="AN57" s="58"/>
      <c r="AO57" s="59"/>
      <c r="AP57" s="59"/>
      <c r="AQ57" s="59"/>
      <c r="AR57" s="59"/>
      <c r="AS57" s="58"/>
      <c r="AT57" s="58"/>
      <c r="AU57" s="59"/>
      <c r="AV57" s="59"/>
      <c r="AW57" s="59"/>
      <c r="AX57" s="59"/>
      <c r="AY57" s="58"/>
      <c r="AZ57" s="58"/>
      <c r="BA57" s="59"/>
      <c r="BB57" s="59"/>
      <c r="BC57" s="59"/>
      <c r="BD57" s="59"/>
      <c r="BE57" s="58"/>
      <c r="BF57" s="58"/>
      <c r="BG57" s="59"/>
      <c r="BH57" s="59"/>
      <c r="BI57" s="59"/>
      <c r="BJ57" s="59"/>
      <c r="BK57" s="58"/>
      <c r="BL57" s="58"/>
      <c r="BM57" s="59"/>
      <c r="BN57" s="59"/>
      <c r="BO57" s="59"/>
    </row>
    <row r="58" spans="1:67" s="69" customFormat="1" thickTop="1" thickBot="1">
      <c r="A58" s="59" t="s">
        <v>681</v>
      </c>
      <c r="B58" s="58">
        <v>44283</v>
      </c>
      <c r="C58" s="73"/>
      <c r="D58" s="61"/>
      <c r="E58" s="61"/>
      <c r="F58" s="58"/>
      <c r="G58" s="59">
        <f>COUNTIFS(猫统计!I58,"&lt;&gt;")+COUNTIFS(猫统计!O58,"&lt;&gt;")+COUNTIFS(猫统计!U58,"&lt;&gt;")+COUNTIFS(猫统计!AA58,"&lt;&gt;")+COUNTIFS(猫统计!AG58,"&lt;&gt;")+COUNTIFS(猫统计!AM58,"&lt;&gt;")+COUNTIFS(猫统计!AS58,"&lt;&gt;")+COUNTIFS(猫统计!AY58,"&lt;&gt;")+COUNTIFS(猫统计!BE58,"&lt;&gt;")+COUNTIFS(猫统计!BK58,"&lt;&gt;")</f>
        <v>1</v>
      </c>
      <c r="H58" s="59"/>
      <c r="I58" s="58">
        <v>44607</v>
      </c>
      <c r="J58" s="58">
        <v>44674</v>
      </c>
      <c r="K58" s="59">
        <f t="shared" si="11"/>
        <v>67</v>
      </c>
      <c r="L58" s="59">
        <v>2</v>
      </c>
      <c r="M58" s="59">
        <v>1</v>
      </c>
      <c r="N58" s="59"/>
      <c r="O58" s="58"/>
      <c r="P58" s="58"/>
      <c r="Q58" s="59"/>
      <c r="R58" s="59"/>
      <c r="S58" s="59"/>
      <c r="T58" s="59"/>
      <c r="U58" s="58"/>
      <c r="V58" s="58"/>
      <c r="W58" s="59"/>
      <c r="X58" s="59"/>
      <c r="Y58" s="59"/>
      <c r="Z58" s="59"/>
      <c r="AA58" s="58"/>
      <c r="AB58" s="58"/>
      <c r="AC58" s="38"/>
      <c r="AD58" s="59"/>
      <c r="AE58" s="59"/>
      <c r="AF58" s="59"/>
      <c r="AG58" s="58"/>
      <c r="AH58" s="58"/>
      <c r="AI58" s="59"/>
      <c r="AJ58" s="59"/>
      <c r="AK58" s="59"/>
      <c r="AL58" s="59"/>
      <c r="AM58" s="58"/>
      <c r="AN58" s="58"/>
      <c r="AO58" s="59"/>
      <c r="AP58" s="59"/>
      <c r="AQ58" s="59"/>
      <c r="AR58" s="59"/>
      <c r="AS58" s="58"/>
      <c r="AT58" s="58"/>
      <c r="AU58" s="59"/>
      <c r="AV58" s="59"/>
      <c r="AW58" s="59"/>
      <c r="AX58" s="59"/>
      <c r="AY58" s="58"/>
      <c r="AZ58" s="58"/>
      <c r="BA58" s="59"/>
      <c r="BB58" s="59"/>
      <c r="BC58" s="59"/>
      <c r="BD58" s="59"/>
      <c r="BE58" s="58"/>
      <c r="BF58" s="58"/>
      <c r="BG58" s="59"/>
      <c r="BH58" s="59"/>
      <c r="BI58" s="59"/>
      <c r="BJ58" s="59"/>
      <c r="BK58" s="58"/>
      <c r="BL58" s="58"/>
      <c r="BM58" s="59"/>
      <c r="BN58" s="59"/>
      <c r="BO58" s="59"/>
    </row>
    <row r="59" spans="1:67" s="69" customFormat="1" thickTop="1" thickBot="1">
      <c r="A59" s="66" t="s">
        <v>591</v>
      </c>
      <c r="B59" s="67"/>
      <c r="C59" s="73"/>
      <c r="D59" s="61"/>
      <c r="E59" s="61"/>
      <c r="F59" s="58"/>
      <c r="G59" s="59">
        <f>COUNTIFS(猫统计!I59,"&lt;&gt;")+COUNTIFS(猫统计!O59,"&lt;&gt;")+COUNTIFS(猫统计!U59,"&lt;&gt;")+COUNTIFS(猫统计!AA59,"&lt;&gt;")+COUNTIFS(猫统计!AG59,"&lt;&gt;")+COUNTIFS(猫统计!AM59,"&lt;&gt;")+COUNTIFS(猫统计!AS59,"&lt;&gt;")+COUNTIFS(猫统计!AY59,"&lt;&gt;")+COUNTIFS(猫统计!BE59,"&lt;&gt;")+COUNTIFS(猫统计!BK59,"&lt;&gt;")</f>
        <v>1</v>
      </c>
      <c r="H59" s="66"/>
      <c r="I59" s="58">
        <v>44677</v>
      </c>
      <c r="J59" s="58">
        <v>44739</v>
      </c>
      <c r="K59" s="59">
        <f t="shared" si="11"/>
        <v>62</v>
      </c>
      <c r="L59" s="66">
        <v>2</v>
      </c>
      <c r="M59" s="66">
        <v>2</v>
      </c>
      <c r="N59" s="74"/>
      <c r="O59" s="74"/>
      <c r="P59" s="74"/>
      <c r="Q59" s="74"/>
      <c r="R59" s="74"/>
      <c r="S59" s="74"/>
      <c r="T59" s="74"/>
      <c r="U59" s="74"/>
      <c r="V59" s="74"/>
      <c r="W59" s="64"/>
      <c r="X59" s="74"/>
      <c r="Y59" s="74"/>
      <c r="Z59" s="74"/>
      <c r="AA59" s="74"/>
      <c r="AB59" s="74"/>
      <c r="AC59" s="46"/>
      <c r="AD59" s="74"/>
      <c r="AE59" s="74"/>
      <c r="AF59" s="74"/>
      <c r="AG59" s="74"/>
      <c r="AH59" s="74"/>
      <c r="AI59" s="64"/>
      <c r="AJ59" s="74"/>
      <c r="AK59" s="74"/>
      <c r="AL59" s="74"/>
      <c r="AM59" s="74"/>
      <c r="AN59" s="74"/>
      <c r="AO59" s="64"/>
      <c r="AP59" s="74"/>
      <c r="AQ59" s="74"/>
      <c r="AR59" s="74"/>
      <c r="AS59" s="74"/>
      <c r="AT59" s="74"/>
      <c r="AU59" s="64"/>
      <c r="AV59" s="74"/>
      <c r="AW59" s="74"/>
      <c r="AX59" s="74"/>
      <c r="AY59" s="74"/>
      <c r="AZ59" s="74"/>
      <c r="BA59" s="64"/>
      <c r="BB59" s="74"/>
      <c r="BC59" s="74"/>
      <c r="BD59" s="74"/>
      <c r="BE59" s="74"/>
      <c r="BF59" s="74"/>
      <c r="BG59" s="64"/>
      <c r="BH59" s="74"/>
      <c r="BI59" s="74"/>
      <c r="BJ59" s="74"/>
      <c r="BK59" s="74"/>
      <c r="BL59" s="74"/>
      <c r="BM59" s="64"/>
      <c r="BN59" s="74"/>
      <c r="BO59" s="74"/>
    </row>
    <row r="60" spans="1:67" s="69" customFormat="1" thickTop="1" thickBot="1">
      <c r="A60" s="59" t="s">
        <v>170</v>
      </c>
      <c r="B60" s="58">
        <v>43875</v>
      </c>
      <c r="C60" s="73"/>
      <c r="D60" s="61"/>
      <c r="E60" s="61"/>
      <c r="F60" s="58"/>
      <c r="G60" s="59">
        <f>COUNTIFS(猫统计!I60,"&lt;&gt;")+COUNTIFS(猫统计!O60,"&lt;&gt;")+COUNTIFS(猫统计!U60,"&lt;&gt;")+COUNTIFS(猫统计!AA60,"&lt;&gt;")+COUNTIFS(猫统计!AG60,"&lt;&gt;")+COUNTIFS(猫统计!AM60,"&lt;&gt;")+COUNTIFS(猫统计!AS60,"&lt;&gt;")+COUNTIFS(猫统计!AY60,"&lt;&gt;")+COUNTIFS(猫统计!BE60,"&lt;&gt;")+COUNTIFS(猫统计!BK60,"&lt;&gt;")</f>
        <v>2</v>
      </c>
      <c r="H60" s="59"/>
      <c r="I60" s="58">
        <v>44433</v>
      </c>
      <c r="J60" s="58">
        <v>44498</v>
      </c>
      <c r="K60" s="59">
        <f t="shared" si="11"/>
        <v>65</v>
      </c>
      <c r="L60" s="59">
        <v>2</v>
      </c>
      <c r="M60" s="59">
        <v>4</v>
      </c>
      <c r="N60" s="59"/>
      <c r="O60" s="58">
        <v>44641</v>
      </c>
      <c r="P60" s="58">
        <v>44707</v>
      </c>
      <c r="Q60" s="59">
        <f>P60-O60</f>
        <v>66</v>
      </c>
      <c r="R60" s="59">
        <v>0</v>
      </c>
      <c r="S60" s="59">
        <v>6</v>
      </c>
      <c r="T60" s="59"/>
      <c r="U60" s="58"/>
      <c r="V60" s="58"/>
      <c r="W60" s="59"/>
      <c r="X60" s="59"/>
      <c r="Y60" s="59"/>
      <c r="Z60" s="59"/>
      <c r="AA60" s="58"/>
      <c r="AB60" s="58"/>
      <c r="AC60" s="38"/>
      <c r="AD60" s="59"/>
      <c r="AE60" s="59"/>
      <c r="AF60" s="59"/>
      <c r="AG60" s="58"/>
      <c r="AH60" s="58"/>
      <c r="AI60" s="59"/>
      <c r="AJ60" s="59"/>
      <c r="AK60" s="59"/>
      <c r="AL60" s="59"/>
      <c r="AM60" s="58"/>
      <c r="AN60" s="58"/>
      <c r="AO60" s="59"/>
      <c r="AP60" s="59"/>
      <c r="AQ60" s="59"/>
      <c r="AR60" s="59"/>
      <c r="AS60" s="58"/>
      <c r="AT60" s="58"/>
      <c r="AU60" s="59"/>
      <c r="AV60" s="59"/>
      <c r="AW60" s="59"/>
      <c r="AX60" s="59"/>
      <c r="AY60" s="58"/>
      <c r="AZ60" s="58"/>
      <c r="BA60" s="59"/>
      <c r="BB60" s="59"/>
      <c r="BC60" s="59"/>
      <c r="BD60" s="59"/>
      <c r="BE60" s="58"/>
      <c r="BF60" s="58"/>
      <c r="BG60" s="59"/>
      <c r="BH60" s="59"/>
      <c r="BI60" s="59"/>
      <c r="BJ60" s="59"/>
      <c r="BK60" s="58"/>
      <c r="BL60" s="58"/>
      <c r="BM60" s="59"/>
      <c r="BN60" s="59"/>
      <c r="BO60" s="59"/>
    </row>
    <row r="61" spans="1:67" s="62" customFormat="1" thickTop="1" thickBot="1">
      <c r="A61" s="59" t="s">
        <v>362</v>
      </c>
      <c r="B61" s="58">
        <v>44097</v>
      </c>
      <c r="C61" s="73"/>
      <c r="D61" s="61"/>
      <c r="E61" s="61"/>
      <c r="F61" s="58"/>
      <c r="G61" s="59">
        <f>COUNTIFS(猫统计!I61,"&lt;&gt;")+COUNTIFS(猫统计!O61,"&lt;&gt;")+COUNTIFS(猫统计!U61,"&lt;&gt;")+COUNTIFS(猫统计!AA61,"&lt;&gt;")+COUNTIFS(猫统计!AG61,"&lt;&gt;")+COUNTIFS(猫统计!AM61,"&lt;&gt;")+COUNTIFS(猫统计!AS61,"&lt;&gt;")+COUNTIFS(猫统计!AY61,"&lt;&gt;")+COUNTIFS(猫统计!BE61,"&lt;&gt;")+COUNTIFS(猫统计!BK61,"&lt;&gt;")</f>
        <v>2</v>
      </c>
      <c r="H61" s="59"/>
      <c r="I61" s="58">
        <v>44366</v>
      </c>
      <c r="J61" s="58">
        <v>44430</v>
      </c>
      <c r="K61" s="59">
        <f t="shared" si="11"/>
        <v>64</v>
      </c>
      <c r="L61" s="59">
        <v>0</v>
      </c>
      <c r="M61" s="59">
        <v>5</v>
      </c>
      <c r="N61" s="59"/>
      <c r="O61" s="58">
        <v>44651</v>
      </c>
      <c r="P61" s="58">
        <v>44715</v>
      </c>
      <c r="Q61" s="59">
        <f>P61-O61</f>
        <v>64</v>
      </c>
      <c r="R61" s="59">
        <v>0</v>
      </c>
      <c r="S61" s="59">
        <v>5</v>
      </c>
      <c r="T61" s="59"/>
      <c r="U61" s="58"/>
      <c r="V61" s="58"/>
      <c r="W61" s="59"/>
      <c r="X61" s="59"/>
      <c r="Y61" s="59"/>
      <c r="Z61" s="59"/>
      <c r="AA61" s="58"/>
      <c r="AB61" s="58"/>
      <c r="AC61" s="38"/>
      <c r="AD61" s="59"/>
      <c r="AE61" s="59"/>
      <c r="AF61" s="59"/>
      <c r="AG61" s="58"/>
      <c r="AH61" s="58"/>
      <c r="AI61" s="59"/>
      <c r="AJ61" s="59"/>
      <c r="AK61" s="59"/>
      <c r="AL61" s="59"/>
      <c r="AM61" s="58"/>
      <c r="AN61" s="58"/>
      <c r="AO61" s="59"/>
      <c r="AP61" s="59"/>
      <c r="AQ61" s="59"/>
      <c r="AR61" s="59"/>
      <c r="AS61" s="58"/>
      <c r="AT61" s="58"/>
      <c r="AU61" s="59"/>
      <c r="AV61" s="59"/>
      <c r="AW61" s="59"/>
      <c r="AX61" s="59"/>
      <c r="AY61" s="58"/>
      <c r="AZ61" s="58"/>
      <c r="BA61" s="59"/>
      <c r="BB61" s="59"/>
      <c r="BC61" s="59"/>
      <c r="BD61" s="59"/>
      <c r="BE61" s="58"/>
      <c r="BF61" s="58"/>
      <c r="BG61" s="59"/>
      <c r="BH61" s="59"/>
      <c r="BI61" s="59"/>
      <c r="BJ61" s="59"/>
      <c r="BK61" s="58"/>
      <c r="BL61" s="58"/>
      <c r="BM61" s="59"/>
      <c r="BN61" s="59"/>
      <c r="BO61" s="59"/>
    </row>
    <row r="62" spans="1:67" s="62" customFormat="1" thickTop="1" thickBot="1">
      <c r="A62" s="59" t="s">
        <v>811</v>
      </c>
      <c r="B62" s="58">
        <v>44271</v>
      </c>
      <c r="C62" s="73"/>
      <c r="D62" s="61"/>
      <c r="E62" s="61"/>
      <c r="F62" s="58"/>
      <c r="G62" s="59">
        <f>COUNTIFS(猫统计!I62,"&lt;&gt;")+COUNTIFS(猫统计!O62,"&lt;&gt;")+COUNTIFS(猫统计!U62,"&lt;&gt;")+COUNTIFS(猫统计!AA62,"&lt;&gt;")+COUNTIFS(猫统计!AG62,"&lt;&gt;")+COUNTIFS(猫统计!AM62,"&lt;&gt;")+COUNTIFS(猫统计!AS62,"&lt;&gt;")+COUNTIFS(猫统计!AY62,"&lt;&gt;")+COUNTIFS(猫统计!BE62,"&lt;&gt;")+COUNTIFS(猫统计!BK62,"&lt;&gt;")</f>
        <v>1</v>
      </c>
      <c r="H62" s="59"/>
      <c r="I62" s="58">
        <v>44600</v>
      </c>
      <c r="J62" s="58">
        <v>44662</v>
      </c>
      <c r="K62" s="59">
        <f t="shared" si="11"/>
        <v>62</v>
      </c>
      <c r="L62" s="59">
        <v>3</v>
      </c>
      <c r="M62" s="59">
        <v>1</v>
      </c>
      <c r="N62" s="59"/>
      <c r="O62" s="58"/>
      <c r="P62" s="58"/>
      <c r="Q62" s="59"/>
      <c r="R62" s="59"/>
      <c r="S62" s="59"/>
      <c r="T62" s="59"/>
      <c r="U62" s="58"/>
      <c r="V62" s="58"/>
      <c r="W62" s="59"/>
      <c r="X62" s="59"/>
      <c r="Y62" s="59"/>
      <c r="Z62" s="59"/>
      <c r="AA62" s="58"/>
      <c r="AB62" s="58"/>
      <c r="AC62" s="38"/>
      <c r="AD62" s="59"/>
      <c r="AE62" s="59"/>
      <c r="AF62" s="59"/>
      <c r="AG62" s="58"/>
      <c r="AH62" s="58"/>
      <c r="AI62" s="59"/>
      <c r="AJ62" s="59"/>
      <c r="AK62" s="59"/>
      <c r="AL62" s="59"/>
      <c r="AM62" s="58"/>
      <c r="AN62" s="58"/>
      <c r="AO62" s="59"/>
      <c r="AP62" s="59"/>
      <c r="AQ62" s="59"/>
      <c r="AR62" s="59"/>
      <c r="AS62" s="58"/>
      <c r="AT62" s="58"/>
      <c r="AU62" s="59"/>
      <c r="AV62" s="59"/>
      <c r="AW62" s="59"/>
      <c r="AX62" s="59"/>
      <c r="AY62" s="58"/>
      <c r="AZ62" s="58"/>
      <c r="BA62" s="59"/>
      <c r="BB62" s="59"/>
      <c r="BC62" s="59"/>
      <c r="BD62" s="59"/>
      <c r="BE62" s="58"/>
      <c r="BF62" s="58"/>
      <c r="BG62" s="59"/>
      <c r="BH62" s="59"/>
      <c r="BI62" s="59"/>
      <c r="BJ62" s="59"/>
      <c r="BK62" s="58"/>
      <c r="BL62" s="58"/>
      <c r="BM62" s="59"/>
      <c r="BN62" s="59"/>
      <c r="BO62" s="59"/>
    </row>
    <row r="63" spans="1:67" s="62" customFormat="1" thickTop="1" thickBot="1">
      <c r="A63" s="59" t="s">
        <v>524</v>
      </c>
      <c r="B63" s="58">
        <v>44118</v>
      </c>
      <c r="C63" s="73"/>
      <c r="D63" s="61"/>
      <c r="E63" s="61"/>
      <c r="F63" s="58"/>
      <c r="G63" s="59">
        <f>COUNTIFS(猫统计!I63,"&lt;&gt;")+COUNTIFS(猫统计!O63,"&lt;&gt;")+COUNTIFS(猫统计!U63,"&lt;&gt;")+COUNTIFS(猫统计!AA63,"&lt;&gt;")+COUNTIFS(猫统计!AG63,"&lt;&gt;")+COUNTIFS(猫统计!AM63,"&lt;&gt;")+COUNTIFS(猫统计!AS63,"&lt;&gt;")+COUNTIFS(猫统计!AY63,"&lt;&gt;")+COUNTIFS(猫统计!BE63,"&lt;&gt;")+COUNTIFS(猫统计!BK63,"&lt;&gt;")</f>
        <v>3</v>
      </c>
      <c r="H63" s="59"/>
      <c r="I63" s="58">
        <v>44489</v>
      </c>
      <c r="J63" s="58">
        <v>44552</v>
      </c>
      <c r="K63" s="59">
        <f t="shared" ref="K63:K68" si="12">J63-I63</f>
        <v>63</v>
      </c>
      <c r="L63" s="59">
        <v>0</v>
      </c>
      <c r="M63" s="59">
        <v>5</v>
      </c>
      <c r="N63" s="59"/>
      <c r="O63" s="58">
        <v>44529</v>
      </c>
      <c r="P63" s="58">
        <v>44595</v>
      </c>
      <c r="Q63" s="59">
        <f>P63-O63</f>
        <v>66</v>
      </c>
      <c r="R63" s="59">
        <v>0</v>
      </c>
      <c r="S63" s="59">
        <v>4</v>
      </c>
      <c r="T63" s="59"/>
      <c r="U63" s="58">
        <v>44677</v>
      </c>
      <c r="V63" s="58">
        <v>44740</v>
      </c>
      <c r="W63" s="59">
        <f>V63-U63</f>
        <v>63</v>
      </c>
      <c r="X63" s="59">
        <v>1</v>
      </c>
      <c r="Y63" s="59">
        <v>3</v>
      </c>
      <c r="Z63" s="59"/>
      <c r="AA63" s="58"/>
      <c r="AB63" s="58"/>
      <c r="AC63" s="38"/>
      <c r="AD63" s="59"/>
      <c r="AE63" s="59"/>
      <c r="AF63" s="59"/>
      <c r="AG63" s="58"/>
      <c r="AH63" s="58"/>
      <c r="AI63" s="59"/>
      <c r="AJ63" s="59"/>
      <c r="AK63" s="59"/>
      <c r="AL63" s="59"/>
      <c r="AM63" s="58"/>
      <c r="AN63" s="58"/>
      <c r="AO63" s="59"/>
      <c r="AP63" s="59"/>
      <c r="AQ63" s="59"/>
      <c r="AR63" s="59"/>
      <c r="AS63" s="58"/>
      <c r="AT63" s="58"/>
      <c r="AU63" s="59"/>
      <c r="AV63" s="59"/>
      <c r="AW63" s="59"/>
      <c r="AX63" s="59"/>
      <c r="AY63" s="58"/>
      <c r="AZ63" s="58"/>
      <c r="BA63" s="59"/>
      <c r="BB63" s="59"/>
      <c r="BC63" s="59"/>
      <c r="BD63" s="59"/>
      <c r="BE63" s="58"/>
      <c r="BF63" s="58"/>
      <c r="BG63" s="59"/>
      <c r="BH63" s="59"/>
      <c r="BI63" s="59"/>
      <c r="BJ63" s="59"/>
      <c r="BK63" s="58"/>
      <c r="BL63" s="58"/>
      <c r="BM63" s="59"/>
      <c r="BN63" s="59"/>
      <c r="BO63" s="59"/>
    </row>
    <row r="64" spans="1:67" s="62" customFormat="1" thickTop="1" thickBot="1">
      <c r="A64" s="59" t="s">
        <v>812</v>
      </c>
      <c r="B64" s="58">
        <v>44312</v>
      </c>
      <c r="C64" s="73"/>
      <c r="D64" s="61"/>
      <c r="E64" s="61"/>
      <c r="F64" s="58"/>
      <c r="G64" s="59">
        <f>COUNTIFS(猫统计!I64,"&lt;&gt;")+COUNTIFS(猫统计!O64,"&lt;&gt;")+COUNTIFS(猫统计!U64,"&lt;&gt;")+COUNTIFS(猫统计!AA64,"&lt;&gt;")+COUNTIFS(猫统计!AG64,"&lt;&gt;")+COUNTIFS(猫统计!AM64,"&lt;&gt;")+COUNTIFS(猫统计!AS64,"&lt;&gt;")+COUNTIFS(猫统计!AY64,"&lt;&gt;")+COUNTIFS(猫统计!BE64,"&lt;&gt;")+COUNTIFS(猫统计!BK64,"&lt;&gt;")</f>
        <v>2</v>
      </c>
      <c r="H64" s="59"/>
      <c r="I64" s="58">
        <v>44593</v>
      </c>
      <c r="J64" s="58">
        <v>44657</v>
      </c>
      <c r="K64" s="59">
        <f t="shared" si="12"/>
        <v>64</v>
      </c>
      <c r="L64" s="59">
        <v>0</v>
      </c>
      <c r="M64" s="59">
        <v>5</v>
      </c>
      <c r="N64" s="59"/>
      <c r="O64" s="58">
        <v>44721</v>
      </c>
      <c r="P64" s="58">
        <v>44786</v>
      </c>
      <c r="Q64" s="59">
        <f>P64-O64</f>
        <v>65</v>
      </c>
      <c r="R64" s="59">
        <v>0</v>
      </c>
      <c r="S64" s="59">
        <v>5</v>
      </c>
      <c r="T64" s="59"/>
      <c r="U64" s="58"/>
      <c r="V64" s="58"/>
      <c r="W64" s="59"/>
      <c r="X64" s="59"/>
      <c r="Y64" s="59"/>
      <c r="Z64" s="59"/>
      <c r="AA64" s="58"/>
      <c r="AB64" s="58"/>
      <c r="AC64" s="38"/>
      <c r="AD64" s="59"/>
      <c r="AE64" s="59"/>
      <c r="AF64" s="59"/>
      <c r="AG64" s="58"/>
      <c r="AH64" s="58"/>
      <c r="AI64" s="59"/>
      <c r="AJ64" s="59"/>
      <c r="AK64" s="59"/>
      <c r="AL64" s="59"/>
      <c r="AM64" s="58"/>
      <c r="AN64" s="58"/>
      <c r="AO64" s="59"/>
      <c r="AP64" s="59"/>
      <c r="AQ64" s="59"/>
      <c r="AR64" s="59"/>
      <c r="AS64" s="58"/>
      <c r="AT64" s="58"/>
      <c r="AU64" s="59"/>
      <c r="AV64" s="59"/>
      <c r="AW64" s="59"/>
      <c r="AX64" s="59"/>
      <c r="AY64" s="58"/>
      <c r="AZ64" s="58"/>
      <c r="BA64" s="59"/>
      <c r="BB64" s="59"/>
      <c r="BC64" s="59"/>
      <c r="BD64" s="59"/>
      <c r="BE64" s="58"/>
      <c r="BF64" s="58"/>
      <c r="BG64" s="59"/>
      <c r="BH64" s="59"/>
      <c r="BI64" s="59"/>
      <c r="BJ64" s="59"/>
      <c r="BK64" s="58"/>
      <c r="BL64" s="58"/>
      <c r="BM64" s="59"/>
      <c r="BN64" s="59"/>
      <c r="BO64" s="59"/>
    </row>
    <row r="65" spans="1:67" s="62" customFormat="1" thickTop="1" thickBot="1">
      <c r="A65" s="59" t="s">
        <v>928</v>
      </c>
      <c r="B65" s="58">
        <v>44447</v>
      </c>
      <c r="C65" s="73"/>
      <c r="D65" s="61"/>
      <c r="E65" s="61"/>
      <c r="F65" s="58"/>
      <c r="G65" s="59">
        <f>COUNTIFS(猫统计!I65,"&lt;&gt;")+COUNTIFS(猫统计!O65,"&lt;&gt;")+COUNTIFS(猫统计!U65,"&lt;&gt;")+COUNTIFS(猫统计!AA65,"&lt;&gt;")+COUNTIFS(猫统计!AG65,"&lt;&gt;")+COUNTIFS(猫统计!AM65,"&lt;&gt;")+COUNTIFS(猫统计!AS65,"&lt;&gt;")+COUNTIFS(猫统计!AY65,"&lt;&gt;")+COUNTIFS(猫统计!BE65,"&lt;&gt;")+COUNTIFS(猫统计!BK65,"&lt;&gt;")</f>
        <v>1</v>
      </c>
      <c r="H65" s="59"/>
      <c r="I65" s="58">
        <v>44711</v>
      </c>
      <c r="J65" s="58">
        <v>44778</v>
      </c>
      <c r="K65" s="59">
        <f t="shared" si="12"/>
        <v>67</v>
      </c>
      <c r="L65" s="59">
        <v>1</v>
      </c>
      <c r="M65" s="59">
        <v>3</v>
      </c>
      <c r="N65" s="59"/>
      <c r="O65" s="58"/>
      <c r="P65" s="58"/>
      <c r="Q65" s="59"/>
      <c r="R65" s="59"/>
      <c r="S65" s="59"/>
      <c r="T65" s="59"/>
      <c r="U65" s="58"/>
      <c r="V65" s="58"/>
      <c r="W65" s="59"/>
      <c r="X65" s="59"/>
      <c r="Y65" s="59"/>
      <c r="Z65" s="59"/>
      <c r="AA65" s="58"/>
      <c r="AB65" s="58"/>
      <c r="AC65" s="38"/>
      <c r="AD65" s="59"/>
      <c r="AE65" s="59"/>
      <c r="AF65" s="59"/>
      <c r="AG65" s="58"/>
      <c r="AH65" s="58"/>
      <c r="AI65" s="59"/>
      <c r="AJ65" s="59"/>
      <c r="AK65" s="59"/>
      <c r="AL65" s="59"/>
      <c r="AM65" s="58"/>
      <c r="AN65" s="58"/>
      <c r="AO65" s="59"/>
      <c r="AP65" s="59"/>
      <c r="AQ65" s="59"/>
      <c r="AR65" s="59"/>
      <c r="AS65" s="58"/>
      <c r="AT65" s="58"/>
      <c r="AU65" s="59"/>
      <c r="AV65" s="59"/>
      <c r="AW65" s="59"/>
      <c r="AX65" s="59"/>
      <c r="AY65" s="58"/>
      <c r="AZ65" s="58"/>
      <c r="BA65" s="59"/>
      <c r="BB65" s="59"/>
      <c r="BC65" s="59"/>
      <c r="BD65" s="59"/>
      <c r="BE65" s="58"/>
      <c r="BF65" s="58"/>
      <c r="BG65" s="59"/>
      <c r="BH65" s="59"/>
      <c r="BI65" s="59"/>
      <c r="BJ65" s="59"/>
      <c r="BK65" s="58"/>
      <c r="BL65" s="58"/>
      <c r="BM65" s="59"/>
      <c r="BN65" s="59"/>
      <c r="BO65" s="59"/>
    </row>
    <row r="66" spans="1:67" s="62" customFormat="1" thickTop="1" thickBot="1">
      <c r="A66" s="59" t="s">
        <v>896</v>
      </c>
      <c r="B66" s="58">
        <v>43969</v>
      </c>
      <c r="C66" s="73"/>
      <c r="D66" s="61"/>
      <c r="E66" s="61"/>
      <c r="F66" s="58"/>
      <c r="G66" s="59">
        <f>COUNTIFS(猫统计!I66,"&lt;&gt;")+COUNTIFS(猫统计!O66,"&lt;&gt;")+COUNTIFS(猫统计!U66,"&lt;&gt;")+COUNTIFS(猫统计!AA66,"&lt;&gt;")+COUNTIFS(猫统计!AG66,"&lt;&gt;")+COUNTIFS(猫统计!AM66,"&lt;&gt;")+COUNTIFS(猫统计!AS66,"&lt;&gt;")+COUNTIFS(猫统计!AY66,"&lt;&gt;")+COUNTIFS(猫统计!BE66,"&lt;&gt;")+COUNTIFS(猫统计!BK66,"&lt;&gt;")</f>
        <v>2</v>
      </c>
      <c r="H66" s="59"/>
      <c r="I66" s="58">
        <v>44519</v>
      </c>
      <c r="J66" s="58">
        <v>44585</v>
      </c>
      <c r="K66" s="59">
        <f t="shared" si="12"/>
        <v>66</v>
      </c>
      <c r="L66" s="59">
        <v>1</v>
      </c>
      <c r="M66" s="59">
        <v>4</v>
      </c>
      <c r="N66" s="59"/>
      <c r="O66" s="58">
        <v>44751</v>
      </c>
      <c r="P66" s="58">
        <v>44814</v>
      </c>
      <c r="Q66" s="59">
        <f>P66-O66</f>
        <v>63</v>
      </c>
      <c r="R66" s="59">
        <v>0</v>
      </c>
      <c r="S66" s="59">
        <v>5</v>
      </c>
      <c r="T66" s="59"/>
      <c r="U66" s="58"/>
      <c r="V66" s="58"/>
      <c r="W66" s="59"/>
      <c r="X66" s="59"/>
      <c r="Y66" s="59"/>
      <c r="Z66" s="59"/>
      <c r="AA66" s="58"/>
      <c r="AB66" s="58"/>
      <c r="AC66" s="38"/>
      <c r="AD66" s="59"/>
      <c r="AE66" s="59"/>
      <c r="AF66" s="59"/>
      <c r="AG66" s="58"/>
      <c r="AH66" s="58"/>
      <c r="AI66" s="59"/>
      <c r="AJ66" s="59"/>
      <c r="AK66" s="59"/>
      <c r="AL66" s="59"/>
      <c r="AM66" s="58"/>
      <c r="AN66" s="58"/>
      <c r="AO66" s="59"/>
      <c r="AP66" s="59"/>
      <c r="AQ66" s="59"/>
      <c r="AR66" s="59"/>
      <c r="AS66" s="58"/>
      <c r="AT66" s="58"/>
      <c r="AU66" s="59"/>
      <c r="AV66" s="59"/>
      <c r="AW66" s="59"/>
      <c r="AX66" s="59"/>
      <c r="AY66" s="58"/>
      <c r="AZ66" s="58"/>
      <c r="BA66" s="59"/>
      <c r="BB66" s="59"/>
      <c r="BC66" s="59"/>
      <c r="BD66" s="59"/>
      <c r="BE66" s="58"/>
      <c r="BF66" s="58"/>
      <c r="BG66" s="59"/>
      <c r="BH66" s="59"/>
      <c r="BI66" s="59"/>
      <c r="BJ66" s="59"/>
      <c r="BK66" s="58"/>
      <c r="BL66" s="58"/>
      <c r="BM66" s="59"/>
      <c r="BN66" s="59"/>
      <c r="BO66" s="59"/>
    </row>
    <row r="67" spans="1:67" s="62" customFormat="1" thickTop="1" thickBot="1">
      <c r="A67" s="59" t="s">
        <v>459</v>
      </c>
      <c r="B67" s="58"/>
      <c r="C67" s="73"/>
      <c r="D67" s="61"/>
      <c r="E67" s="61"/>
      <c r="F67" s="58"/>
      <c r="G67" s="59">
        <f>COUNTIFS(猫统计!I67,"&lt;&gt;")+COUNTIFS(猫统计!O67,"&lt;&gt;")+COUNTIFS(猫统计!U67,"&lt;&gt;")+COUNTIFS(猫统计!AA67,"&lt;&gt;")+COUNTIFS(猫统计!AG67,"&lt;&gt;")+COUNTIFS(猫统计!AM67,"&lt;&gt;")+COUNTIFS(猫统计!AS67,"&lt;&gt;")+COUNTIFS(猫统计!AY67,"&lt;&gt;")+COUNTIFS(猫统计!BE67,"&lt;&gt;")+COUNTIFS(猫统计!BK67,"&lt;&gt;")</f>
        <v>1</v>
      </c>
      <c r="H67" s="59"/>
      <c r="I67" s="58">
        <v>44696</v>
      </c>
      <c r="J67" s="58">
        <v>44760</v>
      </c>
      <c r="K67" s="59">
        <f t="shared" si="12"/>
        <v>64</v>
      </c>
      <c r="L67" s="59">
        <v>3</v>
      </c>
      <c r="M67" s="59">
        <v>3</v>
      </c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46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</row>
    <row r="68" spans="1:67" s="62" customFormat="1" thickTop="1" thickBot="1">
      <c r="A68" s="59" t="s">
        <v>865</v>
      </c>
      <c r="B68" s="58">
        <v>44382</v>
      </c>
      <c r="C68" s="73"/>
      <c r="D68" s="61"/>
      <c r="E68" s="61"/>
      <c r="F68" s="58"/>
      <c r="G68" s="59">
        <f>COUNTIFS(猫统计!I68,"&lt;&gt;")+COUNTIFS(猫统计!O68,"&lt;&gt;")+COUNTIFS(猫统计!U68,"&lt;&gt;")+COUNTIFS(猫统计!AA68,"&lt;&gt;")+COUNTIFS(猫统计!AG68,"&lt;&gt;")+COUNTIFS(猫统计!AM68,"&lt;&gt;")+COUNTIFS(猫统计!AS68,"&lt;&gt;")+COUNTIFS(猫统计!AY68,"&lt;&gt;")+COUNTIFS(猫统计!BE68,"&lt;&gt;")+COUNTIFS(猫统计!BK68,"&lt;&gt;")</f>
        <v>2</v>
      </c>
      <c r="H68" s="59"/>
      <c r="I68" s="58">
        <v>44707</v>
      </c>
      <c r="J68" s="58">
        <v>44772</v>
      </c>
      <c r="K68" s="59">
        <f t="shared" si="12"/>
        <v>65</v>
      </c>
      <c r="L68" s="59">
        <v>1</v>
      </c>
      <c r="M68" s="59">
        <v>1</v>
      </c>
      <c r="N68" s="59"/>
      <c r="O68" s="58">
        <v>44876</v>
      </c>
      <c r="P68" s="58">
        <v>44941</v>
      </c>
      <c r="Q68" s="59">
        <f t="shared" ref="Q68:Q74" si="13">P68-O68</f>
        <v>65</v>
      </c>
      <c r="R68" s="59">
        <v>0</v>
      </c>
      <c r="S68" s="59">
        <v>2</v>
      </c>
      <c r="T68" s="59"/>
      <c r="U68" s="58"/>
      <c r="V68" s="58"/>
      <c r="W68" s="59"/>
      <c r="X68" s="59"/>
      <c r="Y68" s="59"/>
      <c r="Z68" s="59"/>
      <c r="AA68" s="58"/>
      <c r="AB68" s="58"/>
      <c r="AC68" s="38"/>
      <c r="AD68" s="59"/>
      <c r="AE68" s="59"/>
      <c r="AF68" s="59"/>
      <c r="AG68" s="58"/>
      <c r="AH68" s="58"/>
      <c r="AI68" s="59"/>
      <c r="AJ68" s="59"/>
      <c r="AK68" s="59"/>
      <c r="AL68" s="59"/>
      <c r="AM68" s="58"/>
      <c r="AN68" s="58"/>
      <c r="AO68" s="59"/>
      <c r="AP68" s="59"/>
      <c r="AQ68" s="59"/>
      <c r="AR68" s="59"/>
      <c r="AS68" s="58"/>
      <c r="AT68" s="58"/>
      <c r="AU68" s="59"/>
      <c r="AV68" s="59"/>
      <c r="AW68" s="59"/>
      <c r="AX68" s="59"/>
      <c r="AY68" s="58"/>
      <c r="AZ68" s="58"/>
      <c r="BA68" s="59"/>
      <c r="BB68" s="59"/>
      <c r="BC68" s="59"/>
      <c r="BD68" s="59"/>
      <c r="BE68" s="58"/>
      <c r="BF68" s="58"/>
      <c r="BG68" s="59"/>
      <c r="BH68" s="59"/>
      <c r="BI68" s="59"/>
      <c r="BJ68" s="59"/>
      <c r="BK68" s="58"/>
      <c r="BL68" s="58"/>
      <c r="BM68" s="59"/>
      <c r="BN68" s="59"/>
      <c r="BO68" s="59"/>
    </row>
    <row r="69" spans="1:67" s="62" customFormat="1" thickTop="1" thickBot="1">
      <c r="A69" s="59" t="s">
        <v>174</v>
      </c>
      <c r="B69" s="58">
        <v>43653</v>
      </c>
      <c r="C69" s="73"/>
      <c r="D69" s="61"/>
      <c r="E69" s="61"/>
      <c r="F69" s="58"/>
      <c r="G69" s="59">
        <f>COUNTIFS(猫统计!I69,"&lt;&gt;")+COUNTIFS(猫统计!O69,"&lt;&gt;")+COUNTIFS(猫统计!U69,"&lt;&gt;")+COUNTIFS(猫统计!AA69,"&lt;&gt;")+COUNTIFS(猫统计!AG69,"&lt;&gt;")+COUNTIFS(猫统计!AM69,"&lt;&gt;")+COUNTIFS(猫统计!AS69,"&lt;&gt;")+COUNTIFS(猫统计!AY69,"&lt;&gt;")+COUNTIFS(猫统计!BE69,"&lt;&gt;")+COUNTIFS(猫统计!BK69,"&lt;&gt;")</f>
        <v>4</v>
      </c>
      <c r="H69" s="59"/>
      <c r="I69" s="58">
        <v>44041</v>
      </c>
      <c r="J69" s="58">
        <v>44108</v>
      </c>
      <c r="K69" s="59">
        <f t="shared" ref="K69:K74" si="14">J69-I69</f>
        <v>67</v>
      </c>
      <c r="L69" s="59">
        <v>5</v>
      </c>
      <c r="M69" s="59">
        <v>0</v>
      </c>
      <c r="N69" s="59"/>
      <c r="O69" s="58">
        <v>44200</v>
      </c>
      <c r="P69" s="58">
        <v>44266</v>
      </c>
      <c r="Q69" s="59">
        <f t="shared" si="13"/>
        <v>66</v>
      </c>
      <c r="R69" s="59">
        <v>1</v>
      </c>
      <c r="S69" s="59">
        <v>2</v>
      </c>
      <c r="T69" s="59"/>
      <c r="U69" s="58">
        <v>44342</v>
      </c>
      <c r="V69" s="58">
        <v>44406</v>
      </c>
      <c r="W69" s="59">
        <f>V69-U69</f>
        <v>64</v>
      </c>
      <c r="X69" s="59">
        <v>2</v>
      </c>
      <c r="Y69" s="59">
        <v>3</v>
      </c>
      <c r="Z69" s="59"/>
      <c r="AA69" s="58">
        <v>44916</v>
      </c>
      <c r="AB69" s="58">
        <v>44981</v>
      </c>
      <c r="AC69" s="59">
        <f>AB69-AA69</f>
        <v>65</v>
      </c>
      <c r="AD69" s="59">
        <v>3</v>
      </c>
      <c r="AE69" s="59">
        <v>2</v>
      </c>
      <c r="AF69" s="59"/>
      <c r="AG69" s="58"/>
      <c r="AH69" s="58"/>
      <c r="AI69" s="59"/>
      <c r="AJ69" s="59"/>
      <c r="AK69" s="59"/>
      <c r="AL69" s="59"/>
      <c r="AM69" s="58"/>
      <c r="AN69" s="58"/>
      <c r="AO69" s="59"/>
      <c r="AP69" s="59"/>
      <c r="AQ69" s="59"/>
      <c r="AR69" s="59"/>
      <c r="AS69" s="58"/>
      <c r="AT69" s="58"/>
      <c r="AU69" s="59"/>
      <c r="AV69" s="59"/>
      <c r="AW69" s="59"/>
      <c r="AX69" s="59"/>
      <c r="AY69" s="58"/>
      <c r="AZ69" s="58"/>
      <c r="BA69" s="59"/>
      <c r="BB69" s="59"/>
      <c r="BC69" s="59"/>
      <c r="BD69" s="59"/>
      <c r="BE69" s="58"/>
      <c r="BF69" s="58"/>
      <c r="BG69" s="59"/>
      <c r="BH69" s="59"/>
      <c r="BI69" s="59"/>
      <c r="BJ69" s="59"/>
      <c r="BK69" s="58"/>
      <c r="BL69" s="58"/>
      <c r="BM69" s="59"/>
      <c r="BN69" s="59"/>
      <c r="BO69" s="59"/>
    </row>
    <row r="70" spans="1:67" s="62" customFormat="1" thickTop="1" thickBot="1">
      <c r="A70" s="59" t="s">
        <v>737</v>
      </c>
      <c r="B70" s="58">
        <v>43969</v>
      </c>
      <c r="C70" s="73"/>
      <c r="D70" s="61"/>
      <c r="E70" s="61"/>
      <c r="F70" s="58"/>
      <c r="G70" s="59">
        <f>COUNTIFS(猫统计!I70,"&lt;&gt;")+COUNTIFS(猫统计!O70,"&lt;&gt;")+COUNTIFS(猫统计!U70,"&lt;&gt;")+COUNTIFS(猫统计!AA70,"&lt;&gt;")+COUNTIFS(猫统计!AG70,"&lt;&gt;")+COUNTIFS(猫统计!AM70,"&lt;&gt;")+COUNTIFS(猫统计!AS70,"&lt;&gt;")+COUNTIFS(猫统计!AY70,"&lt;&gt;")+COUNTIFS(猫统计!BE70,"&lt;&gt;")+COUNTIFS(猫统计!BK70,"&lt;&gt;")</f>
        <v>3</v>
      </c>
      <c r="H70" s="59"/>
      <c r="I70" s="58">
        <v>44578</v>
      </c>
      <c r="J70" s="58">
        <v>44641</v>
      </c>
      <c r="K70" s="59">
        <f t="shared" si="14"/>
        <v>63</v>
      </c>
      <c r="L70" s="59">
        <v>1</v>
      </c>
      <c r="M70" s="59">
        <v>4</v>
      </c>
      <c r="N70" s="59"/>
      <c r="O70" s="58">
        <v>44700</v>
      </c>
      <c r="P70" s="58">
        <v>44764</v>
      </c>
      <c r="Q70" s="59">
        <f t="shared" si="13"/>
        <v>64</v>
      </c>
      <c r="R70" s="59">
        <v>3</v>
      </c>
      <c r="S70" s="59">
        <v>5</v>
      </c>
      <c r="T70" s="59"/>
      <c r="U70" s="58">
        <v>44977</v>
      </c>
      <c r="V70" s="58">
        <v>45041</v>
      </c>
      <c r="W70" s="59">
        <f>V70-U70</f>
        <v>64</v>
      </c>
      <c r="X70" s="59">
        <v>0</v>
      </c>
      <c r="Y70" s="59">
        <v>4</v>
      </c>
      <c r="Z70" s="59"/>
      <c r="AA70" s="58"/>
      <c r="AB70" s="58"/>
      <c r="AC70" s="59"/>
      <c r="AD70" s="59"/>
      <c r="AE70" s="59"/>
      <c r="AF70" s="59"/>
      <c r="AG70" s="58"/>
      <c r="AH70" s="58"/>
      <c r="AI70" s="59"/>
      <c r="AJ70" s="59"/>
      <c r="AK70" s="59"/>
      <c r="AL70" s="59"/>
      <c r="AM70" s="58"/>
      <c r="AN70" s="58"/>
      <c r="AO70" s="59"/>
      <c r="AP70" s="59"/>
      <c r="AQ70" s="59"/>
      <c r="AR70" s="59"/>
      <c r="AS70" s="58"/>
      <c r="AT70" s="58"/>
      <c r="AU70" s="59"/>
      <c r="AV70" s="59"/>
      <c r="AW70" s="59"/>
      <c r="AX70" s="59"/>
      <c r="AY70" s="58"/>
      <c r="AZ70" s="58"/>
      <c r="BA70" s="59"/>
      <c r="BB70" s="59"/>
      <c r="BC70" s="59"/>
      <c r="BD70" s="59"/>
      <c r="BE70" s="58"/>
      <c r="BF70" s="58"/>
      <c r="BG70" s="59"/>
      <c r="BH70" s="59"/>
      <c r="BI70" s="59"/>
      <c r="BJ70" s="59"/>
      <c r="BK70" s="58"/>
      <c r="BL70" s="58"/>
      <c r="BM70" s="59"/>
      <c r="BN70" s="59"/>
      <c r="BO70" s="59"/>
    </row>
    <row r="71" spans="1:67" s="69" customFormat="1" thickTop="1" thickBot="1">
      <c r="A71" s="59" t="s">
        <v>1083</v>
      </c>
      <c r="B71" s="58">
        <v>44595</v>
      </c>
      <c r="C71" s="73"/>
      <c r="D71" s="61"/>
      <c r="E71" s="61"/>
      <c r="F71" s="58"/>
      <c r="G71" s="59">
        <f>COUNTIFS(猫统计!I71,"&lt;&gt;")+COUNTIFS(猫统计!O71,"&lt;&gt;")+COUNTIFS(猫统计!U71,"&lt;&gt;")+COUNTIFS(猫统计!AA71,"&lt;&gt;")+COUNTIFS(猫统计!AG71,"&lt;&gt;")+COUNTIFS(猫统计!AM71,"&lt;&gt;")+COUNTIFS(猫统计!AS71,"&lt;&gt;")+COUNTIFS(猫统计!AY71,"&lt;&gt;")+COUNTIFS(猫统计!BE71,"&lt;&gt;")+COUNTIFS(猫统计!BK71,"&lt;&gt;")</f>
        <v>2</v>
      </c>
      <c r="H71" s="59"/>
      <c r="I71" s="58">
        <v>44916</v>
      </c>
      <c r="J71" s="58">
        <v>44981</v>
      </c>
      <c r="K71" s="59">
        <f t="shared" si="14"/>
        <v>65</v>
      </c>
      <c r="L71" s="59">
        <v>2</v>
      </c>
      <c r="M71" s="59">
        <v>1</v>
      </c>
      <c r="N71" s="59"/>
      <c r="O71" s="58">
        <v>45003</v>
      </c>
      <c r="P71" s="58">
        <v>45069</v>
      </c>
      <c r="Q71" s="59">
        <f t="shared" si="13"/>
        <v>66</v>
      </c>
      <c r="R71" s="59">
        <v>1</v>
      </c>
      <c r="S71" s="59">
        <v>1</v>
      </c>
      <c r="T71" s="59"/>
      <c r="U71" s="58"/>
      <c r="V71" s="58"/>
      <c r="W71" s="59"/>
      <c r="X71" s="59"/>
      <c r="Y71" s="59"/>
      <c r="Z71" s="59"/>
      <c r="AA71" s="58"/>
      <c r="AB71" s="58"/>
      <c r="AC71" s="59"/>
      <c r="AD71" s="59"/>
      <c r="AE71" s="59"/>
      <c r="AF71" s="59"/>
      <c r="AG71" s="58"/>
      <c r="AH71" s="58"/>
      <c r="AI71" s="59"/>
      <c r="AJ71" s="59"/>
      <c r="AK71" s="59"/>
      <c r="AL71" s="59"/>
      <c r="AM71" s="58"/>
      <c r="AN71" s="58"/>
      <c r="AO71" s="59"/>
      <c r="AP71" s="59"/>
      <c r="AQ71" s="59"/>
      <c r="AR71" s="59"/>
      <c r="AS71" s="58"/>
      <c r="AT71" s="58"/>
      <c r="AU71" s="59"/>
      <c r="AV71" s="59"/>
      <c r="AW71" s="59"/>
      <c r="AX71" s="59"/>
      <c r="AY71" s="58"/>
      <c r="AZ71" s="58"/>
      <c r="BA71" s="59"/>
      <c r="BB71" s="59"/>
      <c r="BC71" s="59"/>
      <c r="BD71" s="59"/>
      <c r="BE71" s="58"/>
      <c r="BF71" s="58"/>
      <c r="BG71" s="59"/>
      <c r="BH71" s="59"/>
      <c r="BI71" s="59"/>
      <c r="BJ71" s="59"/>
      <c r="BK71" s="58"/>
      <c r="BL71" s="58"/>
      <c r="BM71" s="59"/>
      <c r="BN71" s="59"/>
      <c r="BO71" s="59"/>
    </row>
    <row r="72" spans="1:67" s="62" customFormat="1" thickTop="1" thickBot="1">
      <c r="A72" s="59" t="s">
        <v>1099</v>
      </c>
      <c r="B72" s="58">
        <v>44774</v>
      </c>
      <c r="C72" s="73"/>
      <c r="D72" s="61"/>
      <c r="E72" s="61"/>
      <c r="F72" s="58"/>
      <c r="G72" s="59">
        <f>COUNTIFS(猫统计!I72,"&lt;&gt;")+COUNTIFS(猫统计!O72,"&lt;&gt;")+COUNTIFS(猫统计!U72,"&lt;&gt;")+COUNTIFS(猫统计!AA72,"&lt;&gt;")+COUNTIFS(猫统计!AG72,"&lt;&gt;")+COUNTIFS(猫统计!AM72,"&lt;&gt;")+COUNTIFS(猫统计!AS72,"&lt;&gt;")+COUNTIFS(猫统计!AY72,"&lt;&gt;")+COUNTIFS(猫统计!BE72,"&lt;&gt;")+COUNTIFS(猫统计!BK72,"&lt;&gt;")</f>
        <v>2</v>
      </c>
      <c r="H72" s="59"/>
      <c r="I72" s="58">
        <v>44944</v>
      </c>
      <c r="J72" s="58">
        <v>45010</v>
      </c>
      <c r="K72" s="59">
        <f t="shared" si="14"/>
        <v>66</v>
      </c>
      <c r="L72" s="59">
        <v>0</v>
      </c>
      <c r="M72" s="59">
        <v>2</v>
      </c>
      <c r="N72" s="59"/>
      <c r="O72" s="58">
        <v>45077</v>
      </c>
      <c r="P72" s="58">
        <v>45144</v>
      </c>
      <c r="Q72" s="59">
        <f t="shared" si="13"/>
        <v>67</v>
      </c>
      <c r="R72" s="59">
        <v>0</v>
      </c>
      <c r="S72" s="59">
        <v>5</v>
      </c>
      <c r="T72" s="59"/>
      <c r="U72" s="58"/>
      <c r="V72" s="58"/>
      <c r="W72" s="59"/>
      <c r="X72" s="59"/>
      <c r="Y72" s="59"/>
      <c r="Z72" s="59"/>
      <c r="AA72" s="58"/>
      <c r="AB72" s="58"/>
      <c r="AC72" s="59"/>
      <c r="AD72" s="59"/>
      <c r="AE72" s="59"/>
      <c r="AF72" s="59"/>
      <c r="AG72" s="58"/>
      <c r="AH72" s="58"/>
      <c r="AI72" s="59"/>
      <c r="AJ72" s="59"/>
      <c r="AK72" s="59"/>
      <c r="AL72" s="59"/>
      <c r="AM72" s="58"/>
      <c r="AN72" s="58"/>
      <c r="AO72" s="59"/>
      <c r="AP72" s="59"/>
      <c r="AQ72" s="59"/>
      <c r="AR72" s="59"/>
      <c r="AS72" s="58"/>
      <c r="AT72" s="58"/>
      <c r="AU72" s="59"/>
      <c r="AV72" s="59"/>
      <c r="AW72" s="59"/>
      <c r="AX72" s="59"/>
      <c r="AY72" s="58"/>
      <c r="AZ72" s="58"/>
      <c r="BA72" s="59"/>
      <c r="BB72" s="59"/>
      <c r="BC72" s="59"/>
      <c r="BD72" s="59"/>
      <c r="BE72" s="58"/>
      <c r="BF72" s="58"/>
      <c r="BG72" s="59"/>
      <c r="BH72" s="59"/>
      <c r="BI72" s="59"/>
      <c r="BJ72" s="59"/>
      <c r="BK72" s="58"/>
      <c r="BL72" s="58"/>
      <c r="BM72" s="59"/>
      <c r="BN72" s="59"/>
      <c r="BO72" s="59"/>
    </row>
    <row r="73" spans="1:67" s="62" customFormat="1" thickTop="1" thickBot="1">
      <c r="A73" s="59" t="s">
        <v>1003</v>
      </c>
      <c r="B73" s="58">
        <v>44715</v>
      </c>
      <c r="C73" s="73"/>
      <c r="D73" s="61"/>
      <c r="E73" s="61"/>
      <c r="F73" s="58"/>
      <c r="G73" s="59">
        <f>COUNTIFS(猫统计!I73,"&lt;&gt;")+COUNTIFS(猫统计!O73,"&lt;&gt;")+COUNTIFS(猫统计!U73,"&lt;&gt;")+COUNTIFS(猫统计!AA73,"&lt;&gt;")+COUNTIFS(猫统计!AG73,"&lt;&gt;")+COUNTIFS(猫统计!AM73,"&lt;&gt;")+COUNTIFS(猫统计!AS73,"&lt;&gt;")+COUNTIFS(猫统计!AY73,"&lt;&gt;")+COUNTIFS(猫统计!BE73,"&lt;&gt;")+COUNTIFS(猫统计!BK73,"&lt;&gt;")</f>
        <v>2</v>
      </c>
      <c r="H73" s="59"/>
      <c r="I73" s="58">
        <v>44862</v>
      </c>
      <c r="J73" s="58">
        <v>44928</v>
      </c>
      <c r="K73" s="59">
        <f t="shared" si="14"/>
        <v>66</v>
      </c>
      <c r="L73" s="59">
        <v>0</v>
      </c>
      <c r="M73" s="59">
        <v>5</v>
      </c>
      <c r="N73" s="64"/>
      <c r="O73" s="58">
        <v>44984</v>
      </c>
      <c r="P73" s="58">
        <v>45050</v>
      </c>
      <c r="Q73" s="59">
        <f t="shared" si="13"/>
        <v>66</v>
      </c>
      <c r="R73" s="59">
        <v>6</v>
      </c>
      <c r="S73" s="59">
        <v>6</v>
      </c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</row>
    <row r="74" spans="1:67" s="62" customFormat="1" thickTop="1" thickBot="1">
      <c r="A74" s="59" t="s">
        <v>873</v>
      </c>
      <c r="B74" s="58">
        <v>44473</v>
      </c>
      <c r="C74" s="73"/>
      <c r="D74" s="61"/>
      <c r="E74" s="61"/>
      <c r="F74" s="58"/>
      <c r="G74" s="59">
        <f>COUNTIFS(猫统计!I74,"&lt;&gt;")+COUNTIFS(猫统计!O74,"&lt;&gt;")+COUNTIFS(猫统计!U74,"&lt;&gt;")+COUNTIFS(猫统计!AA74,"&lt;&gt;")+COUNTIFS(猫统计!AG74,"&lt;&gt;")+COUNTIFS(猫统计!AM74,"&lt;&gt;")+COUNTIFS(猫统计!AS74,"&lt;&gt;")+COUNTIFS(猫统计!AY74,"&lt;&gt;")+COUNTIFS(猫统计!BE74,"&lt;&gt;")+COUNTIFS(猫统计!BK74,"&lt;&gt;")</f>
        <v>2</v>
      </c>
      <c r="H74" s="59"/>
      <c r="I74" s="58">
        <v>44700</v>
      </c>
      <c r="J74" s="58">
        <v>44767</v>
      </c>
      <c r="K74" s="59">
        <f t="shared" si="14"/>
        <v>67</v>
      </c>
      <c r="L74" s="59">
        <v>0</v>
      </c>
      <c r="M74" s="59">
        <v>2</v>
      </c>
      <c r="N74" s="59"/>
      <c r="O74" s="58">
        <v>44940</v>
      </c>
      <c r="P74" s="58">
        <v>45007</v>
      </c>
      <c r="Q74" s="59">
        <f t="shared" si="13"/>
        <v>67</v>
      </c>
      <c r="R74" s="59">
        <v>0</v>
      </c>
      <c r="S74" s="59">
        <v>5</v>
      </c>
      <c r="T74" s="59"/>
      <c r="U74" s="58"/>
      <c r="V74" s="58"/>
      <c r="W74" s="59"/>
      <c r="X74" s="59"/>
      <c r="Y74" s="59"/>
      <c r="Z74" s="59"/>
      <c r="AA74" s="58"/>
      <c r="AB74" s="58"/>
      <c r="AC74" s="59"/>
      <c r="AD74" s="59"/>
      <c r="AE74" s="59"/>
      <c r="AF74" s="59"/>
      <c r="AG74" s="58"/>
      <c r="AH74" s="58"/>
      <c r="AI74" s="59"/>
      <c r="AJ74" s="59"/>
      <c r="AK74" s="59"/>
      <c r="AL74" s="59"/>
      <c r="AM74" s="58"/>
      <c r="AN74" s="58"/>
      <c r="AO74" s="59"/>
      <c r="AP74" s="59"/>
      <c r="AQ74" s="59"/>
      <c r="AR74" s="59"/>
      <c r="AS74" s="58"/>
      <c r="AT74" s="58"/>
      <c r="AU74" s="59"/>
      <c r="AV74" s="59"/>
      <c r="AW74" s="59"/>
      <c r="AX74" s="59"/>
      <c r="AY74" s="58"/>
      <c r="AZ74" s="58"/>
      <c r="BA74" s="59"/>
      <c r="BB74" s="59"/>
      <c r="BC74" s="59"/>
      <c r="BD74" s="59"/>
      <c r="BE74" s="58"/>
      <c r="BF74" s="58"/>
      <c r="BG74" s="59"/>
      <c r="BH74" s="59"/>
      <c r="BI74" s="59"/>
      <c r="BJ74" s="59"/>
      <c r="BK74" s="58"/>
      <c r="BL74" s="58"/>
      <c r="BM74" s="59"/>
      <c r="BN74" s="59"/>
      <c r="BO74" s="59"/>
    </row>
    <row r="75" spans="1:67" s="62" customFormat="1" thickTop="1" thickBot="1">
      <c r="A75" s="59" t="s">
        <v>1054</v>
      </c>
      <c r="B75" s="58">
        <v>44767</v>
      </c>
      <c r="C75" s="73"/>
      <c r="D75" s="61"/>
      <c r="E75" s="61"/>
      <c r="F75" s="58"/>
      <c r="G75" s="59">
        <f>COUNTIFS(猫统计!I75,"&lt;&gt;")+COUNTIFS(猫统计!O75,"&lt;&gt;")+COUNTIFS(猫统计!U75,"&lt;&gt;")+COUNTIFS(猫统计!AA75,"&lt;&gt;")+COUNTIFS(猫统计!AG75,"&lt;&gt;")+COUNTIFS(猫统计!AM75,"&lt;&gt;")+COUNTIFS(猫统计!AS75,"&lt;&gt;")+COUNTIFS(猫统计!AY75,"&lt;&gt;")+COUNTIFS(猫统计!BE75,"&lt;&gt;")+COUNTIFS(猫统计!BK75,"&lt;&gt;")</f>
        <v>1</v>
      </c>
      <c r="H75" s="59"/>
      <c r="I75" s="58">
        <v>45107</v>
      </c>
      <c r="J75" s="58">
        <v>45178</v>
      </c>
      <c r="K75" s="59">
        <f t="shared" ref="K75:K82" si="15">J75-I75</f>
        <v>71</v>
      </c>
      <c r="L75" s="59">
        <v>0</v>
      </c>
      <c r="M75" s="59">
        <v>1</v>
      </c>
      <c r="N75" s="59"/>
      <c r="O75" s="58"/>
      <c r="P75" s="58"/>
      <c r="Q75" s="59"/>
      <c r="R75" s="59"/>
      <c r="S75" s="59"/>
      <c r="T75" s="59"/>
      <c r="U75" s="58"/>
      <c r="V75" s="58"/>
      <c r="W75" s="59"/>
      <c r="X75" s="59"/>
      <c r="Y75" s="59"/>
      <c r="Z75" s="59"/>
      <c r="AA75" s="58"/>
      <c r="AB75" s="58"/>
      <c r="AC75" s="59"/>
      <c r="AD75" s="59"/>
      <c r="AE75" s="59"/>
      <c r="AF75" s="59"/>
      <c r="AG75" s="58"/>
      <c r="AH75" s="58"/>
      <c r="AI75" s="59"/>
      <c r="AJ75" s="59"/>
      <c r="AK75" s="59"/>
      <c r="AL75" s="59"/>
      <c r="AM75" s="58"/>
      <c r="AN75" s="58"/>
      <c r="AO75" s="59"/>
      <c r="AP75" s="59"/>
      <c r="AQ75" s="59"/>
      <c r="AR75" s="59"/>
      <c r="AS75" s="58"/>
      <c r="AT75" s="58"/>
      <c r="AU75" s="59"/>
      <c r="AV75" s="59"/>
      <c r="AW75" s="59"/>
      <c r="AX75" s="59"/>
      <c r="AY75" s="58"/>
      <c r="AZ75" s="58"/>
      <c r="BA75" s="59"/>
      <c r="BB75" s="59"/>
      <c r="BC75" s="59"/>
      <c r="BD75" s="59"/>
      <c r="BE75" s="58"/>
      <c r="BF75" s="58"/>
      <c r="BG75" s="59"/>
      <c r="BH75" s="59"/>
      <c r="BI75" s="59"/>
      <c r="BJ75" s="59"/>
      <c r="BK75" s="58"/>
      <c r="BL75" s="58"/>
      <c r="BM75" s="59"/>
      <c r="BN75" s="59"/>
      <c r="BO75" s="59"/>
    </row>
    <row r="76" spans="1:67" s="62" customFormat="1" thickTop="1" thickBot="1">
      <c r="A76" s="59" t="s">
        <v>523</v>
      </c>
      <c r="B76" s="58">
        <v>44118</v>
      </c>
      <c r="C76" s="73"/>
      <c r="D76" s="61"/>
      <c r="E76" s="61"/>
      <c r="F76" s="58"/>
      <c r="G76" s="59">
        <f>COUNTIFS(猫统计!I76,"&lt;&gt;")+COUNTIFS(猫统计!O76,"&lt;&gt;")+COUNTIFS(猫统计!U76,"&lt;&gt;")+COUNTIFS(猫统计!AA76,"&lt;&gt;")+COUNTIFS(猫统计!AG76,"&lt;&gt;")+COUNTIFS(猫统计!AM76,"&lt;&gt;")+COUNTIFS(猫统计!AS76,"&lt;&gt;")+COUNTIFS(猫统计!AY76,"&lt;&gt;")+COUNTIFS(猫统计!BE76,"&lt;&gt;")+COUNTIFS(猫统计!BK76,"&lt;&gt;")</f>
        <v>5</v>
      </c>
      <c r="H76" s="59"/>
      <c r="I76" s="58">
        <v>44329</v>
      </c>
      <c r="J76" s="58">
        <v>44394</v>
      </c>
      <c r="K76" s="59">
        <f t="shared" si="15"/>
        <v>65</v>
      </c>
      <c r="L76" s="59">
        <v>1</v>
      </c>
      <c r="M76" s="59">
        <v>3</v>
      </c>
      <c r="N76" s="59"/>
      <c r="O76" s="58">
        <v>44641</v>
      </c>
      <c r="P76" s="58">
        <v>44706</v>
      </c>
      <c r="Q76" s="59">
        <f>P76-O76</f>
        <v>65</v>
      </c>
      <c r="R76" s="59">
        <v>1</v>
      </c>
      <c r="S76" s="59">
        <v>3</v>
      </c>
      <c r="T76" s="59"/>
      <c r="U76" s="58">
        <v>44762</v>
      </c>
      <c r="V76" s="58">
        <v>44829</v>
      </c>
      <c r="W76" s="59">
        <f>V76-U76</f>
        <v>67</v>
      </c>
      <c r="X76" s="59">
        <v>0</v>
      </c>
      <c r="Y76" s="59">
        <v>4</v>
      </c>
      <c r="Z76" s="59"/>
      <c r="AA76" s="58">
        <v>44969</v>
      </c>
      <c r="AB76" s="58">
        <v>45033</v>
      </c>
      <c r="AC76" s="59">
        <f>AB76-AA76</f>
        <v>64</v>
      </c>
      <c r="AD76" s="59">
        <v>0</v>
      </c>
      <c r="AE76" s="59">
        <v>4</v>
      </c>
      <c r="AF76" s="59"/>
      <c r="AG76" s="58">
        <v>45125</v>
      </c>
      <c r="AH76" s="58">
        <v>45190</v>
      </c>
      <c r="AI76" s="59">
        <f>AH76-AG76</f>
        <v>65</v>
      </c>
      <c r="AJ76" s="59">
        <v>0</v>
      </c>
      <c r="AK76" s="59">
        <v>3</v>
      </c>
      <c r="AL76" s="59"/>
      <c r="AM76" s="58"/>
      <c r="AN76" s="58"/>
      <c r="AO76" s="59"/>
      <c r="AP76" s="59"/>
      <c r="AQ76" s="59"/>
      <c r="AR76" s="59"/>
      <c r="AS76" s="58"/>
      <c r="AT76" s="58"/>
      <c r="AU76" s="59"/>
      <c r="AV76" s="59"/>
      <c r="AW76" s="59"/>
      <c r="AX76" s="59"/>
      <c r="AY76" s="58"/>
      <c r="AZ76" s="58"/>
      <c r="BA76" s="59"/>
      <c r="BB76" s="59"/>
      <c r="BC76" s="59"/>
      <c r="BD76" s="59"/>
      <c r="BE76" s="58"/>
      <c r="BF76" s="58"/>
      <c r="BG76" s="59"/>
      <c r="BH76" s="59"/>
      <c r="BI76" s="59"/>
      <c r="BJ76" s="59"/>
      <c r="BK76" s="58"/>
      <c r="BL76" s="58"/>
      <c r="BM76" s="59"/>
      <c r="BN76" s="59"/>
      <c r="BO76" s="59"/>
    </row>
    <row r="77" spans="1:67" s="62" customFormat="1" thickTop="1" thickBot="1">
      <c r="A77" s="59" t="s">
        <v>1085</v>
      </c>
      <c r="B77" s="58">
        <v>44714</v>
      </c>
      <c r="C77" s="73"/>
      <c r="D77" s="61"/>
      <c r="E77" s="61"/>
      <c r="F77" s="58"/>
      <c r="G77" s="59">
        <f>COUNTIFS(猫统计!I77,"&lt;&gt;")+COUNTIFS(猫统计!O77,"&lt;&gt;")+COUNTIFS(猫统计!U77,"&lt;&gt;")+COUNTIFS(猫统计!AA77,"&lt;&gt;")+COUNTIFS(猫统计!AG77,"&lt;&gt;")+COUNTIFS(猫统计!AM77,"&lt;&gt;")+COUNTIFS(猫统计!AS77,"&lt;&gt;")+COUNTIFS(猫统计!AY77,"&lt;&gt;")+COUNTIFS(猫统计!BE77,"&lt;&gt;")+COUNTIFS(猫统计!BK77,"&lt;&gt;")</f>
        <v>3</v>
      </c>
      <c r="H77" s="59"/>
      <c r="I77" s="58">
        <v>44922</v>
      </c>
      <c r="J77" s="58">
        <v>44986</v>
      </c>
      <c r="K77" s="59">
        <f t="shared" si="15"/>
        <v>64</v>
      </c>
      <c r="L77" s="59">
        <v>1</v>
      </c>
      <c r="M77" s="59">
        <v>5</v>
      </c>
      <c r="N77" s="59"/>
      <c r="O77" s="58">
        <v>45067</v>
      </c>
      <c r="P77" s="58">
        <v>45131</v>
      </c>
      <c r="Q77" s="59">
        <f>P77-O77</f>
        <v>64</v>
      </c>
      <c r="R77" s="59">
        <v>0</v>
      </c>
      <c r="S77" s="59">
        <v>6</v>
      </c>
      <c r="T77" s="59"/>
      <c r="U77" s="58">
        <v>45232</v>
      </c>
      <c r="V77" s="58">
        <v>45297</v>
      </c>
      <c r="W77" s="59">
        <f>V77-U77</f>
        <v>65</v>
      </c>
      <c r="X77" s="59">
        <v>0</v>
      </c>
      <c r="Y77" s="59">
        <v>5</v>
      </c>
      <c r="Z77" s="59"/>
      <c r="AA77" s="58"/>
      <c r="AB77" s="58"/>
      <c r="AC77" s="59"/>
      <c r="AD77" s="59"/>
      <c r="AE77" s="59"/>
      <c r="AF77" s="59"/>
      <c r="AG77" s="58"/>
      <c r="AH77" s="58"/>
      <c r="AI77" s="59"/>
      <c r="AJ77" s="59"/>
      <c r="AK77" s="59"/>
      <c r="AL77" s="59"/>
      <c r="AM77" s="58"/>
      <c r="AN77" s="58"/>
      <c r="AO77" s="59"/>
      <c r="AP77" s="59"/>
      <c r="AQ77" s="59"/>
      <c r="AR77" s="59"/>
      <c r="AS77" s="58"/>
      <c r="AT77" s="58"/>
      <c r="AU77" s="59"/>
      <c r="AV77" s="59"/>
      <c r="AW77" s="59"/>
      <c r="AX77" s="59"/>
      <c r="AY77" s="58"/>
      <c r="AZ77" s="58"/>
      <c r="BA77" s="59"/>
      <c r="BB77" s="59"/>
      <c r="BC77" s="59"/>
      <c r="BD77" s="59"/>
      <c r="BE77" s="58"/>
      <c r="BF77" s="58"/>
      <c r="BG77" s="59"/>
      <c r="BH77" s="59"/>
      <c r="BI77" s="59"/>
      <c r="BJ77" s="59"/>
      <c r="BK77" s="58"/>
      <c r="BL77" s="58"/>
      <c r="BM77" s="59"/>
      <c r="BN77" s="59"/>
      <c r="BO77" s="59"/>
    </row>
    <row r="78" spans="1:67" s="62" customFormat="1" thickTop="1" thickBot="1">
      <c r="A78" s="59" t="s">
        <v>1187</v>
      </c>
      <c r="B78" s="58">
        <v>44964</v>
      </c>
      <c r="C78" s="73"/>
      <c r="D78" s="61"/>
      <c r="E78" s="61"/>
      <c r="F78" s="58"/>
      <c r="G78" s="59">
        <f>COUNTIFS(猫统计!I78,"&lt;&gt;")+COUNTIFS(猫统计!O78,"&lt;&gt;")+COUNTIFS(猫统计!U78,"&lt;&gt;")+COUNTIFS(猫统计!AA78,"&lt;&gt;")+COUNTIFS(猫统计!AG78,"&lt;&gt;")+COUNTIFS(猫统计!AM78,"&lt;&gt;")+COUNTIFS(猫统计!AS78,"&lt;&gt;")+COUNTIFS(猫统计!AY78,"&lt;&gt;")+COUNTIFS(猫统计!BE78,"&lt;&gt;")+COUNTIFS(猫统计!BK78,"&lt;&gt;")</f>
        <v>1</v>
      </c>
      <c r="H78" s="59"/>
      <c r="I78" s="58">
        <v>45231</v>
      </c>
      <c r="J78" s="58">
        <v>45296</v>
      </c>
      <c r="K78" s="59">
        <f t="shared" si="15"/>
        <v>65</v>
      </c>
      <c r="L78" s="59">
        <v>0</v>
      </c>
      <c r="M78" s="59">
        <v>5</v>
      </c>
      <c r="N78" s="59"/>
      <c r="O78" s="58"/>
      <c r="P78" s="58"/>
      <c r="Q78" s="59"/>
      <c r="R78" s="59"/>
      <c r="S78" s="59"/>
      <c r="T78" s="59"/>
      <c r="U78" s="58"/>
      <c r="V78" s="58"/>
      <c r="W78" s="59"/>
      <c r="X78" s="59"/>
      <c r="Y78" s="59"/>
      <c r="Z78" s="59"/>
      <c r="AA78" s="58"/>
      <c r="AB78" s="58"/>
      <c r="AC78" s="59"/>
      <c r="AD78" s="59"/>
      <c r="AE78" s="59"/>
      <c r="AF78" s="59"/>
      <c r="AG78" s="58"/>
      <c r="AH78" s="58"/>
      <c r="AI78" s="59"/>
      <c r="AJ78" s="59"/>
      <c r="AK78" s="59"/>
      <c r="AL78" s="59"/>
      <c r="AM78" s="58"/>
      <c r="AN78" s="58"/>
      <c r="AO78" s="59"/>
      <c r="AP78" s="59"/>
      <c r="AQ78" s="59"/>
      <c r="AR78" s="59"/>
      <c r="AS78" s="58"/>
      <c r="AT78" s="58"/>
      <c r="AU78" s="59"/>
      <c r="AV78" s="59"/>
      <c r="AW78" s="59"/>
      <c r="AX78" s="59"/>
      <c r="AY78" s="58"/>
      <c r="AZ78" s="58"/>
      <c r="BA78" s="59"/>
      <c r="BB78" s="59"/>
      <c r="BC78" s="59"/>
      <c r="BD78" s="59"/>
      <c r="BE78" s="58"/>
      <c r="BF78" s="58"/>
      <c r="BG78" s="59"/>
      <c r="BH78" s="59"/>
      <c r="BI78" s="59"/>
      <c r="BJ78" s="59"/>
      <c r="BK78" s="58"/>
      <c r="BL78" s="58"/>
      <c r="BM78" s="59"/>
      <c r="BN78" s="59"/>
      <c r="BO78" s="59"/>
    </row>
    <row r="79" spans="1:67" s="62" customFormat="1" thickTop="1" thickBot="1">
      <c r="A79" s="59" t="s">
        <v>808</v>
      </c>
      <c r="B79" s="58">
        <v>44251</v>
      </c>
      <c r="C79" s="73"/>
      <c r="D79" s="61"/>
      <c r="E79" s="61"/>
      <c r="F79" s="58"/>
      <c r="G79" s="59">
        <f>COUNTIFS(猫统计!I79,"&lt;&gt;")+COUNTIFS(猫统计!O79,"&lt;&gt;")+COUNTIFS(猫统计!U79,"&lt;&gt;")+COUNTIFS(猫统计!AA79,"&lt;&gt;")+COUNTIFS(猫统计!AG79,"&lt;&gt;")+COUNTIFS(猫统计!AM79,"&lt;&gt;")+COUNTIFS(猫统计!AS79,"&lt;&gt;")+COUNTIFS(猫统计!AY79,"&lt;&gt;")+COUNTIFS(猫统计!BE79,"&lt;&gt;")+COUNTIFS(猫统计!BK79,"&lt;&gt;")</f>
        <v>4</v>
      </c>
      <c r="H79" s="59"/>
      <c r="I79" s="58">
        <v>44608</v>
      </c>
      <c r="J79" s="58">
        <v>44673</v>
      </c>
      <c r="K79" s="59">
        <f t="shared" si="15"/>
        <v>65</v>
      </c>
      <c r="L79" s="59">
        <v>5</v>
      </c>
      <c r="M79" s="59">
        <v>0</v>
      </c>
      <c r="N79" s="59"/>
      <c r="O79" s="58">
        <v>44696</v>
      </c>
      <c r="P79" s="58">
        <v>44762</v>
      </c>
      <c r="Q79" s="59">
        <f>P79-O79</f>
        <v>66</v>
      </c>
      <c r="R79" s="59">
        <v>4</v>
      </c>
      <c r="S79" s="59">
        <v>0</v>
      </c>
      <c r="T79" s="59"/>
      <c r="U79" s="58">
        <v>44898</v>
      </c>
      <c r="V79" s="58">
        <v>44964</v>
      </c>
      <c r="W79" s="59">
        <f>V79-U79</f>
        <v>66</v>
      </c>
      <c r="X79" s="59">
        <v>0</v>
      </c>
      <c r="Y79" s="59">
        <v>2</v>
      </c>
      <c r="Z79" s="59"/>
      <c r="AA79" s="58">
        <v>45238</v>
      </c>
      <c r="AB79" s="58">
        <v>45304</v>
      </c>
      <c r="AC79" s="59">
        <f>AB79-AA79</f>
        <v>66</v>
      </c>
      <c r="AD79" s="59">
        <v>1</v>
      </c>
      <c r="AE79" s="59">
        <v>2</v>
      </c>
      <c r="AF79" s="59"/>
      <c r="AG79" s="58"/>
      <c r="AH79" s="58"/>
      <c r="AI79" s="59"/>
      <c r="AJ79" s="59"/>
      <c r="AK79" s="59"/>
      <c r="AL79" s="59"/>
      <c r="AM79" s="58"/>
      <c r="AN79" s="58"/>
      <c r="AO79" s="59"/>
      <c r="AP79" s="59"/>
      <c r="AQ79" s="59"/>
      <c r="AR79" s="59"/>
      <c r="AS79" s="58"/>
      <c r="AT79" s="58"/>
      <c r="AU79" s="59"/>
      <c r="AV79" s="59"/>
      <c r="AW79" s="59"/>
      <c r="AX79" s="59"/>
      <c r="AY79" s="58"/>
      <c r="AZ79" s="58"/>
      <c r="BA79" s="59"/>
      <c r="BB79" s="59"/>
      <c r="BC79" s="59"/>
      <c r="BD79" s="59"/>
      <c r="BE79" s="58"/>
      <c r="BF79" s="58"/>
      <c r="BG79" s="59"/>
      <c r="BH79" s="59"/>
      <c r="BI79" s="59"/>
      <c r="BJ79" s="59"/>
      <c r="BK79" s="58"/>
      <c r="BL79" s="58"/>
      <c r="BM79" s="59"/>
      <c r="BN79" s="59"/>
      <c r="BO79" s="59"/>
    </row>
    <row r="80" spans="1:67" s="62" customFormat="1" thickTop="1" thickBot="1">
      <c r="A80" s="59" t="s">
        <v>974</v>
      </c>
      <c r="B80" s="58">
        <v>44657</v>
      </c>
      <c r="C80" s="73"/>
      <c r="D80" s="61"/>
      <c r="E80" s="61"/>
      <c r="F80" s="58"/>
      <c r="G80" s="59">
        <f>COUNTIFS(猫统计!I80,"&lt;&gt;")+COUNTIFS(猫统计!O80,"&lt;&gt;")+COUNTIFS(猫统计!U80,"&lt;&gt;")+COUNTIFS(猫统计!AA80,"&lt;&gt;")+COUNTIFS(猫统计!AG80,"&lt;&gt;")+COUNTIFS(猫统计!AM80,"&lt;&gt;")+COUNTIFS(猫统计!AS80,"&lt;&gt;")+COUNTIFS(猫统计!AY80,"&lt;&gt;")+COUNTIFS(猫统计!BE80,"&lt;&gt;")+COUNTIFS(猫统计!BK80,"&lt;&gt;")</f>
        <v>3</v>
      </c>
      <c r="H80" s="59"/>
      <c r="I80" s="58">
        <v>44994</v>
      </c>
      <c r="J80" s="58">
        <v>45058</v>
      </c>
      <c r="K80" s="59">
        <f t="shared" si="15"/>
        <v>64</v>
      </c>
      <c r="L80" s="59">
        <v>1</v>
      </c>
      <c r="M80" s="59">
        <v>0</v>
      </c>
      <c r="N80" s="59"/>
      <c r="O80" s="58">
        <v>45181</v>
      </c>
      <c r="P80" s="58">
        <v>45246</v>
      </c>
      <c r="Q80" s="59">
        <f>P80-O80</f>
        <v>65</v>
      </c>
      <c r="R80" s="59">
        <v>0</v>
      </c>
      <c r="S80" s="59">
        <v>2</v>
      </c>
      <c r="T80" s="59"/>
      <c r="U80" s="58">
        <v>45345</v>
      </c>
      <c r="V80" s="58">
        <v>45410</v>
      </c>
      <c r="W80" s="59">
        <f>V80-U80</f>
        <v>65</v>
      </c>
      <c r="X80" s="59">
        <v>0</v>
      </c>
      <c r="Y80" s="59">
        <v>1</v>
      </c>
      <c r="Z80" s="59"/>
      <c r="AA80" s="58"/>
      <c r="AB80" s="58"/>
      <c r="AC80" s="59"/>
      <c r="AD80" s="59"/>
      <c r="AE80" s="59"/>
      <c r="AF80" s="59"/>
      <c r="AG80" s="58"/>
      <c r="AH80" s="58"/>
      <c r="AI80" s="59"/>
      <c r="AJ80" s="59"/>
      <c r="AK80" s="59"/>
      <c r="AL80" s="59"/>
      <c r="AM80" s="58"/>
      <c r="AN80" s="58"/>
      <c r="AO80" s="59"/>
      <c r="AP80" s="59"/>
      <c r="AQ80" s="59"/>
      <c r="AR80" s="59"/>
      <c r="AS80" s="58"/>
      <c r="AT80" s="58"/>
      <c r="AU80" s="59"/>
      <c r="AV80" s="59"/>
      <c r="AW80" s="59"/>
      <c r="AX80" s="59"/>
      <c r="AY80" s="58"/>
      <c r="AZ80" s="58"/>
      <c r="BA80" s="59"/>
      <c r="BB80" s="59"/>
      <c r="BC80" s="59"/>
      <c r="BD80" s="59"/>
      <c r="BE80" s="58"/>
      <c r="BF80" s="58"/>
      <c r="BG80" s="59"/>
      <c r="BH80" s="59"/>
      <c r="BI80" s="59"/>
      <c r="BJ80" s="59"/>
      <c r="BK80" s="58"/>
      <c r="BL80" s="58"/>
      <c r="BM80" s="59"/>
      <c r="BN80" s="59"/>
      <c r="BO80" s="59"/>
    </row>
    <row r="81" spans="1:67" s="62" customFormat="1" thickTop="1" thickBot="1">
      <c r="A81" s="59" t="s">
        <v>1029</v>
      </c>
      <c r="B81" s="58">
        <v>44641</v>
      </c>
      <c r="C81" s="73"/>
      <c r="D81" s="61"/>
      <c r="E81" s="61"/>
      <c r="F81" s="58"/>
      <c r="G81" s="59">
        <f>COUNTIFS(猫统计!I81,"&lt;&gt;")+COUNTIFS(猫统计!O81,"&lt;&gt;")+COUNTIFS(猫统计!U81,"&lt;&gt;")+COUNTIFS(猫统计!AA81,"&lt;&gt;")+COUNTIFS(猫统计!AG81,"&lt;&gt;")+COUNTIFS(猫统计!AM81,"&lt;&gt;")+COUNTIFS(猫统计!AS81,"&lt;&gt;")+COUNTIFS(猫统计!AY81,"&lt;&gt;")+COUNTIFS(猫统计!BE81,"&lt;&gt;")+COUNTIFS(猫统计!BK81,"&lt;&gt;")</f>
        <v>3</v>
      </c>
      <c r="H81" s="59"/>
      <c r="I81" s="58">
        <v>44941</v>
      </c>
      <c r="J81" s="58">
        <v>45008</v>
      </c>
      <c r="K81" s="59">
        <f t="shared" si="15"/>
        <v>67</v>
      </c>
      <c r="L81" s="59">
        <v>2</v>
      </c>
      <c r="M81" s="59">
        <v>2</v>
      </c>
      <c r="N81" s="59"/>
      <c r="O81" s="58">
        <v>45125</v>
      </c>
      <c r="P81" s="58">
        <v>45187</v>
      </c>
      <c r="Q81" s="59">
        <f>P81-O81</f>
        <v>62</v>
      </c>
      <c r="R81" s="59">
        <v>3</v>
      </c>
      <c r="S81" s="59">
        <v>1</v>
      </c>
      <c r="T81" s="59"/>
      <c r="U81" s="58">
        <v>45360</v>
      </c>
      <c r="V81" s="58">
        <v>45426</v>
      </c>
      <c r="W81" s="59">
        <f>V81-U81</f>
        <v>66</v>
      </c>
      <c r="X81" s="59">
        <v>1</v>
      </c>
      <c r="Y81" s="59">
        <v>1</v>
      </c>
      <c r="Z81" s="59"/>
      <c r="AA81" s="58"/>
      <c r="AB81" s="58"/>
      <c r="AC81" s="59"/>
      <c r="AD81" s="59"/>
      <c r="AE81" s="59"/>
      <c r="AF81" s="59"/>
      <c r="AG81" s="58"/>
      <c r="AH81" s="58"/>
      <c r="AI81" s="59"/>
      <c r="AJ81" s="59"/>
      <c r="AK81" s="59"/>
      <c r="AL81" s="59"/>
      <c r="AM81" s="58"/>
      <c r="AN81" s="58"/>
      <c r="AO81" s="59"/>
      <c r="AP81" s="59"/>
      <c r="AQ81" s="59"/>
      <c r="AR81" s="59"/>
      <c r="AS81" s="58"/>
      <c r="AT81" s="58"/>
      <c r="AU81" s="59"/>
      <c r="AV81" s="59"/>
      <c r="AW81" s="59"/>
      <c r="AX81" s="59"/>
      <c r="AY81" s="58"/>
      <c r="AZ81" s="58"/>
      <c r="BA81" s="59"/>
      <c r="BB81" s="59"/>
      <c r="BC81" s="59"/>
      <c r="BD81" s="59"/>
      <c r="BE81" s="58"/>
      <c r="BF81" s="58"/>
      <c r="BG81" s="59"/>
      <c r="BH81" s="59"/>
      <c r="BI81" s="59"/>
      <c r="BJ81" s="59"/>
      <c r="BK81" s="58"/>
      <c r="BL81" s="58"/>
      <c r="BM81" s="59"/>
      <c r="BN81" s="59"/>
      <c r="BO81" s="59"/>
    </row>
    <row r="82" spans="1:67" s="62" customFormat="1" thickTop="1" thickBot="1">
      <c r="A82" s="59" t="s">
        <v>903</v>
      </c>
      <c r="B82" s="58">
        <v>44299</v>
      </c>
      <c r="C82" s="73"/>
      <c r="D82" s="61"/>
      <c r="E82" s="61"/>
      <c r="F82" s="58"/>
      <c r="G82" s="59">
        <f>COUNTIFS(猫统计!I82,"&lt;&gt;")+COUNTIFS(猫统计!O82,"&lt;&gt;")+COUNTIFS(猫统计!U82,"&lt;&gt;")+COUNTIFS(猫统计!AA82,"&lt;&gt;")+COUNTIFS(猫统计!AG82,"&lt;&gt;")+COUNTIFS(猫统计!AM82,"&lt;&gt;")+COUNTIFS(猫统计!AS82,"&lt;&gt;")+COUNTIFS(猫统计!AY82,"&lt;&gt;")+COUNTIFS(猫统计!BE82,"&lt;&gt;")+COUNTIFS(猫统计!BK82,"&lt;&gt;")</f>
        <v>5</v>
      </c>
      <c r="H82" s="59"/>
      <c r="I82" s="58">
        <v>44650</v>
      </c>
      <c r="J82" s="58">
        <v>44715</v>
      </c>
      <c r="K82" s="59">
        <f t="shared" si="15"/>
        <v>65</v>
      </c>
      <c r="L82" s="59">
        <v>7</v>
      </c>
      <c r="M82" s="59">
        <v>3</v>
      </c>
      <c r="N82" s="59"/>
      <c r="O82" s="58">
        <v>44857</v>
      </c>
      <c r="P82" s="58">
        <v>44924</v>
      </c>
      <c r="Q82" s="59">
        <f>P82-O82</f>
        <v>67</v>
      </c>
      <c r="R82" s="59">
        <v>0</v>
      </c>
      <c r="S82" s="59">
        <v>3</v>
      </c>
      <c r="T82" s="59"/>
      <c r="U82" s="58">
        <v>45016</v>
      </c>
      <c r="V82" s="58">
        <v>45080</v>
      </c>
      <c r="W82" s="59">
        <f>V82-U82</f>
        <v>64</v>
      </c>
      <c r="X82" s="59">
        <v>3</v>
      </c>
      <c r="Y82" s="59">
        <v>4</v>
      </c>
      <c r="Z82" s="59"/>
      <c r="AA82" s="58">
        <v>45192</v>
      </c>
      <c r="AB82" s="58">
        <v>45258</v>
      </c>
      <c r="AC82" s="59">
        <f>AB82-AA82</f>
        <v>66</v>
      </c>
      <c r="AD82" s="59">
        <v>0</v>
      </c>
      <c r="AE82" s="59">
        <v>6</v>
      </c>
      <c r="AF82" s="59"/>
      <c r="AG82" s="58">
        <v>45369</v>
      </c>
      <c r="AH82" s="58">
        <v>45435</v>
      </c>
      <c r="AI82" s="59">
        <f>AH82-AG82</f>
        <v>66</v>
      </c>
      <c r="AJ82" s="59">
        <v>4</v>
      </c>
      <c r="AK82" s="59">
        <v>0</v>
      </c>
      <c r="AL82" s="59"/>
      <c r="AM82" s="58"/>
      <c r="AN82" s="58"/>
      <c r="AO82" s="59"/>
      <c r="AP82" s="59"/>
      <c r="AQ82" s="59"/>
      <c r="AR82" s="59"/>
      <c r="AS82" s="58"/>
      <c r="AT82" s="58"/>
      <c r="AU82" s="59"/>
      <c r="AV82" s="59"/>
      <c r="AW82" s="59"/>
      <c r="AX82" s="59"/>
      <c r="AY82" s="58"/>
      <c r="AZ82" s="58"/>
      <c r="BA82" s="59"/>
      <c r="BB82" s="59"/>
      <c r="BC82" s="59"/>
      <c r="BD82" s="59"/>
      <c r="BE82" s="58"/>
      <c r="BF82" s="58"/>
      <c r="BG82" s="59"/>
      <c r="BH82" s="59"/>
      <c r="BI82" s="59"/>
      <c r="BJ82" s="59"/>
      <c r="BK82" s="58"/>
      <c r="BL82" s="58"/>
      <c r="BM82" s="59"/>
      <c r="BN82" s="59"/>
      <c r="BO82" s="59"/>
    </row>
    <row r="83" spans="1:67" s="62" customFormat="1" thickTop="1" thickBot="1">
      <c r="A83" s="59" t="s">
        <v>1173</v>
      </c>
      <c r="B83" s="58"/>
      <c r="C83" s="73"/>
      <c r="D83" s="61"/>
      <c r="E83" s="61"/>
      <c r="F83" s="58"/>
      <c r="G83" s="59">
        <f>COUNTIFS(猫统计!I83,"&lt;&gt;")+COUNTIFS(猫统计!O83,"&lt;&gt;")+COUNTIFS(猫统计!U83,"&lt;&gt;")+COUNTIFS(猫统计!AA83,"&lt;&gt;")+COUNTIFS(猫统计!AG83,"&lt;&gt;")+COUNTIFS(猫统计!AM83,"&lt;&gt;")+COUNTIFS(猫统计!AS83,"&lt;&gt;")+COUNTIFS(猫统计!AY83,"&lt;&gt;")+COUNTIFS(猫统计!BE83,"&lt;&gt;")+COUNTIFS(猫统计!BK83,"&lt;&gt;")</f>
        <v>1</v>
      </c>
      <c r="H83" s="59"/>
      <c r="I83" s="58">
        <v>45362</v>
      </c>
      <c r="J83" s="58">
        <v>45430</v>
      </c>
      <c r="K83" s="59">
        <f>J83-I83</f>
        <v>68</v>
      </c>
      <c r="L83" s="59">
        <v>1</v>
      </c>
      <c r="M83" s="59">
        <v>3</v>
      </c>
      <c r="N83" s="59"/>
      <c r="O83" s="58"/>
      <c r="P83" s="58"/>
      <c r="Q83" s="59"/>
      <c r="R83" s="59"/>
      <c r="S83" s="59"/>
      <c r="T83" s="59"/>
      <c r="U83" s="58"/>
      <c r="V83" s="58"/>
      <c r="W83" s="59"/>
      <c r="X83" s="59"/>
      <c r="Y83" s="59"/>
      <c r="Z83" s="59"/>
      <c r="AA83" s="58"/>
      <c r="AB83" s="58"/>
      <c r="AC83" s="59"/>
      <c r="AD83" s="59"/>
      <c r="AE83" s="59"/>
      <c r="AF83" s="59"/>
      <c r="AG83" s="58"/>
      <c r="AH83" s="58"/>
      <c r="AI83" s="59"/>
      <c r="AJ83" s="59"/>
      <c r="AK83" s="59"/>
      <c r="AL83" s="59"/>
      <c r="AM83" s="58"/>
      <c r="AN83" s="58"/>
      <c r="AO83" s="59"/>
      <c r="AP83" s="59"/>
      <c r="AQ83" s="59"/>
      <c r="AR83" s="59"/>
      <c r="AS83" s="58"/>
      <c r="AT83" s="58"/>
      <c r="AU83" s="59"/>
      <c r="AV83" s="59"/>
      <c r="AW83" s="59"/>
      <c r="AX83" s="59"/>
      <c r="AY83" s="58"/>
      <c r="AZ83" s="58"/>
      <c r="BA83" s="59"/>
      <c r="BB83" s="59"/>
      <c r="BC83" s="59"/>
      <c r="BD83" s="59"/>
      <c r="BE83" s="58"/>
      <c r="BF83" s="58"/>
      <c r="BG83" s="59"/>
      <c r="BH83" s="59"/>
      <c r="BI83" s="59"/>
      <c r="BJ83" s="59"/>
      <c r="BK83" s="58"/>
      <c r="BL83" s="58"/>
      <c r="BM83" s="59"/>
      <c r="BN83" s="59"/>
      <c r="BO83" s="59"/>
    </row>
    <row r="84" spans="1:67" s="62" customFormat="1" thickTop="1" thickBot="1">
      <c r="A84" s="59" t="s">
        <v>1251</v>
      </c>
      <c r="B84" s="58">
        <v>45190</v>
      </c>
      <c r="C84" s="73"/>
      <c r="D84" s="61"/>
      <c r="E84" s="61"/>
      <c r="F84" s="58"/>
      <c r="G84" s="59">
        <v>1</v>
      </c>
      <c r="H84" s="59"/>
      <c r="I84" s="58">
        <v>45390</v>
      </c>
      <c r="J84" s="58">
        <v>45456</v>
      </c>
      <c r="K84" s="59">
        <v>65</v>
      </c>
      <c r="L84" s="59">
        <v>0</v>
      </c>
      <c r="M84" s="59">
        <v>3</v>
      </c>
      <c r="N84" s="59"/>
      <c r="O84" s="58"/>
      <c r="P84" s="58"/>
      <c r="Q84" s="59"/>
      <c r="R84" s="59"/>
      <c r="S84" s="59"/>
      <c r="T84" s="59"/>
      <c r="U84" s="58"/>
      <c r="V84" s="58"/>
      <c r="W84" s="59"/>
      <c r="X84" s="59"/>
      <c r="Y84" s="59"/>
      <c r="Z84" s="59"/>
      <c r="AA84" s="58"/>
      <c r="AB84" s="58"/>
      <c r="AC84" s="59"/>
      <c r="AD84" s="59"/>
      <c r="AE84" s="59"/>
      <c r="AF84" s="59"/>
      <c r="AG84" s="58"/>
      <c r="AH84" s="58"/>
      <c r="AI84" s="59"/>
      <c r="AJ84" s="59"/>
      <c r="AK84" s="59"/>
      <c r="AL84" s="59"/>
      <c r="AM84" s="58"/>
      <c r="AN84" s="58"/>
      <c r="AO84" s="59"/>
      <c r="AP84" s="59"/>
      <c r="AQ84" s="59"/>
      <c r="AR84" s="59"/>
      <c r="AS84" s="58"/>
      <c r="AT84" s="58"/>
      <c r="AU84" s="59"/>
      <c r="AV84" s="59"/>
      <c r="AW84" s="59"/>
      <c r="AX84" s="59"/>
      <c r="AY84" s="58"/>
      <c r="AZ84" s="58"/>
      <c r="BA84" s="59"/>
      <c r="BB84" s="59"/>
      <c r="BC84" s="59"/>
      <c r="BD84" s="59"/>
      <c r="BE84" s="58"/>
      <c r="BF84" s="58"/>
      <c r="BG84" s="59"/>
      <c r="BH84" s="59"/>
      <c r="BI84" s="59"/>
      <c r="BJ84" s="59"/>
      <c r="BK84" s="58"/>
      <c r="BL84" s="58"/>
      <c r="BM84" s="59"/>
      <c r="BN84" s="59"/>
      <c r="BO84" s="59"/>
    </row>
    <row r="85" spans="1:67" s="62" customFormat="1" thickTop="1" thickBot="1">
      <c r="A85" s="59" t="s">
        <v>166</v>
      </c>
      <c r="B85" s="58">
        <v>42856</v>
      </c>
      <c r="C85" s="73"/>
      <c r="D85" s="61"/>
      <c r="E85" s="61"/>
      <c r="F85" s="58"/>
      <c r="G85" s="59">
        <f>COUNTIFS(猫统计!I85,"&lt;&gt;")+COUNTIFS(猫统计!O85,"&lt;&gt;")+COUNTIFS(猫统计!U85,"&lt;&gt;")+COUNTIFS(猫统计!AA85,"&lt;&gt;")+COUNTIFS(猫统计!AG85,"&lt;&gt;")+COUNTIFS(猫统计!AM85,"&lt;&gt;")+COUNTIFS(猫统计!AS85,"&lt;&gt;")+COUNTIFS(猫统计!AY85,"&lt;&gt;")+COUNTIFS(猫统计!BE85,"&lt;&gt;")+COUNTIFS(猫统计!BK85,"&lt;&gt;")</f>
        <v>5</v>
      </c>
      <c r="H85" s="59"/>
      <c r="I85" s="58">
        <v>43922</v>
      </c>
      <c r="J85" s="58">
        <v>43988</v>
      </c>
      <c r="K85" s="59">
        <f>J85-I85</f>
        <v>66</v>
      </c>
      <c r="L85" s="59">
        <v>0</v>
      </c>
      <c r="M85" s="59">
        <v>2</v>
      </c>
      <c r="N85" s="59"/>
      <c r="O85" s="58">
        <v>44052</v>
      </c>
      <c r="P85" s="58">
        <v>44118</v>
      </c>
      <c r="Q85" s="59">
        <f>P85-O85</f>
        <v>66</v>
      </c>
      <c r="R85" s="59">
        <v>1</v>
      </c>
      <c r="S85" s="59">
        <v>4</v>
      </c>
      <c r="T85" s="59"/>
      <c r="U85" s="58">
        <v>44217</v>
      </c>
      <c r="V85" s="58">
        <v>44283</v>
      </c>
      <c r="W85" s="59">
        <f>V85-U85</f>
        <v>66</v>
      </c>
      <c r="X85" s="59">
        <v>1</v>
      </c>
      <c r="Y85" s="59">
        <v>5</v>
      </c>
      <c r="Z85" s="59"/>
      <c r="AA85" s="58">
        <v>44403</v>
      </c>
      <c r="AB85" s="58">
        <v>44469</v>
      </c>
      <c r="AC85" s="59">
        <f>AB85-AA85</f>
        <v>66</v>
      </c>
      <c r="AD85" s="59">
        <v>2</v>
      </c>
      <c r="AE85" s="59">
        <v>4</v>
      </c>
      <c r="AF85" s="59"/>
      <c r="AG85" s="58">
        <v>45371</v>
      </c>
      <c r="AH85" s="58">
        <v>45437</v>
      </c>
      <c r="AI85" s="59">
        <f>AH85-AG85</f>
        <v>66</v>
      </c>
      <c r="AJ85" s="59">
        <v>2</v>
      </c>
      <c r="AK85" s="59">
        <v>1</v>
      </c>
      <c r="AL85" s="59"/>
      <c r="AM85" s="58"/>
      <c r="AN85" s="58"/>
      <c r="AO85" s="59"/>
      <c r="AP85" s="59"/>
      <c r="AQ85" s="59"/>
      <c r="AR85" s="59"/>
      <c r="AS85" s="58"/>
      <c r="AT85" s="58"/>
      <c r="AU85" s="59"/>
      <c r="AV85" s="59"/>
      <c r="AW85" s="59"/>
      <c r="AX85" s="59"/>
      <c r="AY85" s="58"/>
      <c r="AZ85" s="58"/>
      <c r="BA85" s="59"/>
      <c r="BB85" s="59"/>
      <c r="BC85" s="59"/>
      <c r="BD85" s="59"/>
      <c r="BE85" s="58"/>
      <c r="BF85" s="58"/>
      <c r="BG85" s="59"/>
      <c r="BH85" s="59"/>
      <c r="BI85" s="59"/>
      <c r="BJ85" s="59"/>
      <c r="BK85" s="58"/>
      <c r="BL85" s="58"/>
      <c r="BM85" s="59"/>
      <c r="BN85" s="59"/>
      <c r="BO85" s="59"/>
    </row>
    <row r="86" spans="1:67" s="62" customFormat="1" thickTop="1" thickBot="1">
      <c r="A86" s="59" t="s">
        <v>1268</v>
      </c>
      <c r="B86" s="58">
        <v>45159</v>
      </c>
      <c r="C86" s="73"/>
      <c r="D86" s="61"/>
      <c r="E86" s="61"/>
      <c r="F86" s="58"/>
      <c r="G86" s="59">
        <v>1</v>
      </c>
      <c r="H86" s="59"/>
      <c r="I86" s="58">
        <v>45444</v>
      </c>
      <c r="J86" s="58">
        <v>45509</v>
      </c>
      <c r="K86" s="59">
        <f>J86-I86</f>
        <v>65</v>
      </c>
      <c r="L86" s="59">
        <v>3</v>
      </c>
      <c r="M86" s="59">
        <v>0</v>
      </c>
      <c r="N86" s="59"/>
      <c r="O86" s="58"/>
      <c r="P86" s="58"/>
      <c r="Q86" s="59"/>
      <c r="R86" s="59"/>
      <c r="S86" s="59"/>
      <c r="T86" s="59"/>
      <c r="U86" s="58"/>
      <c r="V86" s="58"/>
      <c r="W86" s="59"/>
      <c r="X86" s="59"/>
      <c r="Y86" s="59"/>
      <c r="Z86" s="59"/>
      <c r="AA86" s="58"/>
      <c r="AB86" s="58"/>
      <c r="AC86" s="59"/>
      <c r="AD86" s="59"/>
      <c r="AE86" s="59"/>
      <c r="AF86" s="59"/>
      <c r="AG86" s="58"/>
      <c r="AH86" s="58"/>
      <c r="AI86" s="59"/>
      <c r="AJ86" s="59"/>
      <c r="AK86" s="59"/>
      <c r="AL86" s="59"/>
      <c r="AM86" s="58"/>
      <c r="AN86" s="58"/>
      <c r="AO86" s="59"/>
      <c r="AP86" s="59"/>
      <c r="AQ86" s="59"/>
      <c r="AR86" s="59"/>
      <c r="AS86" s="58"/>
      <c r="AT86" s="58"/>
      <c r="AU86" s="59"/>
      <c r="AV86" s="59"/>
      <c r="AW86" s="59"/>
      <c r="AX86" s="59"/>
      <c r="AY86" s="58"/>
      <c r="AZ86" s="58"/>
      <c r="BA86" s="59"/>
      <c r="BB86" s="59"/>
      <c r="BC86" s="59"/>
      <c r="BD86" s="59"/>
      <c r="BE86" s="58"/>
      <c r="BF86" s="58"/>
      <c r="BG86" s="59"/>
      <c r="BH86" s="59"/>
      <c r="BI86" s="59"/>
      <c r="BJ86" s="59"/>
      <c r="BK86" s="58"/>
      <c r="BL86" s="58"/>
      <c r="BM86" s="59"/>
      <c r="BN86" s="59"/>
      <c r="BO86" s="59"/>
    </row>
    <row r="87" spans="1:67" thickTop="1" thickBot="1">
      <c r="C87" s="73"/>
      <c r="D87" s="61"/>
      <c r="E87" s="61"/>
      <c r="F87" s="58"/>
    </row>
    <row r="88" spans="1:67" ht="12.75"/>
    <row r="89" spans="1:67" ht="12.75"/>
    <row r="90" spans="1:67" ht="12.75"/>
    <row r="91" spans="1:67" ht="12.75"/>
    <row r="92" spans="1:67" ht="12.75"/>
    <row r="93" spans="1:67" ht="12.75"/>
    <row r="94" spans="1:67" ht="12.75"/>
    <row r="95" spans="1:67" ht="12.75"/>
    <row r="96" spans="1:67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/>
    <row r="416"/>
    <row r="417"/>
    <row r="418"/>
    <row r="419" ht="12.75"/>
    <row r="420"/>
    <row r="421" ht="12.75"/>
    <row r="422"/>
    <row r="423"/>
  </sheetData>
  <sortState xmlns:xlrd2="http://schemas.microsoft.com/office/spreadsheetml/2017/richdata2" ref="A33:AA89">
    <sortCondition ref="F1:F89"/>
  </sortState>
  <phoneticPr fontId="2" type="noConversion"/>
  <conditionalFormatting sqref="D39:E87 D2:E9 D4:D22 D13:E32">
    <cfRule type="cellIs" dxfId="24" priority="416" operator="equal">
      <formula>"预备种母"</formula>
    </cfRule>
    <cfRule type="cellIs" dxfId="23" priority="418" operator="equal">
      <formula>"种母"</formula>
    </cfRule>
    <cfRule type="cellIs" dxfId="22" priority="422" operator="equal">
      <formula>1</formula>
    </cfRule>
  </conditionalFormatting>
  <conditionalFormatting sqref="D42:E87 D2:E9 D4:D22 D13:E32">
    <cfRule type="cellIs" dxfId="21" priority="448" operator="equal">
      <formula>"预售"</formula>
    </cfRule>
  </conditionalFormatting>
  <conditionalFormatting sqref="D47:E87 D2:E9 D4:D22 D13:E32">
    <cfRule type="containsText" dxfId="20" priority="348" operator="containsText" text="库存猫">
      <formula>NOT(ISERROR(SEARCH("库存猫",D2)))</formula>
    </cfRule>
    <cfRule type="containsText" dxfId="19" priority="349" operator="containsText" text="奶猫">
      <formula>NOT(ISERROR(SEARCH("奶猫",D2)))</formula>
    </cfRule>
  </conditionalFormatting>
  <conditionalFormatting sqref="D84:E87 D2:E9 D4:D22 D13:E32">
    <cfRule type="cellIs" dxfId="18" priority="442" operator="equal">
      <formula>"预备种公"</formula>
    </cfRule>
    <cfRule type="cellIs" dxfId="17" priority="447" operator="equal">
      <formula>"种公"</formula>
    </cfRule>
  </conditionalFormatting>
  <conditionalFormatting sqref="D39:E41">
    <cfRule type="cellIs" dxfId="16" priority="421" operator="equal">
      <formula>2</formula>
    </cfRule>
  </conditionalFormatting>
  <conditionalFormatting sqref="D39:E87">
    <cfRule type="cellIs" dxfId="15" priority="414" operator="equal">
      <formula>"预备种公"</formula>
    </cfRule>
    <cfRule type="cellIs" dxfId="14" priority="415" operator="equal">
      <formula>"预备种公"</formula>
    </cfRule>
    <cfRule type="cellIs" dxfId="13" priority="419" operator="equal">
      <formula>"种公"</formula>
    </cfRule>
    <cfRule type="cellIs" dxfId="12" priority="420" operator="equal">
      <formula>"种公"</formula>
    </cfRule>
  </conditionalFormatting>
  <conditionalFormatting sqref="D84:E87 D2:E9 D4:D22 D13:E32">
    <cfRule type="cellIs" dxfId="11" priority="441" operator="equal">
      <formula>"预备种公"</formula>
    </cfRule>
    <cfRule type="cellIs" dxfId="10" priority="446" operator="equal">
      <formula>"种公"</formula>
    </cfRule>
  </conditionalFormatting>
  <conditionalFormatting sqref="E8">
    <cfRule type="containsText" dxfId="9" priority="1" operator="containsText" text="库存猫">
      <formula>NOT(ISERROR(SEARCH("库存猫",E8)))</formula>
    </cfRule>
    <cfRule type="containsText" dxfId="8" priority="2" operator="containsText" text="奶猫">
      <formula>NOT(ISERROR(SEARCH("奶猫",E8)))</formula>
    </cfRule>
    <cfRule type="cellIs" dxfId="7" priority="3" operator="equal">
      <formula>"预备种母"</formula>
    </cfRule>
    <cfRule type="cellIs" dxfId="6" priority="4" operator="equal">
      <formula>"种母"</formula>
    </cfRule>
    <cfRule type="cellIs" dxfId="5" priority="5" operator="equal">
      <formula>1</formula>
    </cfRule>
    <cfRule type="cellIs" dxfId="4" priority="6" operator="equal">
      <formula>"预备种公"</formula>
    </cfRule>
    <cfRule type="cellIs" dxfId="3" priority="7" operator="equal">
      <formula>"预备种公"</formula>
    </cfRule>
    <cfRule type="cellIs" dxfId="2" priority="8" operator="equal">
      <formula>"种公"</formula>
    </cfRule>
    <cfRule type="cellIs" dxfId="1" priority="9" operator="equal">
      <formula>"种公"</formula>
    </cfRule>
    <cfRule type="cellIs" dxfId="0" priority="10" operator="equal">
      <formula>"预售"</formula>
    </cfRule>
  </conditionalFormatting>
  <dataValidations count="9">
    <dataValidation type="list" allowBlank="1" showInputMessage="1" showErrorMessage="1" sqref="F42 F38 F45 F49 F52:F87 F2:F32" xr:uid="{450A9C96-1782-4895-A534-EA2738D63A7C}">
      <formula1>"猫舍客厅,猫舍卧室,家客厅,家卧室,金州家,金州地下室,南希店"</formula1>
    </dataValidation>
    <dataValidation type="list" allowBlank="1" showInputMessage="1" showErrorMessage="1" sqref="F39:F41 F43:F87 F2:F32" xr:uid="{707D7F93-7907-401F-93EC-1C8C27D7A4BF}">
      <formula1>"猫舍1F小卧室,猫舍1F客厅,猫舍1F大卧室,家客厅,家卧室,金州,南希店"</formula1>
    </dataValidation>
    <dataValidation type="list" allowBlank="1" showInputMessage="1" showErrorMessage="1" sqref="F34:F37" xr:uid="{18A33608-D9CF-4757-9274-7BE4AE49F010}">
      <formula1>"猫舍1F小卧室,猫舍1F客厅,猫舍1F大卧室,家客厅,家卧室,金州,南希店,NULL"</formula1>
    </dataValidation>
    <dataValidation type="list" allowBlank="1" showInputMessage="1" showErrorMessage="1" sqref="D39:E39" xr:uid="{7F9483C3-DA6F-4E00-A5DE-BDEA603A960D}">
      <formula1>"种公,种母,预备种公,预备种母,其它"</formula1>
    </dataValidation>
    <dataValidation type="list" allowBlank="1" showInputMessage="1" showErrorMessage="1" sqref="D40:E87 D2:E9 D4:D22 E13:E22 D23:E32" xr:uid="{1A783F39-689C-44CB-9587-C032031A495E}">
      <formula1>"种公,种母,预备种公,预备种母,小猫,其它"</formula1>
    </dataValidation>
    <dataValidation type="list" allowBlank="1" showInputMessage="1" showErrorMessage="1" sqref="E84:E87 D2:E9 D4:D22 E13:E22 D23:E32" xr:uid="{56285F3A-10B4-4435-80A3-22CBFDD0AD76}">
      <formula1>"种公,种母,预备种公,预备种母,奶猫,库存猫,预售"</formula1>
    </dataValidation>
    <dataValidation type="list" allowBlank="1" showInputMessage="1" showErrorMessage="1" sqref="E84:E87 D2:E9 D4:D22 E13:E22 D23:E32" xr:uid="{36E5459D-3489-46E9-A4D8-D38075389035}">
      <formula1>"种公,种母,预备种公,预备种母,奶猫,库存猫"</formula1>
    </dataValidation>
    <dataValidation type="list" allowBlank="1" showInputMessage="1" showErrorMessage="1" sqref="D28" xr:uid="{B42C9BBA-176D-4C5B-83F3-55B739B7371C}">
      <formula1>"种公,种母,预备种公,预备种母,奶猫,预售"</formula1>
    </dataValidation>
    <dataValidation type="list" allowBlank="1" showInputMessage="1" showErrorMessage="1" sqref="F2:F32" xr:uid="{A7183B78-5D17-4E4D-8FC6-EB0FAE85A106}">
      <formula1>"猫舍1F小卧室,猫舍1F客厅,猫舍1F大卧室,猫舍1F大卧室散养区,家客厅,家卧室,金州,南希店"</formula1>
    </dataValidation>
  </dataValidations>
  <pageMargins left="0.7" right="0.7" top="0.75" bottom="0.75" header="0.3" footer="0.3"/>
  <pageSetup paperSize="9" orientation="portrait" horizontalDpi="4294967293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80ED6-6A99-4AAA-889A-25DB0176E124}">
  <sheetPr codeName="Sheet3"/>
  <dimension ref="A1:V42"/>
  <sheetViews>
    <sheetView topLeftCell="B1" zoomScaleNormal="100" workbookViewId="0">
      <selection activeCell="H45" sqref="H45"/>
    </sheetView>
  </sheetViews>
  <sheetFormatPr defaultColWidth="9.140625" defaultRowHeight="15"/>
  <cols>
    <col min="1" max="1" width="8.28515625" style="4" customWidth="1"/>
    <col min="2" max="3" width="11.28515625" style="37" customWidth="1"/>
    <col min="4" max="4" width="15" style="4" customWidth="1"/>
    <col min="5" max="5" width="15.140625" style="4" customWidth="1"/>
    <col min="6" max="6" width="20.85546875" style="4" bestFit="1" customWidth="1"/>
    <col min="7" max="7" width="12.28515625" style="4" customWidth="1"/>
    <col min="8" max="11" width="14.140625" style="4" customWidth="1"/>
    <col min="12" max="16" width="9.140625" style="4"/>
    <col min="17" max="17" width="20.28515625" style="4" bestFit="1" customWidth="1"/>
    <col min="18" max="18" width="22.42578125" style="4" bestFit="1" customWidth="1"/>
    <col min="19" max="16384" width="9.140625" style="4"/>
  </cols>
  <sheetData>
    <row r="1" spans="1:22" ht="16.5" thickTop="1" thickBot="1">
      <c r="A1" s="2" t="s">
        <v>336</v>
      </c>
      <c r="B1" s="76" t="s">
        <v>636</v>
      </c>
      <c r="C1" s="76" t="s">
        <v>637</v>
      </c>
      <c r="D1" s="2" t="s">
        <v>638</v>
      </c>
      <c r="E1" s="2" t="s">
        <v>639</v>
      </c>
      <c r="F1" s="2" t="s">
        <v>860</v>
      </c>
      <c r="G1" s="2" t="s">
        <v>859</v>
      </c>
      <c r="H1" s="2" t="s">
        <v>642</v>
      </c>
      <c r="I1" s="2" t="s">
        <v>643</v>
      </c>
      <c r="J1" s="2" t="s">
        <v>644</v>
      </c>
      <c r="K1" s="2" t="s">
        <v>646</v>
      </c>
      <c r="M1" s="2" t="s">
        <v>636</v>
      </c>
      <c r="N1" s="2" t="s">
        <v>637</v>
      </c>
      <c r="O1" s="2" t="s">
        <v>638</v>
      </c>
      <c r="P1" s="2" t="s">
        <v>639</v>
      </c>
      <c r="Q1" s="2" t="s">
        <v>640</v>
      </c>
      <c r="R1" s="2" t="s">
        <v>641</v>
      </c>
      <c r="S1" s="2" t="s">
        <v>642</v>
      </c>
      <c r="T1" s="2" t="s">
        <v>643</v>
      </c>
      <c r="U1" s="2" t="s">
        <v>644</v>
      </c>
      <c r="V1" s="2" t="s">
        <v>646</v>
      </c>
    </row>
    <row r="2" spans="1:22" ht="16.5" thickTop="1" thickBot="1">
      <c r="A2" s="3">
        <v>44470</v>
      </c>
      <c r="B2" s="77">
        <v>3</v>
      </c>
      <c r="C2" s="77">
        <v>15</v>
      </c>
      <c r="D2" s="6">
        <v>2</v>
      </c>
      <c r="E2" s="6">
        <v>9</v>
      </c>
      <c r="F2" s="6">
        <v>57</v>
      </c>
      <c r="G2" s="6">
        <v>24</v>
      </c>
      <c r="H2" s="6">
        <v>5</v>
      </c>
      <c r="I2" s="6">
        <v>24</v>
      </c>
      <c r="J2" s="6">
        <v>81</v>
      </c>
      <c r="K2" s="6">
        <v>110</v>
      </c>
      <c r="M2" s="6">
        <f>COUNTIF(猫统计!D:D,"种公")</f>
        <v>2</v>
      </c>
      <c r="N2" s="6">
        <f>COUNTIF(猫统计!D:D,"种母")</f>
        <v>8</v>
      </c>
      <c r="O2" s="6">
        <f>COUNTIF(猫统计!D:D,"预备种公")</f>
        <v>0</v>
      </c>
      <c r="P2" s="6">
        <f>COUNTIF(猫统计!D:D,"预备种母")</f>
        <v>0</v>
      </c>
      <c r="Q2" s="6">
        <f>COUNTIF(猫统计!D:D,"奶猫")</f>
        <v>11</v>
      </c>
      <c r="R2" s="6">
        <f>COUNTIF(猫统计!D:D,"库存猫")+COUNTIF(猫统计!D:D,"预售")</f>
        <v>10</v>
      </c>
      <c r="S2" s="6">
        <f>M2+O2</f>
        <v>2</v>
      </c>
      <c r="T2" s="6">
        <f>N2+P2</f>
        <v>8</v>
      </c>
      <c r="U2" s="6">
        <f>Q2+R2</f>
        <v>21</v>
      </c>
      <c r="V2" s="6">
        <f>S2+T2+U2</f>
        <v>31</v>
      </c>
    </row>
    <row r="3" spans="1:22" ht="16.5" thickTop="1" thickBot="1">
      <c r="A3" s="3">
        <v>44501</v>
      </c>
      <c r="B3" s="77">
        <v>2</v>
      </c>
      <c r="C3" s="77">
        <v>8</v>
      </c>
      <c r="D3" s="6">
        <v>3</v>
      </c>
      <c r="E3" s="6">
        <v>8</v>
      </c>
      <c r="F3" s="6">
        <v>34</v>
      </c>
      <c r="G3" s="6">
        <v>51</v>
      </c>
      <c r="H3" s="6">
        <v>5</v>
      </c>
      <c r="I3" s="6">
        <v>16</v>
      </c>
      <c r="J3" s="6">
        <v>85</v>
      </c>
      <c r="K3" s="6">
        <v>106</v>
      </c>
    </row>
    <row r="4" spans="1:22" ht="16.5" thickTop="1" thickBot="1">
      <c r="A4" s="3">
        <v>44531</v>
      </c>
      <c r="B4" s="77">
        <v>2</v>
      </c>
      <c r="C4" s="77">
        <v>8</v>
      </c>
      <c r="D4" s="6">
        <v>3</v>
      </c>
      <c r="E4" s="6">
        <v>11</v>
      </c>
      <c r="F4" s="6">
        <v>28</v>
      </c>
      <c r="G4" s="6">
        <v>33</v>
      </c>
      <c r="H4" s="6">
        <v>5</v>
      </c>
      <c r="I4" s="6">
        <v>19</v>
      </c>
      <c r="J4" s="6">
        <v>61</v>
      </c>
      <c r="K4" s="6">
        <v>85</v>
      </c>
    </row>
    <row r="5" spans="1:22" ht="16.5" thickTop="1" thickBot="1">
      <c r="A5" s="3">
        <v>44562</v>
      </c>
      <c r="B5" s="77">
        <v>2</v>
      </c>
      <c r="C5" s="77">
        <v>8</v>
      </c>
      <c r="D5" s="6">
        <v>3</v>
      </c>
      <c r="E5" s="6">
        <v>12</v>
      </c>
      <c r="F5" s="6">
        <v>12</v>
      </c>
      <c r="G5" s="6">
        <v>46</v>
      </c>
      <c r="H5" s="6">
        <v>5</v>
      </c>
      <c r="I5" s="6">
        <v>20</v>
      </c>
      <c r="J5" s="6">
        <v>58</v>
      </c>
      <c r="K5" s="6">
        <v>83</v>
      </c>
    </row>
    <row r="6" spans="1:22" ht="16.5" thickTop="1" thickBot="1">
      <c r="A6" s="3">
        <v>44593</v>
      </c>
      <c r="B6" s="77">
        <v>3</v>
      </c>
      <c r="C6" s="77">
        <v>18</v>
      </c>
      <c r="D6" s="6">
        <v>2</v>
      </c>
      <c r="E6" s="6">
        <v>4</v>
      </c>
      <c r="F6" s="6">
        <v>15</v>
      </c>
      <c r="G6" s="6">
        <v>25</v>
      </c>
      <c r="H6" s="6">
        <v>5</v>
      </c>
      <c r="I6" s="6">
        <v>22</v>
      </c>
      <c r="J6" s="6">
        <v>40</v>
      </c>
      <c r="K6" s="6">
        <v>67</v>
      </c>
    </row>
    <row r="7" spans="1:22" ht="16.5" thickTop="1" thickBot="1">
      <c r="A7" s="3">
        <v>44621</v>
      </c>
      <c r="B7" s="77">
        <v>2</v>
      </c>
      <c r="C7" s="77">
        <v>19</v>
      </c>
      <c r="D7" s="6">
        <v>2</v>
      </c>
      <c r="E7" s="6">
        <v>2</v>
      </c>
      <c r="F7" s="6">
        <v>19</v>
      </c>
      <c r="G7" s="6">
        <v>24</v>
      </c>
      <c r="H7" s="6">
        <v>4</v>
      </c>
      <c r="I7" s="6">
        <v>21</v>
      </c>
      <c r="J7" s="6">
        <v>43</v>
      </c>
      <c r="K7" s="6">
        <v>68</v>
      </c>
    </row>
    <row r="8" spans="1:22" ht="16.5" thickTop="1" thickBot="1">
      <c r="A8" s="3">
        <v>44652</v>
      </c>
      <c r="B8" s="77">
        <v>2</v>
      </c>
      <c r="C8" s="77">
        <v>19</v>
      </c>
      <c r="D8" s="6">
        <v>2</v>
      </c>
      <c r="E8" s="6">
        <v>2</v>
      </c>
      <c r="F8" s="6">
        <v>21</v>
      </c>
      <c r="G8" s="6">
        <v>27</v>
      </c>
      <c r="H8" s="6">
        <v>4</v>
      </c>
      <c r="I8" s="6">
        <v>21</v>
      </c>
      <c r="J8" s="6">
        <v>48</v>
      </c>
      <c r="K8" s="6">
        <v>73</v>
      </c>
    </row>
    <row r="9" spans="1:22" ht="16.5" thickTop="1" thickBot="1">
      <c r="A9" s="3">
        <v>44682</v>
      </c>
      <c r="B9" s="77">
        <v>2</v>
      </c>
      <c r="C9" s="77">
        <v>17</v>
      </c>
      <c r="D9" s="6">
        <v>3</v>
      </c>
      <c r="E9" s="6">
        <v>3</v>
      </c>
      <c r="F9" s="6">
        <v>18</v>
      </c>
      <c r="G9" s="6">
        <v>12</v>
      </c>
      <c r="H9" s="6">
        <v>5</v>
      </c>
      <c r="I9" s="6">
        <v>20</v>
      </c>
      <c r="J9" s="6">
        <v>30</v>
      </c>
      <c r="K9" s="6">
        <v>55</v>
      </c>
    </row>
    <row r="10" spans="1:22" ht="16.5" thickTop="1" thickBot="1">
      <c r="A10" s="3">
        <v>44713</v>
      </c>
      <c r="B10" s="77">
        <v>3</v>
      </c>
      <c r="C10" s="77">
        <v>18</v>
      </c>
      <c r="D10" s="6">
        <v>2</v>
      </c>
      <c r="E10" s="6">
        <v>7</v>
      </c>
      <c r="F10" s="6">
        <v>31</v>
      </c>
      <c r="G10" s="6">
        <v>17</v>
      </c>
      <c r="H10" s="6">
        <v>5</v>
      </c>
      <c r="I10" s="6">
        <v>25</v>
      </c>
      <c r="J10" s="6">
        <v>48</v>
      </c>
      <c r="K10" s="6">
        <v>78</v>
      </c>
    </row>
    <row r="11" spans="1:22" ht="16.5" thickTop="1" thickBot="1">
      <c r="A11" s="3">
        <v>44743</v>
      </c>
      <c r="B11" s="77">
        <v>3</v>
      </c>
      <c r="C11" s="77">
        <v>14</v>
      </c>
      <c r="D11" s="6">
        <v>2</v>
      </c>
      <c r="E11" s="6">
        <v>7</v>
      </c>
      <c r="F11" s="6">
        <v>37</v>
      </c>
      <c r="G11" s="6">
        <v>12</v>
      </c>
      <c r="H11" s="6">
        <v>5</v>
      </c>
      <c r="I11" s="6">
        <v>21</v>
      </c>
      <c r="J11" s="6">
        <v>49</v>
      </c>
      <c r="K11" s="6">
        <v>75</v>
      </c>
    </row>
    <row r="12" spans="1:22" ht="16.5" thickTop="1" thickBot="1">
      <c r="A12" s="3">
        <v>44774</v>
      </c>
      <c r="B12" s="77">
        <v>3</v>
      </c>
      <c r="C12" s="77">
        <v>16</v>
      </c>
      <c r="D12" s="6">
        <v>3</v>
      </c>
      <c r="E12" s="6">
        <v>6</v>
      </c>
      <c r="F12" s="6">
        <v>21</v>
      </c>
      <c r="G12" s="6">
        <v>9</v>
      </c>
      <c r="H12" s="6">
        <v>6</v>
      </c>
      <c r="I12" s="6">
        <v>22</v>
      </c>
      <c r="J12" s="6">
        <v>30</v>
      </c>
      <c r="K12" s="6">
        <v>58</v>
      </c>
    </row>
    <row r="13" spans="1:22" ht="16.5" thickTop="1" thickBot="1">
      <c r="A13" s="3">
        <v>44805</v>
      </c>
      <c r="B13" s="77">
        <v>3</v>
      </c>
      <c r="C13" s="77">
        <v>15</v>
      </c>
      <c r="D13" s="6">
        <v>3</v>
      </c>
      <c r="E13" s="6">
        <v>6</v>
      </c>
      <c r="F13" s="6">
        <v>28</v>
      </c>
      <c r="G13" s="6">
        <v>12</v>
      </c>
      <c r="H13" s="6">
        <v>6</v>
      </c>
      <c r="I13" s="6">
        <v>21</v>
      </c>
      <c r="J13" s="6">
        <v>40</v>
      </c>
      <c r="K13" s="6">
        <v>67</v>
      </c>
    </row>
    <row r="14" spans="1:22" ht="16.5" thickTop="1" thickBot="1">
      <c r="A14" s="3">
        <v>44835</v>
      </c>
      <c r="B14" s="77">
        <v>3</v>
      </c>
      <c r="C14" s="77">
        <v>10</v>
      </c>
      <c r="D14" s="6">
        <v>3</v>
      </c>
      <c r="E14" s="6">
        <v>6</v>
      </c>
      <c r="F14" s="6">
        <v>8</v>
      </c>
      <c r="G14" s="6">
        <v>20</v>
      </c>
      <c r="H14" s="6">
        <v>6</v>
      </c>
      <c r="I14" s="6">
        <v>16</v>
      </c>
      <c r="J14" s="6">
        <v>28</v>
      </c>
      <c r="K14" s="6">
        <v>50</v>
      </c>
      <c r="P14" s="1"/>
    </row>
    <row r="15" spans="1:22" ht="16.5" thickTop="1" thickBot="1">
      <c r="A15" s="3">
        <v>44866</v>
      </c>
      <c r="B15" s="77">
        <v>4</v>
      </c>
      <c r="C15" s="77">
        <v>13</v>
      </c>
      <c r="D15" s="6">
        <v>2</v>
      </c>
      <c r="E15" s="6">
        <v>4</v>
      </c>
      <c r="F15" s="6">
        <v>2</v>
      </c>
      <c r="G15" s="6">
        <v>17</v>
      </c>
      <c r="H15" s="6">
        <v>6</v>
      </c>
      <c r="I15" s="6">
        <v>17</v>
      </c>
      <c r="J15" s="6">
        <v>14</v>
      </c>
      <c r="K15" s="6">
        <v>42</v>
      </c>
    </row>
    <row r="16" spans="1:22" ht="16.5" thickTop="1" thickBot="1">
      <c r="A16" s="3">
        <v>44896</v>
      </c>
      <c r="B16" s="77">
        <v>4</v>
      </c>
      <c r="C16" s="77">
        <v>13</v>
      </c>
      <c r="D16" s="6">
        <v>3</v>
      </c>
      <c r="E16" s="6">
        <v>3</v>
      </c>
      <c r="F16" s="6">
        <v>3</v>
      </c>
      <c r="G16" s="6">
        <v>6</v>
      </c>
      <c r="H16" s="6">
        <v>7</v>
      </c>
      <c r="I16" s="6">
        <v>16</v>
      </c>
      <c r="J16" s="6">
        <v>14</v>
      </c>
      <c r="K16" s="6">
        <v>32</v>
      </c>
    </row>
    <row r="17" spans="1:11" ht="16.5" thickTop="1" thickBot="1">
      <c r="A17" s="3">
        <v>44927</v>
      </c>
      <c r="B17" s="77">
        <v>4</v>
      </c>
      <c r="C17" s="77">
        <v>13</v>
      </c>
      <c r="D17" s="2">
        <v>3</v>
      </c>
      <c r="E17" s="2">
        <v>3</v>
      </c>
      <c r="F17" s="2">
        <v>7</v>
      </c>
      <c r="G17" s="2">
        <v>10</v>
      </c>
      <c r="H17" s="2">
        <v>7</v>
      </c>
      <c r="I17" s="2">
        <v>16</v>
      </c>
      <c r="J17" s="2">
        <v>17</v>
      </c>
      <c r="K17" s="2">
        <v>40</v>
      </c>
    </row>
    <row r="18" spans="1:11" ht="16.5" thickTop="1" thickBot="1">
      <c r="A18" s="3">
        <v>44958</v>
      </c>
      <c r="B18" s="77">
        <v>4</v>
      </c>
      <c r="C18" s="77">
        <v>11</v>
      </c>
      <c r="D18" s="2">
        <v>3</v>
      </c>
      <c r="E18" s="2">
        <v>3</v>
      </c>
      <c r="F18" s="2">
        <v>6</v>
      </c>
      <c r="G18" s="2">
        <v>17</v>
      </c>
      <c r="H18" s="2">
        <v>7</v>
      </c>
      <c r="I18" s="2">
        <v>14</v>
      </c>
      <c r="J18" s="2">
        <v>23</v>
      </c>
      <c r="K18" s="2">
        <v>44</v>
      </c>
    </row>
    <row r="19" spans="1:11" ht="16.5" thickTop="1" thickBot="1">
      <c r="A19" s="3">
        <v>44986</v>
      </c>
      <c r="B19" s="77">
        <v>5</v>
      </c>
      <c r="C19" s="77">
        <v>16</v>
      </c>
      <c r="D19" s="2">
        <v>3</v>
      </c>
      <c r="E19" s="2">
        <v>4</v>
      </c>
      <c r="F19" s="2">
        <v>18</v>
      </c>
      <c r="G19" s="2">
        <v>7</v>
      </c>
      <c r="H19" s="2">
        <v>8</v>
      </c>
      <c r="I19" s="2">
        <v>20</v>
      </c>
      <c r="J19" s="2">
        <v>25</v>
      </c>
      <c r="K19" s="2">
        <v>53</v>
      </c>
    </row>
    <row r="20" spans="1:11" ht="16.5" thickTop="1" thickBot="1">
      <c r="A20" s="3">
        <v>45017</v>
      </c>
      <c r="B20" s="77">
        <v>7</v>
      </c>
      <c r="C20" s="77">
        <v>15</v>
      </c>
      <c r="D20" s="2">
        <v>0</v>
      </c>
      <c r="E20" s="2">
        <v>3</v>
      </c>
      <c r="F20" s="2">
        <v>26</v>
      </c>
      <c r="G20" s="2">
        <v>12</v>
      </c>
      <c r="H20" s="2">
        <v>7</v>
      </c>
      <c r="I20" s="2">
        <v>18</v>
      </c>
      <c r="J20" s="2">
        <v>38</v>
      </c>
      <c r="K20" s="2">
        <v>63</v>
      </c>
    </row>
    <row r="21" spans="1:11" ht="16.5" thickTop="1" thickBot="1">
      <c r="A21" s="3">
        <v>45047</v>
      </c>
      <c r="B21" s="77">
        <v>7</v>
      </c>
      <c r="C21" s="77">
        <v>16</v>
      </c>
      <c r="D21" s="2">
        <v>1</v>
      </c>
      <c r="E21" s="2">
        <v>2</v>
      </c>
      <c r="F21" s="2">
        <v>24</v>
      </c>
      <c r="G21" s="2">
        <v>11</v>
      </c>
      <c r="H21" s="2">
        <v>8</v>
      </c>
      <c r="I21" s="2">
        <v>18</v>
      </c>
      <c r="J21" s="2">
        <v>35</v>
      </c>
      <c r="K21" s="2">
        <v>61</v>
      </c>
    </row>
    <row r="22" spans="1:11" ht="16.5" thickTop="1" thickBot="1">
      <c r="A22" s="3">
        <v>45078</v>
      </c>
      <c r="B22" s="77">
        <v>7</v>
      </c>
      <c r="C22" s="77">
        <v>16</v>
      </c>
      <c r="D22" s="2">
        <v>1</v>
      </c>
      <c r="E22" s="2">
        <v>2</v>
      </c>
      <c r="F22" s="2">
        <v>23</v>
      </c>
      <c r="G22" s="2">
        <v>9</v>
      </c>
      <c r="H22" s="2">
        <v>8</v>
      </c>
      <c r="I22" s="2">
        <v>18</v>
      </c>
      <c r="J22" s="2">
        <v>32</v>
      </c>
      <c r="K22" s="2">
        <v>58</v>
      </c>
    </row>
    <row r="23" spans="1:11" ht="16.5" thickTop="1" thickBot="1">
      <c r="A23" s="3">
        <v>45108</v>
      </c>
      <c r="B23" s="77">
        <v>7</v>
      </c>
      <c r="C23" s="77">
        <v>16</v>
      </c>
      <c r="D23" s="2">
        <v>1</v>
      </c>
      <c r="E23" s="2">
        <v>1</v>
      </c>
      <c r="F23" s="2">
        <v>24</v>
      </c>
      <c r="G23" s="2">
        <v>9</v>
      </c>
      <c r="H23" s="2">
        <v>8</v>
      </c>
      <c r="I23" s="2">
        <v>17</v>
      </c>
      <c r="J23" s="2">
        <v>33</v>
      </c>
      <c r="K23" s="2">
        <v>58</v>
      </c>
    </row>
    <row r="24" spans="1:11" ht="16.5" thickTop="1" thickBot="1">
      <c r="A24" s="3">
        <v>45139</v>
      </c>
      <c r="B24" s="77">
        <v>7</v>
      </c>
      <c r="C24" s="77">
        <v>16</v>
      </c>
      <c r="D24" s="2">
        <v>1</v>
      </c>
      <c r="E24" s="2">
        <v>1</v>
      </c>
      <c r="F24" s="2">
        <v>31</v>
      </c>
      <c r="G24" s="2">
        <v>9</v>
      </c>
      <c r="H24" s="2">
        <v>8</v>
      </c>
      <c r="I24" s="2">
        <v>17</v>
      </c>
      <c r="J24" s="2">
        <v>40</v>
      </c>
      <c r="K24" s="2">
        <v>65</v>
      </c>
    </row>
    <row r="25" spans="1:11" ht="16.5" thickTop="1" thickBot="1">
      <c r="A25" s="3">
        <v>45170</v>
      </c>
      <c r="B25" s="77">
        <v>5</v>
      </c>
      <c r="C25" s="77">
        <v>15</v>
      </c>
      <c r="D25" s="2">
        <v>0</v>
      </c>
      <c r="E25" s="2">
        <v>0</v>
      </c>
      <c r="F25" s="2">
        <v>22</v>
      </c>
      <c r="G25" s="2">
        <v>28</v>
      </c>
      <c r="H25" s="2">
        <v>5</v>
      </c>
      <c r="I25" s="2">
        <v>15</v>
      </c>
      <c r="J25" s="2">
        <v>50</v>
      </c>
      <c r="K25" s="2">
        <v>70</v>
      </c>
    </row>
    <row r="26" spans="1:11" ht="16.5" thickTop="1" thickBot="1">
      <c r="A26" s="3">
        <v>45200</v>
      </c>
      <c r="B26" s="77">
        <v>5</v>
      </c>
      <c r="C26" s="77">
        <v>15</v>
      </c>
      <c r="D26" s="2">
        <v>0</v>
      </c>
      <c r="E26" s="2">
        <v>0</v>
      </c>
      <c r="F26" s="2">
        <v>18</v>
      </c>
      <c r="G26" s="2">
        <v>17</v>
      </c>
      <c r="H26" s="2">
        <v>5</v>
      </c>
      <c r="I26" s="2">
        <v>15</v>
      </c>
      <c r="J26" s="2">
        <v>35</v>
      </c>
      <c r="K26" s="2">
        <v>55</v>
      </c>
    </row>
    <row r="27" spans="1:11" ht="16.5" thickTop="1" thickBot="1">
      <c r="A27" s="3">
        <v>45231</v>
      </c>
      <c r="B27" s="77">
        <v>5</v>
      </c>
      <c r="C27" s="77">
        <v>13</v>
      </c>
      <c r="D27" s="2">
        <v>0</v>
      </c>
      <c r="E27" s="2">
        <v>0</v>
      </c>
      <c r="F27" s="2">
        <v>7</v>
      </c>
      <c r="G27" s="2">
        <v>23</v>
      </c>
      <c r="H27" s="2">
        <v>5</v>
      </c>
      <c r="I27" s="2">
        <v>13</v>
      </c>
      <c r="J27" s="2">
        <v>30</v>
      </c>
      <c r="K27" s="2">
        <v>48</v>
      </c>
    </row>
    <row r="28" spans="1:11" ht="16.5" thickTop="1" thickBot="1">
      <c r="A28" s="3">
        <v>45261</v>
      </c>
      <c r="B28" s="77">
        <v>6</v>
      </c>
      <c r="C28" s="77">
        <v>13</v>
      </c>
      <c r="D28" s="2">
        <v>0</v>
      </c>
      <c r="E28" s="2">
        <v>0</v>
      </c>
      <c r="F28" s="2">
        <v>8</v>
      </c>
      <c r="G28" s="2">
        <v>28</v>
      </c>
      <c r="H28" s="2">
        <v>6</v>
      </c>
      <c r="I28" s="2">
        <v>13</v>
      </c>
      <c r="J28" s="2">
        <v>36</v>
      </c>
      <c r="K28" s="2">
        <v>55</v>
      </c>
    </row>
    <row r="29" spans="1:11" ht="16.5" thickTop="1" thickBot="1">
      <c r="A29" s="3">
        <v>45292</v>
      </c>
      <c r="B29" s="77">
        <v>3</v>
      </c>
      <c r="C29" s="77">
        <v>13</v>
      </c>
      <c r="D29" s="2">
        <v>0</v>
      </c>
      <c r="E29" s="2">
        <v>0</v>
      </c>
      <c r="F29" s="2">
        <v>19</v>
      </c>
      <c r="G29" s="2">
        <v>21</v>
      </c>
      <c r="H29" s="2">
        <v>3</v>
      </c>
      <c r="I29" s="2">
        <v>13</v>
      </c>
      <c r="J29" s="2">
        <v>40</v>
      </c>
      <c r="K29" s="2">
        <v>56</v>
      </c>
    </row>
    <row r="30" spans="1:11" ht="16.5" thickTop="1" thickBot="1">
      <c r="A30" s="3">
        <v>45323</v>
      </c>
      <c r="B30" s="77">
        <v>3</v>
      </c>
      <c r="C30" s="77">
        <v>12</v>
      </c>
      <c r="D30" s="2">
        <v>0</v>
      </c>
      <c r="E30" s="2">
        <v>0</v>
      </c>
      <c r="F30" s="2">
        <v>18</v>
      </c>
      <c r="G30" s="2">
        <v>17</v>
      </c>
      <c r="H30" s="2">
        <v>3</v>
      </c>
      <c r="I30" s="2">
        <v>12</v>
      </c>
      <c r="J30" s="2">
        <v>35</v>
      </c>
      <c r="K30" s="2">
        <v>50</v>
      </c>
    </row>
    <row r="31" spans="1:11" ht="16.5" thickTop="1" thickBot="1">
      <c r="A31" s="3">
        <v>45352</v>
      </c>
      <c r="B31" s="77">
        <v>3</v>
      </c>
      <c r="C31" s="77">
        <v>11</v>
      </c>
      <c r="D31" s="2">
        <v>0</v>
      </c>
      <c r="E31" s="2">
        <v>2</v>
      </c>
      <c r="F31" s="2">
        <v>10</v>
      </c>
      <c r="G31" s="2">
        <v>14</v>
      </c>
      <c r="H31" s="2">
        <v>3</v>
      </c>
      <c r="I31" s="2">
        <v>13</v>
      </c>
      <c r="J31" s="2">
        <v>24</v>
      </c>
      <c r="K31" s="2">
        <v>40</v>
      </c>
    </row>
    <row r="32" spans="1:11" ht="16.5" thickTop="1" thickBot="1">
      <c r="A32" s="3">
        <v>45383</v>
      </c>
      <c r="B32" s="77">
        <v>3</v>
      </c>
      <c r="C32" s="77">
        <v>14</v>
      </c>
      <c r="D32" s="2">
        <v>0</v>
      </c>
      <c r="E32" s="2">
        <v>0</v>
      </c>
      <c r="F32" s="2">
        <v>2</v>
      </c>
      <c r="G32" s="2">
        <v>22</v>
      </c>
      <c r="H32" s="2">
        <v>3</v>
      </c>
      <c r="I32" s="2">
        <v>14</v>
      </c>
      <c r="J32" s="2">
        <v>24</v>
      </c>
      <c r="K32" s="2">
        <v>41</v>
      </c>
    </row>
    <row r="33" spans="1:11" ht="16.5" thickTop="1" thickBot="1">
      <c r="A33" s="3">
        <v>45413</v>
      </c>
      <c r="B33" s="78">
        <v>3</v>
      </c>
      <c r="C33" s="78">
        <v>8</v>
      </c>
      <c r="D33" s="2">
        <v>0</v>
      </c>
      <c r="E33" s="2">
        <v>0</v>
      </c>
      <c r="F33" s="2">
        <v>12</v>
      </c>
      <c r="G33" s="2">
        <v>19</v>
      </c>
      <c r="H33" s="2">
        <v>3</v>
      </c>
      <c r="I33" s="2">
        <v>8</v>
      </c>
      <c r="J33" s="2">
        <v>31</v>
      </c>
      <c r="K33" s="2">
        <v>42</v>
      </c>
    </row>
    <row r="34" spans="1:11" ht="16.5" thickTop="1" thickBot="1">
      <c r="A34" s="3">
        <v>45444</v>
      </c>
      <c r="B34" s="77">
        <v>3</v>
      </c>
      <c r="C34" s="77">
        <v>8</v>
      </c>
      <c r="D34" s="2">
        <v>0</v>
      </c>
      <c r="E34" s="2">
        <v>0</v>
      </c>
      <c r="F34" s="2">
        <v>12</v>
      </c>
      <c r="G34" s="2">
        <v>15</v>
      </c>
      <c r="H34" s="2">
        <v>3</v>
      </c>
      <c r="I34" s="2">
        <v>8</v>
      </c>
      <c r="J34" s="2">
        <v>27</v>
      </c>
      <c r="K34" s="2">
        <v>38</v>
      </c>
    </row>
    <row r="35" spans="1:11" ht="16.5" thickTop="1" thickBot="1">
      <c r="A35" s="3">
        <v>45474</v>
      </c>
      <c r="B35" s="77">
        <v>3</v>
      </c>
      <c r="C35" s="77">
        <v>8</v>
      </c>
      <c r="D35" s="2">
        <v>0</v>
      </c>
      <c r="E35" s="2">
        <v>0</v>
      </c>
      <c r="F35" s="2">
        <v>11</v>
      </c>
      <c r="G35" s="2">
        <v>14</v>
      </c>
      <c r="H35" s="2">
        <v>3</v>
      </c>
      <c r="I35" s="2">
        <v>8</v>
      </c>
      <c r="J35" s="2">
        <v>25</v>
      </c>
      <c r="K35" s="2">
        <v>36</v>
      </c>
    </row>
    <row r="36" spans="1:11" ht="16.5" thickTop="1" thickBot="1">
      <c r="A36" s="3">
        <v>45505</v>
      </c>
      <c r="B36" s="78">
        <v>2</v>
      </c>
      <c r="C36" s="78">
        <v>8</v>
      </c>
      <c r="D36" s="2">
        <v>0</v>
      </c>
      <c r="E36" s="2">
        <v>0</v>
      </c>
      <c r="F36" s="2">
        <v>7</v>
      </c>
      <c r="G36" s="2">
        <v>19</v>
      </c>
      <c r="H36" s="2">
        <v>2</v>
      </c>
      <c r="I36" s="2">
        <v>8</v>
      </c>
      <c r="J36" s="2">
        <v>26</v>
      </c>
      <c r="K36" s="2">
        <v>36</v>
      </c>
    </row>
    <row r="37" spans="1:11" ht="16.5" thickTop="1" thickBot="1">
      <c r="A37" s="3">
        <v>45536</v>
      </c>
      <c r="B37" s="77">
        <v>2</v>
      </c>
      <c r="C37" s="77">
        <v>8</v>
      </c>
      <c r="D37" s="2">
        <v>0</v>
      </c>
      <c r="E37" s="2">
        <v>0</v>
      </c>
      <c r="F37" s="2">
        <v>8</v>
      </c>
      <c r="G37" s="2">
        <v>10</v>
      </c>
      <c r="H37" s="2">
        <v>2</v>
      </c>
      <c r="I37" s="2">
        <v>8</v>
      </c>
      <c r="J37" s="2">
        <v>18</v>
      </c>
      <c r="K37" s="2">
        <v>28</v>
      </c>
    </row>
    <row r="38" spans="1:11" ht="16.5" thickTop="1" thickBot="1">
      <c r="A38" s="3">
        <v>45566</v>
      </c>
      <c r="B38" s="77">
        <v>2</v>
      </c>
      <c r="C38" s="77">
        <v>8</v>
      </c>
      <c r="D38" s="2">
        <v>0</v>
      </c>
      <c r="E38" s="2">
        <v>0</v>
      </c>
      <c r="F38" s="2">
        <v>11</v>
      </c>
      <c r="G38" s="2">
        <v>10</v>
      </c>
      <c r="H38" s="2">
        <v>2</v>
      </c>
      <c r="I38" s="2">
        <v>8</v>
      </c>
      <c r="J38" s="2">
        <v>21</v>
      </c>
      <c r="K38" s="2">
        <v>31</v>
      </c>
    </row>
    <row r="39" spans="1:11" ht="16.5" thickTop="1" thickBot="1">
      <c r="A39" s="3">
        <v>45597</v>
      </c>
      <c r="B39" s="77"/>
      <c r="C39" s="77"/>
      <c r="D39" s="2"/>
      <c r="E39" s="2"/>
      <c r="F39" s="2"/>
      <c r="G39" s="2"/>
      <c r="H39" s="2"/>
      <c r="I39" s="2"/>
      <c r="J39" s="2"/>
      <c r="K39" s="2"/>
    </row>
    <row r="40" spans="1:11" ht="16.5" thickTop="1" thickBot="1">
      <c r="A40" s="3">
        <v>45627</v>
      </c>
      <c r="B40" s="77"/>
      <c r="C40" s="77"/>
      <c r="D40" s="2"/>
      <c r="E40" s="2"/>
      <c r="F40" s="2"/>
      <c r="G40" s="2"/>
      <c r="H40" s="2"/>
      <c r="I40" s="2"/>
      <c r="J40" s="2"/>
      <c r="K40" s="2"/>
    </row>
    <row r="41" spans="1:11" ht="16.5" thickTop="1" thickBot="1">
      <c r="A41" s="3"/>
      <c r="B41" s="77"/>
      <c r="C41" s="77"/>
      <c r="D41" s="2"/>
      <c r="E41" s="2"/>
      <c r="F41" s="2"/>
      <c r="G41" s="2"/>
      <c r="H41" s="2"/>
      <c r="I41" s="2"/>
      <c r="J41" s="2"/>
      <c r="K41" s="2"/>
    </row>
    <row r="42" spans="1:11" ht="15.75" thickTop="1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29EE3-222E-43F8-80CE-CD965BA91443}">
  <sheetPr codeName="Sheet4"/>
  <dimension ref="A1:O56"/>
  <sheetViews>
    <sheetView tabSelected="1" zoomScaleNormal="100" workbookViewId="0">
      <selection activeCell="H43" sqref="H43"/>
    </sheetView>
  </sheetViews>
  <sheetFormatPr defaultColWidth="9.140625" defaultRowHeight="15"/>
  <cols>
    <col min="1" max="1" width="9.140625" style="4"/>
    <col min="2" max="2" width="9.5703125" style="4" bestFit="1" customWidth="1"/>
    <col min="3" max="4" width="9.140625" style="4"/>
    <col min="5" max="5" width="9.85546875" style="4" customWidth="1"/>
    <col min="6" max="6" width="11.7109375" style="4" bestFit="1" customWidth="1"/>
    <col min="7" max="7" width="16.140625" style="4" bestFit="1" customWidth="1"/>
    <col min="8" max="16384" width="9.140625" style="4"/>
  </cols>
  <sheetData>
    <row r="1" spans="1:7" ht="16.5" thickTop="1" thickBot="1">
      <c r="A1" s="2" t="s">
        <v>336</v>
      </c>
      <c r="B1" s="2" t="s">
        <v>396</v>
      </c>
      <c r="C1" s="2" t="s">
        <v>337</v>
      </c>
      <c r="D1" s="2" t="s">
        <v>338</v>
      </c>
      <c r="E1" s="2" t="s">
        <v>339</v>
      </c>
      <c r="F1" s="2" t="s">
        <v>846</v>
      </c>
      <c r="G1" s="2" t="s">
        <v>845</v>
      </c>
    </row>
    <row r="2" spans="1:7" ht="16.5" thickTop="1" thickBot="1">
      <c r="A2" s="3">
        <v>44013</v>
      </c>
      <c r="B2" s="6">
        <f>COUNTIFS(猫统计!J:J,"&gt;="&amp;EOMONTH(A2,-1)+1,猫统计!J:J,"&lt;="&amp;EOMONTH(A2,0))+COUNTIFS(猫统计!P:P,"&gt;="&amp;EOMONTH(A2,-1)+1,猫统计!P:P,"&lt;="&amp;EOMONTH(A2,0))+COUNTIFS(猫统计!V:V,"&gt;="&amp;EOMONTH(A2,-1)+1,猫统计!V:V,"&lt;="&amp;EOMONTH(A2,0))+COUNTIFS(猫统计!AB:AB,"&gt;="&amp;EOMONTH(A2,-1)+1,猫统计!AB:AB,"&lt;="&amp;EOMONTH(A2,0))+COUNTIFS(猫统计!AH:AH,"&gt;="&amp;EOMONTH(A2,-1)+1,猫统计!AH:AH,"&lt;="&amp;EOMONTH(A2,0))+COUNTIFS(猫统计!AN:AN,"&gt;="&amp;EOMONTH(A2,-1)+1,猫统计!AN:AN,"&lt;="&amp;EOMONTH(A2,0))+COUNTIFS(猫统计!AT:AT,"&gt;="&amp;EOMONTH(A2,-1)+1,猫统计!AT:AT,"&lt;="&amp;EOMONTH(A2,0))+COUNTIFS(猫统计!AZ:AZ,"&gt;="&amp;EOMONTH(A2,-1)+1,猫统计!AZ:AZ,"&lt;="&amp;EOMONTH(A2,0))+COUNTIFS(猫统计!BF:BF,"&gt;="&amp;EOMONTH(A2,-1)+1,猫统计!BF:BF,"&lt;="&amp;EOMONTH(A2,0))+COUNTIFS(猫统计!BL:BL,"&gt;="&amp;EOMONTH(A2,-1)+1,猫统计!BL:BL,"&lt;="&amp;EOMONTH(A2,0))</f>
        <v>1</v>
      </c>
      <c r="C2" s="2">
        <f>D2+E2</f>
        <v>4</v>
      </c>
      <c r="D2" s="2">
        <f>SUMIFS(猫统计!L:L,猫统计!J:J,"&gt;="&amp;EOMONTH(A2,-1)+1,猫统计!J:J,"&lt;="&amp;EOMONTH(A2,0))+SUMIFS(猫统计!R:R,猫统计!P:P,"&gt;="&amp;EOMONTH(A2,-1)+1,猫统计!P:P,"&lt;="&amp;EOMONTH(A2,0))+SUMIFS(猫统计!X:X,猫统计!V:V,"&gt;="&amp;EOMONTH(A2,-1)+1,猫统计!V:V,"&lt;="&amp;EOMONTH(A2,0))+SUMIFS(猫统计!AD:AD,猫统计!AB:AB,"&gt;="&amp;EOMONTH(A2,-1)+1,猫统计!AB:AB,"&lt;="&amp;EOMONTH(A2,0))+SUMIFS(猫统计!AJ:AJ,猫统计!AH:AH,"&gt;="&amp;EOMONTH(A2,-1)+1,猫统计!AH:AH,"&lt;="&amp;EOMONTH(A2,0))+SUMIFS(猫统计!AP:AP,猫统计!AN:AN,"&gt;="&amp;EOMONTH(A2,-1)+1,猫统计!AN:AN,"&lt;="&amp;EOMONTH(A2,0))+SUMIFS(猫统计!AV:AV,猫统计!AT:AT,"&gt;="&amp;EOMONTH(A2,-1)+1,猫统计!AT:AT,"&lt;="&amp;EOMONTH(A2,0))+SUMIFS(猫统计!BB:BB,猫统计!AZ:AZ,"&gt;="&amp;EOMONTH(A2,-1)+1,猫统计!AZ:AZ,"&lt;="&amp;EOMONTH(A2,0))+SUMIFS(猫统计!BH:BH,猫统计!BF:BF,"&gt;="&amp;EOMONTH(A2,-1)+1,猫统计!BF:BF,"&lt;="&amp;EOMONTH(A2,0))+SUMIFS(猫统计!BN:BN,猫统计!BL:BL,"&gt;="&amp;EOMONTH(A2,-1)+1,猫统计!BL:BL,"&lt;="&amp;EOMONTH(A2,0))</f>
        <v>3</v>
      </c>
      <c r="E2" s="2">
        <f>SUMIFS(猫统计!M:M,猫统计!J:J,"&gt;="&amp;EOMONTH(A2,-1)+1,猫统计!J:J,"&lt;="&amp;EOMONTH(A2,0))+SUMIFS(猫统计!S:S,猫统计!P:P,"&gt;="&amp;EOMONTH(A2,-1)+1,猫统计!P:P,"&lt;="&amp;EOMONTH(A2,0))+SUMIFS(猫统计!Y:Y,猫统计!V:V,"&gt;="&amp;EOMONTH(A2,-1)+1,猫统计!V:V,"&lt;="&amp;EOMONTH(A2,0))+SUMIFS(猫统计!AE:AE,猫统计!AB:AB,"&gt;="&amp;EOMONTH(A2,-1)+1,猫统计!AB:AB,"&lt;="&amp;EOMONTH(A2,0))+SUMIFS(猫统计!AK:AK,猫统计!AH:AH,"&gt;="&amp;EOMONTH(A2,-1)+1,猫统计!AH:AH,"&lt;="&amp;EOMONTH(A2,0))+SUMIFS(猫统计!AQ:AQ,猫统计!AN:AN,"&gt;="&amp;EOMONTH(A2,-1)+1,猫统计!AN:AN,"&lt;="&amp;EOMONTH(A2,0))+SUMIFS(猫统计!AW:AW,猫统计!AT:AT,"&gt;="&amp;EOMONTH(A2,-1)+1,猫统计!AT:AT,"&lt;="&amp;EOMONTH(A2,0))+SUMIFS(猫统计!BC:BC,猫统计!AZ:AZ,"&gt;="&amp;EOMONTH(A2,-1)+1,猫统计!AZ:AZ,"&lt;="&amp;EOMONTH(A2,0))+SUMIFS(猫统计!BI:BI,猫统计!BF:BF,"&gt;="&amp;EOMONTH(A2,-1)+1,猫统计!BF:BF,"&lt;="&amp;EOMONTH(A2,0))+SUMIFS(猫统计!BO:BO,猫统计!BL:BL,"&gt;="&amp;EOMONTH(A2,-1)+1,猫统计!BL:BL,"&lt;="&amp;EOMONTH(A2,0))</f>
        <v>1</v>
      </c>
      <c r="F2" s="5"/>
      <c r="G2" s="5"/>
    </row>
    <row r="3" spans="1:7" ht="16.5" thickTop="1" thickBot="1">
      <c r="A3" s="3">
        <v>44044</v>
      </c>
      <c r="B3" s="6">
        <f>COUNTIFS(猫统计!J:J,"&gt;="&amp;EOMONTH(A3,-1)+1,猫统计!J:J,"&lt;="&amp;EOMONTH(A3,0))+COUNTIFS(猫统计!P:P,"&gt;="&amp;EOMONTH(A3,-1)+1,猫统计!P:P,"&lt;="&amp;EOMONTH(A3,0))+COUNTIFS(猫统计!V:V,"&gt;="&amp;EOMONTH(A3,-1)+1,猫统计!V:V,"&lt;="&amp;EOMONTH(A3,0))+COUNTIFS(猫统计!AB:AB,"&gt;="&amp;EOMONTH(A3,-1)+1,猫统计!AB:AB,"&lt;="&amp;EOMONTH(A3,0))+COUNTIFS(猫统计!AH:AH,"&gt;="&amp;EOMONTH(A3,-1)+1,猫统计!AH:AH,"&lt;="&amp;EOMONTH(A3,0))+COUNTIFS(猫统计!AN:AN,"&gt;="&amp;EOMONTH(A3,-1)+1,猫统计!AN:AN,"&lt;="&amp;EOMONTH(A3,0))+COUNTIFS(猫统计!AT:AT,"&gt;="&amp;EOMONTH(A3,-1)+1,猫统计!AT:AT,"&lt;="&amp;EOMONTH(A3,0))+COUNTIFS(猫统计!AZ:AZ,"&gt;="&amp;EOMONTH(A3,-1)+1,猫统计!AZ:AZ,"&lt;="&amp;EOMONTH(A3,0))+COUNTIFS(猫统计!BF:BF,"&gt;="&amp;EOMONTH(A3,-1)+1,猫统计!BF:BF,"&lt;="&amp;EOMONTH(A3,0))+COUNTIFS(猫统计!BL:BL,"&gt;="&amp;EOMONTH(A3,-1)+1,猫统计!BL:BL,"&lt;="&amp;EOMONTH(A3,0))</f>
        <v>1</v>
      </c>
      <c r="C3" s="2">
        <f t="shared" ref="C3:C12" si="0">D3+E3</f>
        <v>1</v>
      </c>
      <c r="D3" s="2">
        <f>SUMIFS(猫统计!L:L,猫统计!J:J,"&gt;="&amp;EOMONTH(A3,-1)+1,猫统计!J:J,"&lt;="&amp;EOMONTH(A3,0))+SUMIFS(猫统计!R:R,猫统计!P:P,"&gt;="&amp;EOMONTH(A3,-1)+1,猫统计!P:P,"&lt;="&amp;EOMONTH(A3,0))+SUMIFS(猫统计!X:X,猫统计!V:V,"&gt;="&amp;EOMONTH(A3,-1)+1,猫统计!V:V,"&lt;="&amp;EOMONTH(A3,0))+SUMIFS(猫统计!AD:AD,猫统计!AB:AB,"&gt;="&amp;EOMONTH(A3,-1)+1,猫统计!AB:AB,"&lt;="&amp;EOMONTH(A3,0))+SUMIFS(猫统计!AJ:AJ,猫统计!AH:AH,"&gt;="&amp;EOMONTH(A3,-1)+1,猫统计!AH:AH,"&lt;="&amp;EOMONTH(A3,0))+SUMIFS(猫统计!AP:AP,猫统计!AN:AN,"&gt;="&amp;EOMONTH(A3,-1)+1,猫统计!AN:AN,"&lt;="&amp;EOMONTH(A3,0))+SUMIFS(猫统计!AV:AV,猫统计!AT:AT,"&gt;="&amp;EOMONTH(A3,-1)+1,猫统计!AT:AT,"&lt;="&amp;EOMONTH(A3,0))+SUMIFS(猫统计!BB:BB,猫统计!AZ:AZ,"&gt;="&amp;EOMONTH(A3,-1)+1,猫统计!AZ:AZ,"&lt;="&amp;EOMONTH(A3,0))+SUMIFS(猫统计!BH:BH,猫统计!BF:BF,"&gt;="&amp;EOMONTH(A3,-1)+1,猫统计!BF:BF,"&lt;="&amp;EOMONTH(A3,0))+SUMIFS(猫统计!BN:BN,猫统计!BL:BL,"&gt;="&amp;EOMONTH(A3,-1)+1,猫统计!BL:BL,"&lt;="&amp;EOMONTH(A3,0))</f>
        <v>0</v>
      </c>
      <c r="E3" s="2">
        <f>SUMIFS(猫统计!M:M,猫统计!J:J,"&gt;="&amp;EOMONTH(A3,-1)+1,猫统计!J:J,"&lt;="&amp;EOMONTH(A3,0))+SUMIFS(猫统计!S:S,猫统计!P:P,"&gt;="&amp;EOMONTH(A3,-1)+1,猫统计!P:P,"&lt;="&amp;EOMONTH(A3,0))+SUMIFS(猫统计!Y:Y,猫统计!V:V,"&gt;="&amp;EOMONTH(A3,-1)+1,猫统计!V:V,"&lt;="&amp;EOMONTH(A3,0))+SUMIFS(猫统计!AE:AE,猫统计!AB:AB,"&gt;="&amp;EOMONTH(A3,-1)+1,猫统计!AB:AB,"&lt;="&amp;EOMONTH(A3,0))+SUMIFS(猫统计!AK:AK,猫统计!AH:AH,"&gt;="&amp;EOMONTH(A3,-1)+1,猫统计!AH:AH,"&lt;="&amp;EOMONTH(A3,0))+SUMIFS(猫统计!AQ:AQ,猫统计!AN:AN,"&gt;="&amp;EOMONTH(A3,-1)+1,猫统计!AN:AN,"&lt;="&amp;EOMONTH(A3,0))+SUMIFS(猫统计!AW:AW,猫统计!AT:AT,"&gt;="&amp;EOMONTH(A3,-1)+1,猫统计!AT:AT,"&lt;="&amp;EOMONTH(A3,0))+SUMIFS(猫统计!BC:BC,猫统计!AZ:AZ,"&gt;="&amp;EOMONTH(A3,-1)+1,猫统计!AZ:AZ,"&lt;="&amp;EOMONTH(A3,0))+SUMIFS(猫统计!BI:BI,猫统计!BF:BF,"&gt;="&amp;EOMONTH(A3,-1)+1,猫统计!BF:BF,"&lt;="&amp;EOMONTH(A3,0))+SUMIFS(猫统计!BO:BO,猫统计!BL:BL,"&gt;="&amp;EOMONTH(A3,-1)+1,猫统计!BL:BL,"&lt;="&amp;EOMONTH(A3,0))</f>
        <v>1</v>
      </c>
      <c r="F3" s="5"/>
      <c r="G3" s="5"/>
    </row>
    <row r="4" spans="1:7" ht="16.5" thickTop="1" thickBot="1">
      <c r="A4" s="3">
        <v>44075</v>
      </c>
      <c r="B4" s="6">
        <f>COUNTIFS(猫统计!J:J,"&gt;="&amp;EOMONTH(A4,-1)+1,猫统计!J:J,"&lt;="&amp;EOMONTH(A4,0))+COUNTIFS(猫统计!P:P,"&gt;="&amp;EOMONTH(A4,-1)+1,猫统计!P:P,"&lt;="&amp;EOMONTH(A4,0))+COUNTIFS(猫统计!V:V,"&gt;="&amp;EOMONTH(A4,-1)+1,猫统计!V:V,"&lt;="&amp;EOMONTH(A4,0))+COUNTIFS(猫统计!AB:AB,"&gt;="&amp;EOMONTH(A4,-1)+1,猫统计!AB:AB,"&lt;="&amp;EOMONTH(A4,0))+COUNTIFS(猫统计!AH:AH,"&gt;="&amp;EOMONTH(A4,-1)+1,猫统计!AH:AH,"&lt;="&amp;EOMONTH(A4,0))+COUNTIFS(猫统计!AN:AN,"&gt;="&amp;EOMONTH(A4,-1)+1,猫统计!AN:AN,"&lt;="&amp;EOMONTH(A4,0))+COUNTIFS(猫统计!AT:AT,"&gt;="&amp;EOMONTH(A4,-1)+1,猫统计!AT:AT,"&lt;="&amp;EOMONTH(A4,0))+COUNTIFS(猫统计!AZ:AZ,"&gt;="&amp;EOMONTH(A4,-1)+1,猫统计!AZ:AZ,"&lt;="&amp;EOMONTH(A4,0))+COUNTIFS(猫统计!BF:BF,"&gt;="&amp;EOMONTH(A4,-1)+1,猫统计!BF:BF,"&lt;="&amp;EOMONTH(A4,0))+COUNTIFS(猫统计!BL:BL,"&gt;="&amp;EOMONTH(A4,-1)+1,猫统计!BL:BL,"&lt;="&amp;EOMONTH(A4,0))</f>
        <v>1</v>
      </c>
      <c r="C4" s="2">
        <f t="shared" si="0"/>
        <v>3</v>
      </c>
      <c r="D4" s="2">
        <f>SUMIFS(猫统计!L:L,猫统计!J:J,"&gt;="&amp;EOMONTH(A4,-1)+1,猫统计!J:J,"&lt;="&amp;EOMONTH(A4,0))+SUMIFS(猫统计!R:R,猫统计!P:P,"&gt;="&amp;EOMONTH(A4,-1)+1,猫统计!P:P,"&lt;="&amp;EOMONTH(A4,0))+SUMIFS(猫统计!X:X,猫统计!V:V,"&gt;="&amp;EOMONTH(A4,-1)+1,猫统计!V:V,"&lt;="&amp;EOMONTH(A4,0))+SUMIFS(猫统计!AD:AD,猫统计!AB:AB,"&gt;="&amp;EOMONTH(A4,-1)+1,猫统计!AB:AB,"&lt;="&amp;EOMONTH(A4,0))+SUMIFS(猫统计!AJ:AJ,猫统计!AH:AH,"&gt;="&amp;EOMONTH(A4,-1)+1,猫统计!AH:AH,"&lt;="&amp;EOMONTH(A4,0))+SUMIFS(猫统计!AP:AP,猫统计!AN:AN,"&gt;="&amp;EOMONTH(A4,-1)+1,猫统计!AN:AN,"&lt;="&amp;EOMONTH(A4,0))+SUMIFS(猫统计!AV:AV,猫统计!AT:AT,"&gt;="&amp;EOMONTH(A4,-1)+1,猫统计!AT:AT,"&lt;="&amp;EOMONTH(A4,0))+SUMIFS(猫统计!BB:BB,猫统计!AZ:AZ,"&gt;="&amp;EOMONTH(A4,-1)+1,猫统计!AZ:AZ,"&lt;="&amp;EOMONTH(A4,0))+SUMIFS(猫统计!BH:BH,猫统计!BF:BF,"&gt;="&amp;EOMONTH(A4,-1)+1,猫统计!BF:BF,"&lt;="&amp;EOMONTH(A4,0))+SUMIFS(猫统计!BN:BN,猫统计!BL:BL,"&gt;="&amp;EOMONTH(A4,-1)+1,猫统计!BL:BL,"&lt;="&amp;EOMONTH(A4,0))</f>
        <v>0</v>
      </c>
      <c r="E4" s="2">
        <f>SUMIFS(猫统计!M:M,猫统计!J:J,"&gt;="&amp;EOMONTH(A4,-1)+1,猫统计!J:J,"&lt;="&amp;EOMONTH(A4,0))+SUMIFS(猫统计!S:S,猫统计!P:P,"&gt;="&amp;EOMONTH(A4,-1)+1,猫统计!P:P,"&lt;="&amp;EOMONTH(A4,0))+SUMIFS(猫统计!Y:Y,猫统计!V:V,"&gt;="&amp;EOMONTH(A4,-1)+1,猫统计!V:V,"&lt;="&amp;EOMONTH(A4,0))+SUMIFS(猫统计!AE:AE,猫统计!AB:AB,"&gt;="&amp;EOMONTH(A4,-1)+1,猫统计!AB:AB,"&lt;="&amp;EOMONTH(A4,0))+SUMIFS(猫统计!AK:AK,猫统计!AH:AH,"&gt;="&amp;EOMONTH(A4,-1)+1,猫统计!AH:AH,"&lt;="&amp;EOMONTH(A4,0))+SUMIFS(猫统计!AQ:AQ,猫统计!AN:AN,"&gt;="&amp;EOMONTH(A4,-1)+1,猫统计!AN:AN,"&lt;="&amp;EOMONTH(A4,0))+SUMIFS(猫统计!AW:AW,猫统计!AT:AT,"&gt;="&amp;EOMONTH(A4,-1)+1,猫统计!AT:AT,"&lt;="&amp;EOMONTH(A4,0))+SUMIFS(猫统计!BC:BC,猫统计!AZ:AZ,"&gt;="&amp;EOMONTH(A4,-1)+1,猫统计!AZ:AZ,"&lt;="&amp;EOMONTH(A4,0))+SUMIFS(猫统计!BI:BI,猫统计!BF:BF,"&gt;="&amp;EOMONTH(A4,-1)+1,猫统计!BF:BF,"&lt;="&amp;EOMONTH(A4,0))+SUMIFS(猫统计!BO:BO,猫统计!BL:BL,"&gt;="&amp;EOMONTH(A4,-1)+1,猫统计!BL:BL,"&lt;="&amp;EOMONTH(A4,0))</f>
        <v>3</v>
      </c>
      <c r="F4" s="5">
        <f>(E2+E3+E4)/(C2+C3+C4)</f>
        <v>0.625</v>
      </c>
      <c r="G4" s="5">
        <f>(E2+E3+E4)/(B2+B3+B4)</f>
        <v>1.6666666666666667</v>
      </c>
    </row>
    <row r="5" spans="1:7" ht="16.5" thickTop="1" thickBot="1">
      <c r="A5" s="3">
        <v>44105</v>
      </c>
      <c r="B5" s="6">
        <f>COUNTIFS(猫统计!J:J,"&gt;="&amp;EOMONTH(A5,-1)+1,猫统计!J:J,"&lt;="&amp;EOMONTH(A5,0))+COUNTIFS(猫统计!P:P,"&gt;="&amp;EOMONTH(A5,-1)+1,猫统计!P:P,"&lt;="&amp;EOMONTH(A5,0))+COUNTIFS(猫统计!V:V,"&gt;="&amp;EOMONTH(A5,-1)+1,猫统计!V:V,"&lt;="&amp;EOMONTH(A5,0))+COUNTIFS(猫统计!AB:AB,"&gt;="&amp;EOMONTH(A5,-1)+1,猫统计!AB:AB,"&lt;="&amp;EOMONTH(A5,0))+COUNTIFS(猫统计!AH:AH,"&gt;="&amp;EOMONTH(A5,-1)+1,猫统计!AH:AH,"&lt;="&amp;EOMONTH(A5,0))+COUNTIFS(猫统计!AN:AN,"&gt;="&amp;EOMONTH(A5,-1)+1,猫统计!AN:AN,"&lt;="&amp;EOMONTH(A5,0))+COUNTIFS(猫统计!AT:AT,"&gt;="&amp;EOMONTH(A5,-1)+1,猫统计!AT:AT,"&lt;="&amp;EOMONTH(A5,0))+COUNTIFS(猫统计!AZ:AZ,"&gt;="&amp;EOMONTH(A5,-1)+1,猫统计!AZ:AZ,"&lt;="&amp;EOMONTH(A5,0))+COUNTIFS(猫统计!BF:BF,"&gt;="&amp;EOMONTH(A5,-1)+1,猫统计!BF:BF,"&lt;="&amp;EOMONTH(A5,0))+COUNTIFS(猫统计!BL:BL,"&gt;="&amp;EOMONTH(A5,-1)+1,猫统计!BL:BL,"&lt;="&amp;EOMONTH(A5,0))</f>
        <v>3</v>
      </c>
      <c r="C5" s="2">
        <f t="shared" si="0"/>
        <v>13</v>
      </c>
      <c r="D5" s="2">
        <f>SUMIFS(猫统计!L:L,猫统计!J:J,"&gt;="&amp;EOMONTH(A5,-1)+1,猫统计!J:J,"&lt;="&amp;EOMONTH(A5,0))+SUMIFS(猫统计!R:R,猫统计!P:P,"&gt;="&amp;EOMONTH(A5,-1)+1,猫统计!P:P,"&lt;="&amp;EOMONTH(A5,0))+SUMIFS(猫统计!X:X,猫统计!V:V,"&gt;="&amp;EOMONTH(A5,-1)+1,猫统计!V:V,"&lt;="&amp;EOMONTH(A5,0))+SUMIFS(猫统计!AD:AD,猫统计!AB:AB,"&gt;="&amp;EOMONTH(A5,-1)+1,猫统计!AB:AB,"&lt;="&amp;EOMONTH(A5,0))+SUMIFS(猫统计!AJ:AJ,猫统计!AH:AH,"&gt;="&amp;EOMONTH(A5,-1)+1,猫统计!AH:AH,"&lt;="&amp;EOMONTH(A5,0))+SUMIFS(猫统计!AP:AP,猫统计!AN:AN,"&gt;="&amp;EOMONTH(A5,-1)+1,猫统计!AN:AN,"&lt;="&amp;EOMONTH(A5,0))+SUMIFS(猫统计!AV:AV,猫统计!AT:AT,"&gt;="&amp;EOMONTH(A5,-1)+1,猫统计!AT:AT,"&lt;="&amp;EOMONTH(A5,0))+SUMIFS(猫统计!BB:BB,猫统计!AZ:AZ,"&gt;="&amp;EOMONTH(A5,-1)+1,猫统计!AZ:AZ,"&lt;="&amp;EOMONTH(A5,0))+SUMIFS(猫统计!BH:BH,猫统计!BF:BF,"&gt;="&amp;EOMONTH(A5,-1)+1,猫统计!BF:BF,"&lt;="&amp;EOMONTH(A5,0))+SUMIFS(猫统计!BN:BN,猫统计!BL:BL,"&gt;="&amp;EOMONTH(A5,-1)+1,猫统计!BL:BL,"&lt;="&amp;EOMONTH(A5,0))</f>
        <v>6</v>
      </c>
      <c r="E5" s="2">
        <f>SUMIFS(猫统计!M:M,猫统计!J:J,"&gt;="&amp;EOMONTH(A5,-1)+1,猫统计!J:J,"&lt;="&amp;EOMONTH(A5,0))+SUMIFS(猫统计!S:S,猫统计!P:P,"&gt;="&amp;EOMONTH(A5,-1)+1,猫统计!P:P,"&lt;="&amp;EOMONTH(A5,0))+SUMIFS(猫统计!Y:Y,猫统计!V:V,"&gt;="&amp;EOMONTH(A5,-1)+1,猫统计!V:V,"&lt;="&amp;EOMONTH(A5,0))+SUMIFS(猫统计!AE:AE,猫统计!AB:AB,"&gt;="&amp;EOMONTH(A5,-1)+1,猫统计!AB:AB,"&lt;="&amp;EOMONTH(A5,0))+SUMIFS(猫统计!AK:AK,猫统计!AH:AH,"&gt;="&amp;EOMONTH(A5,-1)+1,猫统计!AH:AH,"&lt;="&amp;EOMONTH(A5,0))+SUMIFS(猫统计!AQ:AQ,猫统计!AN:AN,"&gt;="&amp;EOMONTH(A5,-1)+1,猫统计!AN:AN,"&lt;="&amp;EOMONTH(A5,0))+SUMIFS(猫统计!AW:AW,猫统计!AT:AT,"&gt;="&amp;EOMONTH(A5,-1)+1,猫统计!AT:AT,"&lt;="&amp;EOMONTH(A5,0))+SUMIFS(猫统计!BC:BC,猫统计!AZ:AZ,"&gt;="&amp;EOMONTH(A5,-1)+1,猫统计!AZ:AZ,"&lt;="&amp;EOMONTH(A5,0))+SUMIFS(猫统计!BI:BI,猫统计!BF:BF,"&gt;="&amp;EOMONTH(A5,-1)+1,猫统计!BF:BF,"&lt;="&amp;EOMONTH(A5,0))+SUMIFS(猫统计!BO:BO,猫统计!BL:BL,"&gt;="&amp;EOMONTH(A5,-1)+1,猫统计!BL:BL,"&lt;="&amp;EOMONTH(A5,0))</f>
        <v>7</v>
      </c>
      <c r="F5" s="5"/>
      <c r="G5" s="5"/>
    </row>
    <row r="6" spans="1:7" ht="16.5" thickTop="1" thickBot="1">
      <c r="A6" s="3">
        <v>44136</v>
      </c>
      <c r="B6" s="6">
        <f>COUNTIFS(猫统计!J:J,"&gt;="&amp;EOMONTH(A6,-1)+1,猫统计!J:J,"&lt;="&amp;EOMONTH(A6,0))+COUNTIFS(猫统计!P:P,"&gt;="&amp;EOMONTH(A6,-1)+1,猫统计!P:P,"&lt;="&amp;EOMONTH(A6,0))+COUNTIFS(猫统计!V:V,"&gt;="&amp;EOMONTH(A6,-1)+1,猫统计!V:V,"&lt;="&amp;EOMONTH(A6,0))+COUNTIFS(猫统计!AB:AB,"&gt;="&amp;EOMONTH(A6,-1)+1,猫统计!AB:AB,"&lt;="&amp;EOMONTH(A6,0))+COUNTIFS(猫统计!AH:AH,"&gt;="&amp;EOMONTH(A6,-1)+1,猫统计!AH:AH,"&lt;="&amp;EOMONTH(A6,0))+COUNTIFS(猫统计!AN:AN,"&gt;="&amp;EOMONTH(A6,-1)+1,猫统计!AN:AN,"&lt;="&amp;EOMONTH(A6,0))+COUNTIFS(猫统计!AT:AT,"&gt;="&amp;EOMONTH(A6,-1)+1,猫统计!AT:AT,"&lt;="&amp;EOMONTH(A6,0))+COUNTIFS(猫统计!AZ:AZ,"&gt;="&amp;EOMONTH(A6,-1)+1,猫统计!AZ:AZ,"&lt;="&amp;EOMONTH(A6,0))+COUNTIFS(猫统计!BF:BF,"&gt;="&amp;EOMONTH(A6,-1)+1,猫统计!BF:BF,"&lt;="&amp;EOMONTH(A6,0))+COUNTIFS(猫统计!BL:BL,"&gt;="&amp;EOMONTH(A6,-1)+1,猫统计!BL:BL,"&lt;="&amp;EOMONTH(A6,0))</f>
        <v>0</v>
      </c>
      <c r="C6" s="2">
        <f t="shared" si="0"/>
        <v>0</v>
      </c>
      <c r="D6" s="2">
        <f>SUMIFS(猫统计!L:L,猫统计!J:J,"&gt;="&amp;EOMONTH(A6,-1)+1,猫统计!J:J,"&lt;="&amp;EOMONTH(A6,0))+SUMIFS(猫统计!R:R,猫统计!P:P,"&gt;="&amp;EOMONTH(A6,-1)+1,猫统计!P:P,"&lt;="&amp;EOMONTH(A6,0))+SUMIFS(猫统计!X:X,猫统计!V:V,"&gt;="&amp;EOMONTH(A6,-1)+1,猫统计!V:V,"&lt;="&amp;EOMONTH(A6,0))+SUMIFS(猫统计!AD:AD,猫统计!AB:AB,"&gt;="&amp;EOMONTH(A6,-1)+1,猫统计!AB:AB,"&lt;="&amp;EOMONTH(A6,0))+SUMIFS(猫统计!AJ:AJ,猫统计!AH:AH,"&gt;="&amp;EOMONTH(A6,-1)+1,猫统计!AH:AH,"&lt;="&amp;EOMONTH(A6,0))+SUMIFS(猫统计!AP:AP,猫统计!AN:AN,"&gt;="&amp;EOMONTH(A6,-1)+1,猫统计!AN:AN,"&lt;="&amp;EOMONTH(A6,0))+SUMIFS(猫统计!AV:AV,猫统计!AT:AT,"&gt;="&amp;EOMONTH(A6,-1)+1,猫统计!AT:AT,"&lt;="&amp;EOMONTH(A6,0))+SUMIFS(猫统计!BB:BB,猫统计!AZ:AZ,"&gt;="&amp;EOMONTH(A6,-1)+1,猫统计!AZ:AZ,"&lt;="&amp;EOMONTH(A6,0))+SUMIFS(猫统计!BH:BH,猫统计!BF:BF,"&gt;="&amp;EOMONTH(A6,-1)+1,猫统计!BF:BF,"&lt;="&amp;EOMONTH(A6,0))+SUMIFS(猫统计!BN:BN,猫统计!BL:BL,"&gt;="&amp;EOMONTH(A6,-1)+1,猫统计!BL:BL,"&lt;="&amp;EOMONTH(A6,0))</f>
        <v>0</v>
      </c>
      <c r="E6" s="2">
        <f>SUMIFS(猫统计!M:M,猫统计!J:J,"&gt;="&amp;EOMONTH(A6,-1)+1,猫统计!J:J,"&lt;="&amp;EOMONTH(A6,0))+SUMIFS(猫统计!S:S,猫统计!P:P,"&gt;="&amp;EOMONTH(A6,-1)+1,猫统计!P:P,"&lt;="&amp;EOMONTH(A6,0))+SUMIFS(猫统计!Y:Y,猫统计!V:V,"&gt;="&amp;EOMONTH(A6,-1)+1,猫统计!V:V,"&lt;="&amp;EOMONTH(A6,0))+SUMIFS(猫统计!AE:AE,猫统计!AB:AB,"&gt;="&amp;EOMONTH(A6,-1)+1,猫统计!AB:AB,"&lt;="&amp;EOMONTH(A6,0))+SUMIFS(猫统计!AK:AK,猫统计!AH:AH,"&gt;="&amp;EOMONTH(A6,-1)+1,猫统计!AH:AH,"&lt;="&amp;EOMONTH(A6,0))+SUMIFS(猫统计!AQ:AQ,猫统计!AN:AN,"&gt;="&amp;EOMONTH(A6,-1)+1,猫统计!AN:AN,"&lt;="&amp;EOMONTH(A6,0))+SUMIFS(猫统计!AW:AW,猫统计!AT:AT,"&gt;="&amp;EOMONTH(A6,-1)+1,猫统计!AT:AT,"&lt;="&amp;EOMONTH(A6,0))+SUMIFS(猫统计!BC:BC,猫统计!AZ:AZ,"&gt;="&amp;EOMONTH(A6,-1)+1,猫统计!AZ:AZ,"&lt;="&amp;EOMONTH(A6,0))+SUMIFS(猫统计!BI:BI,猫统计!BF:BF,"&gt;="&amp;EOMONTH(A6,-1)+1,猫统计!BF:BF,"&lt;="&amp;EOMONTH(A6,0))+SUMIFS(猫统计!BO:BO,猫统计!BL:BL,"&gt;="&amp;EOMONTH(A6,-1)+1,猫统计!BL:BL,"&lt;="&amp;EOMONTH(A6,0))</f>
        <v>0</v>
      </c>
      <c r="F6" s="5"/>
      <c r="G6" s="5"/>
    </row>
    <row r="7" spans="1:7" ht="16.5" thickTop="1" thickBot="1">
      <c r="A7" s="3">
        <v>44166</v>
      </c>
      <c r="B7" s="6">
        <f>COUNTIFS(猫统计!J:J,"&gt;="&amp;EOMONTH(A7,-1)+1,猫统计!J:J,"&lt;="&amp;EOMONTH(A7,0))+COUNTIFS(猫统计!P:P,"&gt;="&amp;EOMONTH(A7,-1)+1,猫统计!P:P,"&lt;="&amp;EOMONTH(A7,0))+COUNTIFS(猫统计!V:V,"&gt;="&amp;EOMONTH(A7,-1)+1,猫统计!V:V,"&lt;="&amp;EOMONTH(A7,0))+COUNTIFS(猫统计!AB:AB,"&gt;="&amp;EOMONTH(A7,-1)+1,猫统计!AB:AB,"&lt;="&amp;EOMONTH(A7,0))+COUNTIFS(猫统计!AH:AH,"&gt;="&amp;EOMONTH(A7,-1)+1,猫统计!AH:AH,"&lt;="&amp;EOMONTH(A7,0))+COUNTIFS(猫统计!AN:AN,"&gt;="&amp;EOMONTH(A7,-1)+1,猫统计!AN:AN,"&lt;="&amp;EOMONTH(A7,0))+COUNTIFS(猫统计!AT:AT,"&gt;="&amp;EOMONTH(A7,-1)+1,猫统计!AT:AT,"&lt;="&amp;EOMONTH(A7,0))+COUNTIFS(猫统计!AZ:AZ,"&gt;="&amp;EOMONTH(A7,-1)+1,猫统计!AZ:AZ,"&lt;="&amp;EOMONTH(A7,0))+COUNTIFS(猫统计!BF:BF,"&gt;="&amp;EOMONTH(A7,-1)+1,猫统计!BF:BF,"&lt;="&amp;EOMONTH(A7,0))+COUNTIFS(猫统计!BL:BL,"&gt;="&amp;EOMONTH(A7,-1)+1,猫统计!BL:BL,"&lt;="&amp;EOMONTH(A7,0))</f>
        <v>0</v>
      </c>
      <c r="C7" s="2">
        <f t="shared" si="0"/>
        <v>0</v>
      </c>
      <c r="D7" s="2">
        <f>SUMIFS(猫统计!L:L,猫统计!J:J,"&gt;="&amp;EOMONTH(A7,-1)+1,猫统计!J:J,"&lt;="&amp;EOMONTH(A7,0))+SUMIFS(猫统计!R:R,猫统计!P:P,"&gt;="&amp;EOMONTH(A7,-1)+1,猫统计!P:P,"&lt;="&amp;EOMONTH(A7,0))+SUMIFS(猫统计!X:X,猫统计!V:V,"&gt;="&amp;EOMONTH(A7,-1)+1,猫统计!V:V,"&lt;="&amp;EOMONTH(A7,0))+SUMIFS(猫统计!AD:AD,猫统计!AB:AB,"&gt;="&amp;EOMONTH(A7,-1)+1,猫统计!AB:AB,"&lt;="&amp;EOMONTH(A7,0))+SUMIFS(猫统计!AJ:AJ,猫统计!AH:AH,"&gt;="&amp;EOMONTH(A7,-1)+1,猫统计!AH:AH,"&lt;="&amp;EOMONTH(A7,0))+SUMIFS(猫统计!AP:AP,猫统计!AN:AN,"&gt;="&amp;EOMONTH(A7,-1)+1,猫统计!AN:AN,"&lt;="&amp;EOMONTH(A7,0))+SUMIFS(猫统计!AV:AV,猫统计!AT:AT,"&gt;="&amp;EOMONTH(A7,-1)+1,猫统计!AT:AT,"&lt;="&amp;EOMONTH(A7,0))+SUMIFS(猫统计!BB:BB,猫统计!AZ:AZ,"&gt;="&amp;EOMONTH(A7,-1)+1,猫统计!AZ:AZ,"&lt;="&amp;EOMONTH(A7,0))+SUMIFS(猫统计!BH:BH,猫统计!BF:BF,"&gt;="&amp;EOMONTH(A7,-1)+1,猫统计!BF:BF,"&lt;="&amp;EOMONTH(A7,0))+SUMIFS(猫统计!BN:BN,猫统计!BL:BL,"&gt;="&amp;EOMONTH(A7,-1)+1,猫统计!BL:BL,"&lt;="&amp;EOMONTH(A7,0))</f>
        <v>0</v>
      </c>
      <c r="E7" s="2">
        <f>SUMIFS(猫统计!M:M,猫统计!J:J,"&gt;="&amp;EOMONTH(A7,-1)+1,猫统计!J:J,"&lt;="&amp;EOMONTH(A7,0))+SUMIFS(猫统计!S:S,猫统计!P:P,"&gt;="&amp;EOMONTH(A7,-1)+1,猫统计!P:P,"&lt;="&amp;EOMONTH(A7,0))+SUMIFS(猫统计!Y:Y,猫统计!V:V,"&gt;="&amp;EOMONTH(A7,-1)+1,猫统计!V:V,"&lt;="&amp;EOMONTH(A7,0))+SUMIFS(猫统计!AE:AE,猫统计!AB:AB,"&gt;="&amp;EOMONTH(A7,-1)+1,猫统计!AB:AB,"&lt;="&amp;EOMONTH(A7,0))+SUMIFS(猫统计!AK:AK,猫统计!AH:AH,"&gt;="&amp;EOMONTH(A7,-1)+1,猫统计!AH:AH,"&lt;="&amp;EOMONTH(A7,0))+SUMIFS(猫统计!AQ:AQ,猫统计!AN:AN,"&gt;="&amp;EOMONTH(A7,-1)+1,猫统计!AN:AN,"&lt;="&amp;EOMONTH(A7,0))+SUMIFS(猫统计!AW:AW,猫统计!AT:AT,"&gt;="&amp;EOMONTH(A7,-1)+1,猫统计!AT:AT,"&lt;="&amp;EOMONTH(A7,0))+SUMIFS(猫统计!BC:BC,猫统计!AZ:AZ,"&gt;="&amp;EOMONTH(A7,-1)+1,猫统计!AZ:AZ,"&lt;="&amp;EOMONTH(A7,0))+SUMIFS(猫统计!BI:BI,猫统计!BF:BF,"&gt;="&amp;EOMONTH(A7,-1)+1,猫统计!BF:BF,"&lt;="&amp;EOMONTH(A7,0))+SUMIFS(猫统计!BO:BO,猫统计!BL:BL,"&gt;="&amp;EOMONTH(A7,-1)+1,猫统计!BL:BL,"&lt;="&amp;EOMONTH(A7,0))</f>
        <v>0</v>
      </c>
      <c r="F7" s="5">
        <f>(E5+E6+E7)/(C5+C6+C7)</f>
        <v>0.53846153846153844</v>
      </c>
      <c r="G7" s="5">
        <f>(E5+E6+E7)/(B5+B6+B7)</f>
        <v>2.3333333333333335</v>
      </c>
    </row>
    <row r="8" spans="1:7" ht="16.5" thickTop="1" thickBot="1">
      <c r="A8" s="3">
        <v>44197</v>
      </c>
      <c r="B8" s="6">
        <f>COUNTIFS(猫统计!J:J,"&gt;="&amp;EOMONTH(A8,-1)+1,猫统计!J:J,"&lt;="&amp;EOMONTH(A8,0))+COUNTIFS(猫统计!P:P,"&gt;="&amp;EOMONTH(A8,-1)+1,猫统计!P:P,"&lt;="&amp;EOMONTH(A8,0))+COUNTIFS(猫统计!V:V,"&gt;="&amp;EOMONTH(A8,-1)+1,猫统计!V:V,"&lt;="&amp;EOMONTH(A8,0))+COUNTIFS(猫统计!AB:AB,"&gt;="&amp;EOMONTH(A8,-1)+1,猫统计!AB:AB,"&lt;="&amp;EOMONTH(A8,0))+COUNTIFS(猫统计!AH:AH,"&gt;="&amp;EOMONTH(A8,-1)+1,猫统计!AH:AH,"&lt;="&amp;EOMONTH(A8,0))+COUNTIFS(猫统计!AN:AN,"&gt;="&amp;EOMONTH(A8,-1)+1,猫统计!AN:AN,"&lt;="&amp;EOMONTH(A8,0))+COUNTIFS(猫统计!AT:AT,"&gt;="&amp;EOMONTH(A8,-1)+1,猫统计!AT:AT,"&lt;="&amp;EOMONTH(A8,0))+COUNTIFS(猫统计!AZ:AZ,"&gt;="&amp;EOMONTH(A8,-1)+1,猫统计!AZ:AZ,"&lt;="&amp;EOMONTH(A8,0))+COUNTIFS(猫统计!BF:BF,"&gt;="&amp;EOMONTH(A8,-1)+1,猫统计!BF:BF,"&lt;="&amp;EOMONTH(A8,0))+COUNTIFS(猫统计!BL:BL,"&gt;="&amp;EOMONTH(A8,-1)+1,猫统计!BL:BL,"&lt;="&amp;EOMONTH(A8,0))</f>
        <v>3</v>
      </c>
      <c r="C8" s="2">
        <f t="shared" si="0"/>
        <v>11</v>
      </c>
      <c r="D8" s="2">
        <f>SUMIFS(猫统计!L:L,猫统计!J:J,"&gt;="&amp;EOMONTH(A8,-1)+1,猫统计!J:J,"&lt;="&amp;EOMONTH(A8,0))+SUMIFS(猫统计!R:R,猫统计!P:P,"&gt;="&amp;EOMONTH(A8,-1)+1,猫统计!P:P,"&lt;="&amp;EOMONTH(A8,0))+SUMIFS(猫统计!X:X,猫统计!V:V,"&gt;="&amp;EOMONTH(A8,-1)+1,猫统计!V:V,"&lt;="&amp;EOMONTH(A8,0))+SUMIFS(猫统计!AD:AD,猫统计!AB:AB,"&gt;="&amp;EOMONTH(A8,-1)+1,猫统计!AB:AB,"&lt;="&amp;EOMONTH(A8,0))+SUMIFS(猫统计!AJ:AJ,猫统计!AH:AH,"&gt;="&amp;EOMONTH(A8,-1)+1,猫统计!AH:AH,"&lt;="&amp;EOMONTH(A8,0))+SUMIFS(猫统计!AP:AP,猫统计!AN:AN,"&gt;="&amp;EOMONTH(A8,-1)+1,猫统计!AN:AN,"&lt;="&amp;EOMONTH(A8,0))+SUMIFS(猫统计!AV:AV,猫统计!AT:AT,"&gt;="&amp;EOMONTH(A8,-1)+1,猫统计!AT:AT,"&lt;="&amp;EOMONTH(A8,0))+SUMIFS(猫统计!BB:BB,猫统计!AZ:AZ,"&gt;="&amp;EOMONTH(A8,-1)+1,猫统计!AZ:AZ,"&lt;="&amp;EOMONTH(A8,0))+SUMIFS(猫统计!BH:BH,猫统计!BF:BF,"&gt;="&amp;EOMONTH(A8,-1)+1,猫统计!BF:BF,"&lt;="&amp;EOMONTH(A8,0))+SUMIFS(猫统计!BN:BN,猫统计!BL:BL,"&gt;="&amp;EOMONTH(A8,-1)+1,猫统计!BL:BL,"&lt;="&amp;EOMONTH(A8,0))</f>
        <v>2</v>
      </c>
      <c r="E8" s="2">
        <f>SUMIFS(猫统计!M:M,猫统计!J:J,"&gt;="&amp;EOMONTH(A8,-1)+1,猫统计!J:J,"&lt;="&amp;EOMONTH(A8,0))+SUMIFS(猫统计!S:S,猫统计!P:P,"&gt;="&amp;EOMONTH(A8,-1)+1,猫统计!P:P,"&lt;="&amp;EOMONTH(A8,0))+SUMIFS(猫统计!Y:Y,猫统计!V:V,"&gt;="&amp;EOMONTH(A8,-1)+1,猫统计!V:V,"&lt;="&amp;EOMONTH(A8,0))+SUMIFS(猫统计!AE:AE,猫统计!AB:AB,"&gt;="&amp;EOMONTH(A8,-1)+1,猫统计!AB:AB,"&lt;="&amp;EOMONTH(A8,0))+SUMIFS(猫统计!AK:AK,猫统计!AH:AH,"&gt;="&amp;EOMONTH(A8,-1)+1,猫统计!AH:AH,"&lt;="&amp;EOMONTH(A8,0))+SUMIFS(猫统计!AQ:AQ,猫统计!AN:AN,"&gt;="&amp;EOMONTH(A8,-1)+1,猫统计!AN:AN,"&lt;="&amp;EOMONTH(A8,0))+SUMIFS(猫统计!AW:AW,猫统计!AT:AT,"&gt;="&amp;EOMONTH(A8,-1)+1,猫统计!AT:AT,"&lt;="&amp;EOMONTH(A8,0))+SUMIFS(猫统计!BC:BC,猫统计!AZ:AZ,"&gt;="&amp;EOMONTH(A8,-1)+1,猫统计!AZ:AZ,"&lt;="&amp;EOMONTH(A8,0))+SUMIFS(猫统计!BI:BI,猫统计!BF:BF,"&gt;="&amp;EOMONTH(A8,-1)+1,猫统计!BF:BF,"&lt;="&amp;EOMONTH(A8,0))+SUMIFS(猫统计!BO:BO,猫统计!BL:BL,"&gt;="&amp;EOMONTH(A8,-1)+1,猫统计!BL:BL,"&lt;="&amp;EOMONTH(A8,0))</f>
        <v>9</v>
      </c>
      <c r="F8" s="5"/>
      <c r="G8" s="5"/>
    </row>
    <row r="9" spans="1:7" ht="16.5" thickTop="1" thickBot="1">
      <c r="A9" s="3">
        <v>44228</v>
      </c>
      <c r="B9" s="6">
        <f>COUNTIFS(猫统计!J:J,"&gt;="&amp;EOMONTH(A9,-1)+1,猫统计!J:J,"&lt;="&amp;EOMONTH(A9,0))+COUNTIFS(猫统计!P:P,"&gt;="&amp;EOMONTH(A9,-1)+1,猫统计!P:P,"&lt;="&amp;EOMONTH(A9,0))+COUNTIFS(猫统计!V:V,"&gt;="&amp;EOMONTH(A9,-1)+1,猫统计!V:V,"&lt;="&amp;EOMONTH(A9,0))+COUNTIFS(猫统计!AB:AB,"&gt;="&amp;EOMONTH(A9,-1)+1,猫统计!AB:AB,"&lt;="&amp;EOMONTH(A9,0))+COUNTIFS(猫统计!AH:AH,"&gt;="&amp;EOMONTH(A9,-1)+1,猫统计!AH:AH,"&lt;="&amp;EOMONTH(A9,0))+COUNTIFS(猫统计!AN:AN,"&gt;="&amp;EOMONTH(A9,-1)+1,猫统计!AN:AN,"&lt;="&amp;EOMONTH(A9,0))+COUNTIFS(猫统计!AT:AT,"&gt;="&amp;EOMONTH(A9,-1)+1,猫统计!AT:AT,"&lt;="&amp;EOMONTH(A9,0))+COUNTIFS(猫统计!AZ:AZ,"&gt;="&amp;EOMONTH(A9,-1)+1,猫统计!AZ:AZ,"&lt;="&amp;EOMONTH(A9,0))+COUNTIFS(猫统计!BF:BF,"&gt;="&amp;EOMONTH(A9,-1)+1,猫统计!BF:BF,"&lt;="&amp;EOMONTH(A9,0))+COUNTIFS(猫统计!BL:BL,"&gt;="&amp;EOMONTH(A9,-1)+1,猫统计!BL:BL,"&lt;="&amp;EOMONTH(A9,0))</f>
        <v>2</v>
      </c>
      <c r="C9" s="2">
        <f t="shared" si="0"/>
        <v>7</v>
      </c>
      <c r="D9" s="2">
        <f>SUMIFS(猫统计!L:L,猫统计!J:J,"&gt;="&amp;EOMONTH(A9,-1)+1,猫统计!J:J,"&lt;="&amp;EOMONTH(A9,0))+SUMIFS(猫统计!R:R,猫统计!P:P,"&gt;="&amp;EOMONTH(A9,-1)+1,猫统计!P:P,"&lt;="&amp;EOMONTH(A9,0))+SUMIFS(猫统计!X:X,猫统计!V:V,"&gt;="&amp;EOMONTH(A9,-1)+1,猫统计!V:V,"&lt;="&amp;EOMONTH(A9,0))+SUMIFS(猫统计!AD:AD,猫统计!AB:AB,"&gt;="&amp;EOMONTH(A9,-1)+1,猫统计!AB:AB,"&lt;="&amp;EOMONTH(A9,0))+SUMIFS(猫统计!AJ:AJ,猫统计!AH:AH,"&gt;="&amp;EOMONTH(A9,-1)+1,猫统计!AH:AH,"&lt;="&amp;EOMONTH(A9,0))+SUMIFS(猫统计!AP:AP,猫统计!AN:AN,"&gt;="&amp;EOMONTH(A9,-1)+1,猫统计!AN:AN,"&lt;="&amp;EOMONTH(A9,0))+SUMIFS(猫统计!AV:AV,猫统计!AT:AT,"&gt;="&amp;EOMONTH(A9,-1)+1,猫统计!AT:AT,"&lt;="&amp;EOMONTH(A9,0))+SUMIFS(猫统计!BB:BB,猫统计!AZ:AZ,"&gt;="&amp;EOMONTH(A9,-1)+1,猫统计!AZ:AZ,"&lt;="&amp;EOMONTH(A9,0))+SUMIFS(猫统计!BH:BH,猫统计!BF:BF,"&gt;="&amp;EOMONTH(A9,-1)+1,猫统计!BF:BF,"&lt;="&amp;EOMONTH(A9,0))+SUMIFS(猫统计!BN:BN,猫统计!BL:BL,"&gt;="&amp;EOMONTH(A9,-1)+1,猫统计!BL:BL,"&lt;="&amp;EOMONTH(A9,0))</f>
        <v>0</v>
      </c>
      <c r="E9" s="2">
        <f>SUMIFS(猫统计!M:M,猫统计!J:J,"&gt;="&amp;EOMONTH(A9,-1)+1,猫统计!J:J,"&lt;="&amp;EOMONTH(A9,0))+SUMIFS(猫统计!S:S,猫统计!P:P,"&gt;="&amp;EOMONTH(A9,-1)+1,猫统计!P:P,"&lt;="&amp;EOMONTH(A9,0))+SUMIFS(猫统计!Y:Y,猫统计!V:V,"&gt;="&amp;EOMONTH(A9,-1)+1,猫统计!V:V,"&lt;="&amp;EOMONTH(A9,0))+SUMIFS(猫统计!AE:AE,猫统计!AB:AB,"&gt;="&amp;EOMONTH(A9,-1)+1,猫统计!AB:AB,"&lt;="&amp;EOMONTH(A9,0))+SUMIFS(猫统计!AK:AK,猫统计!AH:AH,"&gt;="&amp;EOMONTH(A9,-1)+1,猫统计!AH:AH,"&lt;="&amp;EOMONTH(A9,0))+SUMIFS(猫统计!AQ:AQ,猫统计!AN:AN,"&gt;="&amp;EOMONTH(A9,-1)+1,猫统计!AN:AN,"&lt;="&amp;EOMONTH(A9,0))+SUMIFS(猫统计!AW:AW,猫统计!AT:AT,"&gt;="&amp;EOMONTH(A9,-1)+1,猫统计!AT:AT,"&lt;="&amp;EOMONTH(A9,0))+SUMIFS(猫统计!BC:BC,猫统计!AZ:AZ,"&gt;="&amp;EOMONTH(A9,-1)+1,猫统计!AZ:AZ,"&lt;="&amp;EOMONTH(A9,0))+SUMIFS(猫统计!BI:BI,猫统计!BF:BF,"&gt;="&amp;EOMONTH(A9,-1)+1,猫统计!BF:BF,"&lt;="&amp;EOMONTH(A9,0))+SUMIFS(猫统计!BO:BO,猫统计!BL:BL,"&gt;="&amp;EOMONTH(A9,-1)+1,猫统计!BL:BL,"&lt;="&amp;EOMONTH(A9,0))</f>
        <v>7</v>
      </c>
      <c r="F9" s="5"/>
      <c r="G9" s="5"/>
    </row>
    <row r="10" spans="1:7" ht="16.5" thickTop="1" thickBot="1">
      <c r="A10" s="3">
        <v>44256</v>
      </c>
      <c r="B10" s="6">
        <f>COUNTIFS(猫统计!J:J,"&gt;="&amp;EOMONTH(A10,-1)+1,猫统计!J:J,"&lt;="&amp;EOMONTH(A10,0))+COUNTIFS(猫统计!P:P,"&gt;="&amp;EOMONTH(A10,-1)+1,猫统计!P:P,"&lt;="&amp;EOMONTH(A10,0))+COUNTIFS(猫统计!V:V,"&gt;="&amp;EOMONTH(A10,-1)+1,猫统计!V:V,"&lt;="&amp;EOMONTH(A10,0))+COUNTIFS(猫统计!AB:AB,"&gt;="&amp;EOMONTH(A10,-1)+1,猫统计!AB:AB,"&lt;="&amp;EOMONTH(A10,0))+COUNTIFS(猫统计!AH:AH,"&gt;="&amp;EOMONTH(A10,-1)+1,猫统计!AH:AH,"&lt;="&amp;EOMONTH(A10,0))+COUNTIFS(猫统计!AN:AN,"&gt;="&amp;EOMONTH(A10,-1)+1,猫统计!AN:AN,"&lt;="&amp;EOMONTH(A10,0))+COUNTIFS(猫统计!AT:AT,"&gt;="&amp;EOMONTH(A10,-1)+1,猫统计!AT:AT,"&lt;="&amp;EOMONTH(A10,0))+COUNTIFS(猫统计!AZ:AZ,"&gt;="&amp;EOMONTH(A10,-1)+1,猫统计!AZ:AZ,"&lt;="&amp;EOMONTH(A10,0))+COUNTIFS(猫统计!BF:BF,"&gt;="&amp;EOMONTH(A10,-1)+1,猫统计!BF:BF,"&lt;="&amp;EOMONTH(A10,0))+COUNTIFS(猫统计!BL:BL,"&gt;="&amp;EOMONTH(A10,-1)+1,猫统计!BL:BL,"&lt;="&amp;EOMONTH(A10,0))</f>
        <v>8</v>
      </c>
      <c r="C10" s="2">
        <f t="shared" si="0"/>
        <v>33</v>
      </c>
      <c r="D10" s="2">
        <f>SUMIFS(猫统计!L:L,猫统计!J:J,"&gt;="&amp;EOMONTH(A10,-1)+1,猫统计!J:J,"&lt;="&amp;EOMONTH(A10,0))+SUMIFS(猫统计!R:R,猫统计!P:P,"&gt;="&amp;EOMONTH(A10,-1)+1,猫统计!P:P,"&lt;="&amp;EOMONTH(A10,0))+SUMIFS(猫统计!X:X,猫统计!V:V,"&gt;="&amp;EOMONTH(A10,-1)+1,猫统计!V:V,"&lt;="&amp;EOMONTH(A10,0))+SUMIFS(猫统计!AD:AD,猫统计!AB:AB,"&gt;="&amp;EOMONTH(A10,-1)+1,猫统计!AB:AB,"&lt;="&amp;EOMONTH(A10,0))+SUMIFS(猫统计!AJ:AJ,猫统计!AH:AH,"&gt;="&amp;EOMONTH(A10,-1)+1,猫统计!AH:AH,"&lt;="&amp;EOMONTH(A10,0))+SUMIFS(猫统计!AP:AP,猫统计!AN:AN,"&gt;="&amp;EOMONTH(A10,-1)+1,猫统计!AN:AN,"&lt;="&amp;EOMONTH(A10,0))+SUMIFS(猫统计!AV:AV,猫统计!AT:AT,"&gt;="&amp;EOMONTH(A10,-1)+1,猫统计!AT:AT,"&lt;="&amp;EOMONTH(A10,0))+SUMIFS(猫统计!BB:BB,猫统计!AZ:AZ,"&gt;="&amp;EOMONTH(A10,-1)+1,猫统计!AZ:AZ,"&lt;="&amp;EOMONTH(A10,0))+SUMIFS(猫统计!BH:BH,猫统计!BF:BF,"&gt;="&amp;EOMONTH(A10,-1)+1,猫统计!BF:BF,"&lt;="&amp;EOMONTH(A10,0))+SUMIFS(猫统计!BN:BN,猫统计!BL:BL,"&gt;="&amp;EOMONTH(A10,-1)+1,猫统计!BL:BL,"&lt;="&amp;EOMONTH(A10,0))</f>
        <v>9</v>
      </c>
      <c r="E10" s="2">
        <f>SUMIFS(猫统计!M:M,猫统计!J:J,"&gt;="&amp;EOMONTH(A10,-1)+1,猫统计!J:J,"&lt;="&amp;EOMONTH(A10,0))+SUMIFS(猫统计!S:S,猫统计!P:P,"&gt;="&amp;EOMONTH(A10,-1)+1,猫统计!P:P,"&lt;="&amp;EOMONTH(A10,0))+SUMIFS(猫统计!Y:Y,猫统计!V:V,"&gt;="&amp;EOMONTH(A10,-1)+1,猫统计!V:V,"&lt;="&amp;EOMONTH(A10,0))+SUMIFS(猫统计!AE:AE,猫统计!AB:AB,"&gt;="&amp;EOMONTH(A10,-1)+1,猫统计!AB:AB,"&lt;="&amp;EOMONTH(A10,0))+SUMIFS(猫统计!AK:AK,猫统计!AH:AH,"&gt;="&amp;EOMONTH(A10,-1)+1,猫统计!AH:AH,"&lt;="&amp;EOMONTH(A10,0))+SUMIFS(猫统计!AQ:AQ,猫统计!AN:AN,"&gt;="&amp;EOMONTH(A10,-1)+1,猫统计!AN:AN,"&lt;="&amp;EOMONTH(A10,0))+SUMIFS(猫统计!AW:AW,猫统计!AT:AT,"&gt;="&amp;EOMONTH(A10,-1)+1,猫统计!AT:AT,"&lt;="&amp;EOMONTH(A10,0))+SUMIFS(猫统计!BC:BC,猫统计!AZ:AZ,"&gt;="&amp;EOMONTH(A10,-1)+1,猫统计!AZ:AZ,"&lt;="&amp;EOMONTH(A10,0))+SUMIFS(猫统计!BI:BI,猫统计!BF:BF,"&gt;="&amp;EOMONTH(A10,-1)+1,猫统计!BF:BF,"&lt;="&amp;EOMONTH(A10,0))+SUMIFS(猫统计!BO:BO,猫统计!BL:BL,"&gt;="&amp;EOMONTH(A10,-1)+1,猫统计!BL:BL,"&lt;="&amp;EOMONTH(A10,0))</f>
        <v>24</v>
      </c>
      <c r="F10" s="5">
        <f>(E8+E9+E10)/(C8+C9+C10)</f>
        <v>0.78431372549019607</v>
      </c>
      <c r="G10" s="5">
        <f>(E8+E9+E10)/(B8+B9+B10)</f>
        <v>3.0769230769230771</v>
      </c>
    </row>
    <row r="11" spans="1:7" ht="16.5" thickTop="1" thickBot="1">
      <c r="A11" s="3">
        <v>44287</v>
      </c>
      <c r="B11" s="6">
        <f>COUNTIFS(猫统计!J:J,"&gt;="&amp;EOMONTH(A11,-1)+1,猫统计!J:J,"&lt;="&amp;EOMONTH(A11,0))+COUNTIFS(猫统计!P:P,"&gt;="&amp;EOMONTH(A11,-1)+1,猫统计!P:P,"&lt;="&amp;EOMONTH(A11,0))+COUNTIFS(猫统计!V:V,"&gt;="&amp;EOMONTH(A11,-1)+1,猫统计!V:V,"&lt;="&amp;EOMONTH(A11,0))+COUNTIFS(猫统计!AB:AB,"&gt;="&amp;EOMONTH(A11,-1)+1,猫统计!AB:AB,"&lt;="&amp;EOMONTH(A11,0))+COUNTIFS(猫统计!AH:AH,"&gt;="&amp;EOMONTH(A11,-1)+1,猫统计!AH:AH,"&lt;="&amp;EOMONTH(A11,0))+COUNTIFS(猫统计!AN:AN,"&gt;="&amp;EOMONTH(A11,-1)+1,猫统计!AN:AN,"&lt;="&amp;EOMONTH(A11,0))+COUNTIFS(猫统计!AT:AT,"&gt;="&amp;EOMONTH(A11,-1)+1,猫统计!AT:AT,"&lt;="&amp;EOMONTH(A11,0))+COUNTIFS(猫统计!AZ:AZ,"&gt;="&amp;EOMONTH(A11,-1)+1,猫统计!AZ:AZ,"&lt;="&amp;EOMONTH(A11,0))+COUNTIFS(猫统计!BF:BF,"&gt;="&amp;EOMONTH(A11,-1)+1,猫统计!BF:BF,"&lt;="&amp;EOMONTH(A11,0))+COUNTIFS(猫统计!BL:BL,"&gt;="&amp;EOMONTH(A11,-1)+1,猫统计!BL:BL,"&lt;="&amp;EOMONTH(A11,0))</f>
        <v>4</v>
      </c>
      <c r="C11" s="2">
        <f t="shared" si="0"/>
        <v>21</v>
      </c>
      <c r="D11" s="2">
        <f>SUMIFS(猫统计!L:L,猫统计!J:J,"&gt;="&amp;EOMONTH(A11,-1)+1,猫统计!J:J,"&lt;="&amp;EOMONTH(A11,0))+SUMIFS(猫统计!R:R,猫统计!P:P,"&gt;="&amp;EOMONTH(A11,-1)+1,猫统计!P:P,"&lt;="&amp;EOMONTH(A11,0))+SUMIFS(猫统计!X:X,猫统计!V:V,"&gt;="&amp;EOMONTH(A11,-1)+1,猫统计!V:V,"&lt;="&amp;EOMONTH(A11,0))+SUMIFS(猫统计!AD:AD,猫统计!AB:AB,"&gt;="&amp;EOMONTH(A11,-1)+1,猫统计!AB:AB,"&lt;="&amp;EOMONTH(A11,0))+SUMIFS(猫统计!AJ:AJ,猫统计!AH:AH,"&gt;="&amp;EOMONTH(A11,-1)+1,猫统计!AH:AH,"&lt;="&amp;EOMONTH(A11,0))+SUMIFS(猫统计!AP:AP,猫统计!AN:AN,"&gt;="&amp;EOMONTH(A11,-1)+1,猫统计!AN:AN,"&lt;="&amp;EOMONTH(A11,0))+SUMIFS(猫统计!AV:AV,猫统计!AT:AT,"&gt;="&amp;EOMONTH(A11,-1)+1,猫统计!AT:AT,"&lt;="&amp;EOMONTH(A11,0))+SUMIFS(猫统计!BB:BB,猫统计!AZ:AZ,"&gt;="&amp;EOMONTH(A11,-1)+1,猫统计!AZ:AZ,"&lt;="&amp;EOMONTH(A11,0))+SUMIFS(猫统计!BH:BH,猫统计!BF:BF,"&gt;="&amp;EOMONTH(A11,-1)+1,猫统计!BF:BF,"&lt;="&amp;EOMONTH(A11,0))+SUMIFS(猫统计!BN:BN,猫统计!BL:BL,"&gt;="&amp;EOMONTH(A11,-1)+1,猫统计!BL:BL,"&lt;="&amp;EOMONTH(A11,0))</f>
        <v>5</v>
      </c>
      <c r="E11" s="2">
        <f>SUMIFS(猫统计!M:M,猫统计!J:J,"&gt;="&amp;EOMONTH(A11,-1)+1,猫统计!J:J,"&lt;="&amp;EOMONTH(A11,0))+SUMIFS(猫统计!S:S,猫统计!P:P,"&gt;="&amp;EOMONTH(A11,-1)+1,猫统计!P:P,"&lt;="&amp;EOMONTH(A11,0))+SUMIFS(猫统计!Y:Y,猫统计!V:V,"&gt;="&amp;EOMONTH(A11,-1)+1,猫统计!V:V,"&lt;="&amp;EOMONTH(A11,0))+SUMIFS(猫统计!AE:AE,猫统计!AB:AB,"&gt;="&amp;EOMONTH(A11,-1)+1,猫统计!AB:AB,"&lt;="&amp;EOMONTH(A11,0))+SUMIFS(猫统计!AK:AK,猫统计!AH:AH,"&gt;="&amp;EOMONTH(A11,-1)+1,猫统计!AH:AH,"&lt;="&amp;EOMONTH(A11,0))+SUMIFS(猫统计!AQ:AQ,猫统计!AN:AN,"&gt;="&amp;EOMONTH(A11,-1)+1,猫统计!AN:AN,"&lt;="&amp;EOMONTH(A11,0))+SUMIFS(猫统计!AW:AW,猫统计!AT:AT,"&gt;="&amp;EOMONTH(A11,-1)+1,猫统计!AT:AT,"&lt;="&amp;EOMONTH(A11,0))+SUMIFS(猫统计!BC:BC,猫统计!AZ:AZ,"&gt;="&amp;EOMONTH(A11,-1)+1,猫统计!AZ:AZ,"&lt;="&amp;EOMONTH(A11,0))+SUMIFS(猫统计!BI:BI,猫统计!BF:BF,"&gt;="&amp;EOMONTH(A11,-1)+1,猫统计!BF:BF,"&lt;="&amp;EOMONTH(A11,0))+SUMIFS(猫统计!BO:BO,猫统计!BL:BL,"&gt;="&amp;EOMONTH(A11,-1)+1,猫统计!BL:BL,"&lt;="&amp;EOMONTH(A11,0))</f>
        <v>16</v>
      </c>
      <c r="F11" s="5"/>
      <c r="G11" s="5"/>
    </row>
    <row r="12" spans="1:7" ht="16.5" thickTop="1" thickBot="1">
      <c r="A12" s="3">
        <v>44317</v>
      </c>
      <c r="B12" s="6">
        <f>COUNTIFS(猫统计!J:J,"&gt;="&amp;EOMONTH(A12,-1)+1,猫统计!J:J,"&lt;="&amp;EOMONTH(A12,0))+COUNTIFS(猫统计!P:P,"&gt;="&amp;EOMONTH(A12,-1)+1,猫统计!P:P,"&lt;="&amp;EOMONTH(A12,0))+COUNTIFS(猫统计!V:V,"&gt;="&amp;EOMONTH(A12,-1)+1,猫统计!V:V,"&lt;="&amp;EOMONTH(A12,0))+COUNTIFS(猫统计!AB:AB,"&gt;="&amp;EOMONTH(A12,-1)+1,猫统计!AB:AB,"&lt;="&amp;EOMONTH(A12,0))+COUNTIFS(猫统计!AH:AH,"&gt;="&amp;EOMONTH(A12,-1)+1,猫统计!AH:AH,"&lt;="&amp;EOMONTH(A12,0))+COUNTIFS(猫统计!AN:AN,"&gt;="&amp;EOMONTH(A12,-1)+1,猫统计!AN:AN,"&lt;="&amp;EOMONTH(A12,0))+COUNTIFS(猫统计!AT:AT,"&gt;="&amp;EOMONTH(A12,-1)+1,猫统计!AT:AT,"&lt;="&amp;EOMONTH(A12,0))+COUNTIFS(猫统计!AZ:AZ,"&gt;="&amp;EOMONTH(A12,-1)+1,猫统计!AZ:AZ,"&lt;="&amp;EOMONTH(A12,0))+COUNTIFS(猫统计!BF:BF,"&gt;="&amp;EOMONTH(A12,-1)+1,猫统计!BF:BF,"&lt;="&amp;EOMONTH(A12,0))+COUNTIFS(猫统计!BL:BL,"&gt;="&amp;EOMONTH(A12,-1)+1,猫统计!BL:BL,"&lt;="&amp;EOMONTH(A12,0))</f>
        <v>3</v>
      </c>
      <c r="C12" s="2">
        <f t="shared" si="0"/>
        <v>9</v>
      </c>
      <c r="D12" s="2">
        <f>SUMIFS(猫统计!L:L,猫统计!J:J,"&gt;="&amp;EOMONTH(A12,-1)+1,猫统计!J:J,"&lt;="&amp;EOMONTH(A12,0))+SUMIFS(猫统计!R:R,猫统计!P:P,"&gt;="&amp;EOMONTH(A12,-1)+1,猫统计!P:P,"&lt;="&amp;EOMONTH(A12,0))+SUMIFS(猫统计!X:X,猫统计!V:V,"&gt;="&amp;EOMONTH(A12,-1)+1,猫统计!V:V,"&lt;="&amp;EOMONTH(A12,0))+SUMIFS(猫统计!AD:AD,猫统计!AB:AB,"&gt;="&amp;EOMONTH(A12,-1)+1,猫统计!AB:AB,"&lt;="&amp;EOMONTH(A12,0))+SUMIFS(猫统计!AJ:AJ,猫统计!AH:AH,"&gt;="&amp;EOMONTH(A12,-1)+1,猫统计!AH:AH,"&lt;="&amp;EOMONTH(A12,0))+SUMIFS(猫统计!AP:AP,猫统计!AN:AN,"&gt;="&amp;EOMONTH(A12,-1)+1,猫统计!AN:AN,"&lt;="&amp;EOMONTH(A12,0))+SUMIFS(猫统计!AV:AV,猫统计!AT:AT,"&gt;="&amp;EOMONTH(A12,-1)+1,猫统计!AT:AT,"&lt;="&amp;EOMONTH(A12,0))+SUMIFS(猫统计!BB:BB,猫统计!AZ:AZ,"&gt;="&amp;EOMONTH(A12,-1)+1,猫统计!AZ:AZ,"&lt;="&amp;EOMONTH(A12,0))+SUMIFS(猫统计!BH:BH,猫统计!BF:BF,"&gt;="&amp;EOMONTH(A12,-1)+1,猫统计!BF:BF,"&lt;="&amp;EOMONTH(A12,0))+SUMIFS(猫统计!BN:BN,猫统计!BL:BL,"&gt;="&amp;EOMONTH(A12,-1)+1,猫统计!BL:BL,"&lt;="&amp;EOMONTH(A12,0))</f>
        <v>4</v>
      </c>
      <c r="E12" s="2">
        <f>SUMIFS(猫统计!M:M,猫统计!J:J,"&gt;="&amp;EOMONTH(A12,-1)+1,猫统计!J:J,"&lt;="&amp;EOMONTH(A12,0))+SUMIFS(猫统计!S:S,猫统计!P:P,"&gt;="&amp;EOMONTH(A12,-1)+1,猫统计!P:P,"&lt;="&amp;EOMONTH(A12,0))+SUMIFS(猫统计!Y:Y,猫统计!V:V,"&gt;="&amp;EOMONTH(A12,-1)+1,猫统计!V:V,"&lt;="&amp;EOMONTH(A12,0))+SUMIFS(猫统计!AE:AE,猫统计!AB:AB,"&gt;="&amp;EOMONTH(A12,-1)+1,猫统计!AB:AB,"&lt;="&amp;EOMONTH(A12,0))+SUMIFS(猫统计!AK:AK,猫统计!AH:AH,"&gt;="&amp;EOMONTH(A12,-1)+1,猫统计!AH:AH,"&lt;="&amp;EOMONTH(A12,0))+SUMIFS(猫统计!AQ:AQ,猫统计!AN:AN,"&gt;="&amp;EOMONTH(A12,-1)+1,猫统计!AN:AN,"&lt;="&amp;EOMONTH(A12,0))+SUMIFS(猫统计!AW:AW,猫统计!AT:AT,"&gt;="&amp;EOMONTH(A12,-1)+1,猫统计!AT:AT,"&lt;="&amp;EOMONTH(A12,0))+SUMIFS(猫统计!BC:BC,猫统计!AZ:AZ,"&gt;="&amp;EOMONTH(A12,-1)+1,猫统计!AZ:AZ,"&lt;="&amp;EOMONTH(A12,0))+SUMIFS(猫统计!BI:BI,猫统计!BF:BF,"&gt;="&amp;EOMONTH(A12,-1)+1,猫统计!BF:BF,"&lt;="&amp;EOMONTH(A12,0))+SUMIFS(猫统计!BO:BO,猫统计!BL:BL,"&gt;="&amp;EOMONTH(A12,-1)+1,猫统计!BL:BL,"&lt;="&amp;EOMONTH(A12,0))</f>
        <v>5</v>
      </c>
      <c r="F12" s="5"/>
      <c r="G12" s="5"/>
    </row>
    <row r="13" spans="1:7" ht="16.5" thickTop="1" thickBot="1">
      <c r="A13" s="3">
        <v>44348</v>
      </c>
      <c r="B13" s="6">
        <f>COUNTIFS(猫统计!J:J,"&gt;="&amp;EOMONTH(A13,-1)+1,猫统计!J:J,"&lt;="&amp;EOMONTH(A13,0))+COUNTIFS(猫统计!P:P,"&gt;="&amp;EOMONTH(A13,-1)+1,猫统计!P:P,"&lt;="&amp;EOMONTH(A13,0))+COUNTIFS(猫统计!V:V,"&gt;="&amp;EOMONTH(A13,-1)+1,猫统计!V:V,"&lt;="&amp;EOMONTH(A13,0))+COUNTIFS(猫统计!AB:AB,"&gt;="&amp;EOMONTH(A13,-1)+1,猫统计!AB:AB,"&lt;="&amp;EOMONTH(A13,0))+COUNTIFS(猫统计!AH:AH,"&gt;="&amp;EOMONTH(A13,-1)+1,猫统计!AH:AH,"&lt;="&amp;EOMONTH(A13,0))+COUNTIFS(猫统计!AN:AN,"&gt;="&amp;EOMONTH(A13,-1)+1,猫统计!AN:AN,"&lt;="&amp;EOMONTH(A13,0))+COUNTIFS(猫统计!AT:AT,"&gt;="&amp;EOMONTH(A13,-1)+1,猫统计!AT:AT,"&lt;="&amp;EOMONTH(A13,0))+COUNTIFS(猫统计!AZ:AZ,"&gt;="&amp;EOMONTH(A13,-1)+1,猫统计!AZ:AZ,"&lt;="&amp;EOMONTH(A13,0))+COUNTIFS(猫统计!BF:BF,"&gt;="&amp;EOMONTH(A13,-1)+1,猫统计!BF:BF,"&lt;="&amp;EOMONTH(A13,0))+COUNTIFS(猫统计!BL:BL,"&gt;="&amp;EOMONTH(A13,-1)+1,猫统计!BL:BL,"&lt;="&amp;EOMONTH(A13,0))</f>
        <v>0</v>
      </c>
      <c r="C13" s="2">
        <f t="shared" ref="C13:C29" si="1">D13+E13</f>
        <v>0</v>
      </c>
      <c r="D13" s="2">
        <f>SUMIFS(猫统计!L:L,猫统计!J:J,"&gt;="&amp;EOMONTH(A13,-1)+1,猫统计!J:J,"&lt;="&amp;EOMONTH(A13,0))+SUMIFS(猫统计!R:R,猫统计!P:P,"&gt;="&amp;EOMONTH(A13,-1)+1,猫统计!P:P,"&lt;="&amp;EOMONTH(A13,0))+SUMIFS(猫统计!X:X,猫统计!V:V,"&gt;="&amp;EOMONTH(A13,-1)+1,猫统计!V:V,"&lt;="&amp;EOMONTH(A13,0))+SUMIFS(猫统计!AD:AD,猫统计!AB:AB,"&gt;="&amp;EOMONTH(A13,-1)+1,猫统计!AB:AB,"&lt;="&amp;EOMONTH(A13,0))+SUMIFS(猫统计!AJ:AJ,猫统计!AH:AH,"&gt;="&amp;EOMONTH(A13,-1)+1,猫统计!AH:AH,"&lt;="&amp;EOMONTH(A13,0))+SUMIFS(猫统计!AP:AP,猫统计!AN:AN,"&gt;="&amp;EOMONTH(A13,-1)+1,猫统计!AN:AN,"&lt;="&amp;EOMONTH(A13,0))+SUMIFS(猫统计!AV:AV,猫统计!AT:AT,"&gt;="&amp;EOMONTH(A13,-1)+1,猫统计!AT:AT,"&lt;="&amp;EOMONTH(A13,0))+SUMIFS(猫统计!BB:BB,猫统计!AZ:AZ,"&gt;="&amp;EOMONTH(A13,-1)+1,猫统计!AZ:AZ,"&lt;="&amp;EOMONTH(A13,0))+SUMIFS(猫统计!BH:BH,猫统计!BF:BF,"&gt;="&amp;EOMONTH(A13,-1)+1,猫统计!BF:BF,"&lt;="&amp;EOMONTH(A13,0))+SUMIFS(猫统计!BN:BN,猫统计!BL:BL,"&gt;="&amp;EOMONTH(A13,-1)+1,猫统计!BL:BL,"&lt;="&amp;EOMONTH(A13,0))</f>
        <v>0</v>
      </c>
      <c r="E13" s="2">
        <f>SUMIFS(猫统计!M:M,猫统计!J:J,"&gt;="&amp;EOMONTH(A13,-1)+1,猫统计!J:J,"&lt;="&amp;EOMONTH(A13,0))+SUMIFS(猫统计!S:S,猫统计!P:P,"&gt;="&amp;EOMONTH(A13,-1)+1,猫统计!P:P,"&lt;="&amp;EOMONTH(A13,0))+SUMIFS(猫统计!Y:Y,猫统计!V:V,"&gt;="&amp;EOMONTH(A13,-1)+1,猫统计!V:V,"&lt;="&amp;EOMONTH(A13,0))+SUMIFS(猫统计!AE:AE,猫统计!AB:AB,"&gt;="&amp;EOMONTH(A13,-1)+1,猫统计!AB:AB,"&lt;="&amp;EOMONTH(A13,0))+SUMIFS(猫统计!AK:AK,猫统计!AH:AH,"&gt;="&amp;EOMONTH(A13,-1)+1,猫统计!AH:AH,"&lt;="&amp;EOMONTH(A13,0))+SUMIFS(猫统计!AQ:AQ,猫统计!AN:AN,"&gt;="&amp;EOMONTH(A13,-1)+1,猫统计!AN:AN,"&lt;="&amp;EOMONTH(A13,0))+SUMIFS(猫统计!AW:AW,猫统计!AT:AT,"&gt;="&amp;EOMONTH(A13,-1)+1,猫统计!AT:AT,"&lt;="&amp;EOMONTH(A13,0))+SUMIFS(猫统计!BC:BC,猫统计!AZ:AZ,"&gt;="&amp;EOMONTH(A13,-1)+1,猫统计!AZ:AZ,"&lt;="&amp;EOMONTH(A13,0))+SUMIFS(猫统计!BI:BI,猫统计!BF:BF,"&gt;="&amp;EOMONTH(A13,-1)+1,猫统计!BF:BF,"&lt;="&amp;EOMONTH(A13,0))+SUMIFS(猫统计!BO:BO,猫统计!BL:BL,"&gt;="&amp;EOMONTH(A13,-1)+1,猫统计!BL:BL,"&lt;="&amp;EOMONTH(A13,0))</f>
        <v>0</v>
      </c>
      <c r="F13" s="5">
        <f>(E11+E12+E13)/(C11+C12+C13)</f>
        <v>0.7</v>
      </c>
      <c r="G13" s="5">
        <f>(E11+E12+E13)/(B11+B12+B13)</f>
        <v>3</v>
      </c>
    </row>
    <row r="14" spans="1:7" ht="16.5" thickTop="1" thickBot="1">
      <c r="A14" s="3">
        <v>44378</v>
      </c>
      <c r="B14" s="6">
        <f>COUNTIFS(猫统计!J:J,"&gt;="&amp;EOMONTH(A14,-1)+1,猫统计!J:J,"&lt;="&amp;EOMONTH(A14,0))+COUNTIFS(猫统计!P:P,"&gt;="&amp;EOMONTH(A14,-1)+1,猫统计!P:P,"&lt;="&amp;EOMONTH(A14,0))+COUNTIFS(猫统计!V:V,"&gt;="&amp;EOMONTH(A14,-1)+1,猫统计!V:V,"&lt;="&amp;EOMONTH(A14,0))+COUNTIFS(猫统计!AB:AB,"&gt;="&amp;EOMONTH(A14,-1)+1,猫统计!AB:AB,"&lt;="&amp;EOMONTH(A14,0))+COUNTIFS(猫统计!AH:AH,"&gt;="&amp;EOMONTH(A14,-1)+1,猫统计!AH:AH,"&lt;="&amp;EOMONTH(A14,0))+COUNTIFS(猫统计!AN:AN,"&gt;="&amp;EOMONTH(A14,-1)+1,猫统计!AN:AN,"&lt;="&amp;EOMONTH(A14,0))+COUNTIFS(猫统计!AT:AT,"&gt;="&amp;EOMONTH(A14,-1)+1,猫统计!AT:AT,"&lt;="&amp;EOMONTH(A14,0))+COUNTIFS(猫统计!AZ:AZ,"&gt;="&amp;EOMONTH(A14,-1)+1,猫统计!AZ:AZ,"&lt;="&amp;EOMONTH(A14,0))+COUNTIFS(猫统计!BF:BF,"&gt;="&amp;EOMONTH(A14,-1)+1,猫统计!BF:BF,"&lt;="&amp;EOMONTH(A14,0))+COUNTIFS(猫统计!BL:BL,"&gt;="&amp;EOMONTH(A14,-1)+1,猫统计!BL:BL,"&lt;="&amp;EOMONTH(A14,0))</f>
        <v>6</v>
      </c>
      <c r="C14" s="2">
        <f t="shared" si="1"/>
        <v>26</v>
      </c>
      <c r="D14" s="2">
        <f>SUMIFS(猫统计!L:L,猫统计!J:J,"&gt;="&amp;EOMONTH(A14,-1)+1,猫统计!J:J,"&lt;="&amp;EOMONTH(A14,0))+SUMIFS(猫统计!R:R,猫统计!P:P,"&gt;="&amp;EOMONTH(A14,-1)+1,猫统计!P:P,"&lt;="&amp;EOMONTH(A14,0))+SUMIFS(猫统计!X:X,猫统计!V:V,"&gt;="&amp;EOMONTH(A14,-1)+1,猫统计!V:V,"&lt;="&amp;EOMONTH(A14,0))+SUMIFS(猫统计!AD:AD,猫统计!AB:AB,"&gt;="&amp;EOMONTH(A14,-1)+1,猫统计!AB:AB,"&lt;="&amp;EOMONTH(A14,0))+SUMIFS(猫统计!AJ:AJ,猫统计!AH:AH,"&gt;="&amp;EOMONTH(A14,-1)+1,猫统计!AH:AH,"&lt;="&amp;EOMONTH(A14,0))+SUMIFS(猫统计!AP:AP,猫统计!AN:AN,"&gt;="&amp;EOMONTH(A14,-1)+1,猫统计!AN:AN,"&lt;="&amp;EOMONTH(A14,0))+SUMIFS(猫统计!AV:AV,猫统计!AT:AT,"&gt;="&amp;EOMONTH(A14,-1)+1,猫统计!AT:AT,"&lt;="&amp;EOMONTH(A14,0))+SUMIFS(猫统计!BB:BB,猫统计!AZ:AZ,"&gt;="&amp;EOMONTH(A14,-1)+1,猫统计!AZ:AZ,"&lt;="&amp;EOMONTH(A14,0))+SUMIFS(猫统计!BH:BH,猫统计!BF:BF,"&gt;="&amp;EOMONTH(A14,-1)+1,猫统计!BF:BF,"&lt;="&amp;EOMONTH(A14,0))+SUMIFS(猫统计!BN:BN,猫统计!BL:BL,"&gt;="&amp;EOMONTH(A14,-1)+1,猫统计!BL:BL,"&lt;="&amp;EOMONTH(A14,0))</f>
        <v>6</v>
      </c>
      <c r="E14" s="2">
        <f>SUMIFS(猫统计!M:M,猫统计!J:J,"&gt;="&amp;EOMONTH(A14,-1)+1,猫统计!J:J,"&lt;="&amp;EOMONTH(A14,0))+SUMIFS(猫统计!S:S,猫统计!P:P,"&gt;="&amp;EOMONTH(A14,-1)+1,猫统计!P:P,"&lt;="&amp;EOMONTH(A14,0))+SUMIFS(猫统计!Y:Y,猫统计!V:V,"&gt;="&amp;EOMONTH(A14,-1)+1,猫统计!V:V,"&lt;="&amp;EOMONTH(A14,0))+SUMIFS(猫统计!AE:AE,猫统计!AB:AB,"&gt;="&amp;EOMONTH(A14,-1)+1,猫统计!AB:AB,"&lt;="&amp;EOMONTH(A14,0))+SUMIFS(猫统计!AK:AK,猫统计!AH:AH,"&gt;="&amp;EOMONTH(A14,-1)+1,猫统计!AH:AH,"&lt;="&amp;EOMONTH(A14,0))+SUMIFS(猫统计!AQ:AQ,猫统计!AN:AN,"&gt;="&amp;EOMONTH(A14,-1)+1,猫统计!AN:AN,"&lt;="&amp;EOMONTH(A14,0))+SUMIFS(猫统计!AW:AW,猫统计!AT:AT,"&gt;="&amp;EOMONTH(A14,-1)+1,猫统计!AT:AT,"&lt;="&amp;EOMONTH(A14,0))+SUMIFS(猫统计!BC:BC,猫统计!AZ:AZ,"&gt;="&amp;EOMONTH(A14,-1)+1,猫统计!AZ:AZ,"&lt;="&amp;EOMONTH(A14,0))+SUMIFS(猫统计!BI:BI,猫统计!BF:BF,"&gt;="&amp;EOMONTH(A14,-1)+1,猫统计!BF:BF,"&lt;="&amp;EOMONTH(A14,0))+SUMIFS(猫统计!BO:BO,猫统计!BL:BL,"&gt;="&amp;EOMONTH(A14,-1)+1,猫统计!BL:BL,"&lt;="&amp;EOMONTH(A14,0))</f>
        <v>20</v>
      </c>
      <c r="F14" s="5"/>
      <c r="G14" s="5"/>
    </row>
    <row r="15" spans="1:7" ht="16.5" thickTop="1" thickBot="1">
      <c r="A15" s="3">
        <v>44409</v>
      </c>
      <c r="B15" s="6">
        <f>COUNTIFS(猫统计!J:J,"&gt;="&amp;EOMONTH(A15,-1)+1,猫统计!J:J,"&lt;="&amp;EOMONTH(A15,0))+COUNTIFS(猫统计!P:P,"&gt;="&amp;EOMONTH(A15,-1)+1,猫统计!P:P,"&lt;="&amp;EOMONTH(A15,0))+COUNTIFS(猫统计!V:V,"&gt;="&amp;EOMONTH(A15,-1)+1,猫统计!V:V,"&lt;="&amp;EOMONTH(A15,0))+COUNTIFS(猫统计!AB:AB,"&gt;="&amp;EOMONTH(A15,-1)+1,猫统计!AB:AB,"&lt;="&amp;EOMONTH(A15,0))+COUNTIFS(猫统计!AH:AH,"&gt;="&amp;EOMONTH(A15,-1)+1,猫统计!AH:AH,"&lt;="&amp;EOMONTH(A15,0))+COUNTIFS(猫统计!AN:AN,"&gt;="&amp;EOMONTH(A15,-1)+1,猫统计!AN:AN,"&lt;="&amp;EOMONTH(A15,0))+COUNTIFS(猫统计!AT:AT,"&gt;="&amp;EOMONTH(A15,-1)+1,猫统计!AT:AT,"&lt;="&amp;EOMONTH(A15,0))+COUNTIFS(猫统计!AZ:AZ,"&gt;="&amp;EOMONTH(A15,-1)+1,猫统计!AZ:AZ,"&lt;="&amp;EOMONTH(A15,0))+COUNTIFS(猫统计!BF:BF,"&gt;="&amp;EOMONTH(A15,-1)+1,猫统计!BF:BF,"&lt;="&amp;EOMONTH(A15,0))+COUNTIFS(猫统计!BL:BL,"&gt;="&amp;EOMONTH(A15,-1)+1,猫统计!BL:BL,"&lt;="&amp;EOMONTH(A15,0))</f>
        <v>3</v>
      </c>
      <c r="C15" s="2">
        <f t="shared" si="1"/>
        <v>15</v>
      </c>
      <c r="D15" s="2">
        <f>SUMIFS(猫统计!L:L,猫统计!J:J,"&gt;="&amp;EOMONTH(A15,-1)+1,猫统计!J:J,"&lt;="&amp;EOMONTH(A15,0))+SUMIFS(猫统计!R:R,猫统计!P:P,"&gt;="&amp;EOMONTH(A15,-1)+1,猫统计!P:P,"&lt;="&amp;EOMONTH(A15,0))+SUMIFS(猫统计!X:X,猫统计!V:V,"&gt;="&amp;EOMONTH(A15,-1)+1,猫统计!V:V,"&lt;="&amp;EOMONTH(A15,0))+SUMIFS(猫统计!AD:AD,猫统计!AB:AB,"&gt;="&amp;EOMONTH(A15,-1)+1,猫统计!AB:AB,"&lt;="&amp;EOMONTH(A15,0))+SUMIFS(猫统计!AJ:AJ,猫统计!AH:AH,"&gt;="&amp;EOMONTH(A15,-1)+1,猫统计!AH:AH,"&lt;="&amp;EOMONTH(A15,0))+SUMIFS(猫统计!AP:AP,猫统计!AN:AN,"&gt;="&amp;EOMONTH(A15,-1)+1,猫统计!AN:AN,"&lt;="&amp;EOMONTH(A15,0))+SUMIFS(猫统计!AV:AV,猫统计!AT:AT,"&gt;="&amp;EOMONTH(A15,-1)+1,猫统计!AT:AT,"&lt;="&amp;EOMONTH(A15,0))+SUMIFS(猫统计!BB:BB,猫统计!AZ:AZ,"&gt;="&amp;EOMONTH(A15,-1)+1,猫统计!AZ:AZ,"&lt;="&amp;EOMONTH(A15,0))+SUMIFS(猫统计!BH:BH,猫统计!BF:BF,"&gt;="&amp;EOMONTH(A15,-1)+1,猫统计!BF:BF,"&lt;="&amp;EOMONTH(A15,0))+SUMIFS(猫统计!BN:BN,猫统计!BL:BL,"&gt;="&amp;EOMONTH(A15,-1)+1,猫统计!BL:BL,"&lt;="&amp;EOMONTH(A15,0))</f>
        <v>0</v>
      </c>
      <c r="E15" s="2">
        <f>SUMIFS(猫统计!M:M,猫统计!J:J,"&gt;="&amp;EOMONTH(A15,-1)+1,猫统计!J:J,"&lt;="&amp;EOMONTH(A15,0))+SUMIFS(猫统计!S:S,猫统计!P:P,"&gt;="&amp;EOMONTH(A15,-1)+1,猫统计!P:P,"&lt;="&amp;EOMONTH(A15,0))+SUMIFS(猫统计!Y:Y,猫统计!V:V,"&gt;="&amp;EOMONTH(A15,-1)+1,猫统计!V:V,"&lt;="&amp;EOMONTH(A15,0))+SUMIFS(猫统计!AE:AE,猫统计!AB:AB,"&gt;="&amp;EOMONTH(A15,-1)+1,猫统计!AB:AB,"&lt;="&amp;EOMONTH(A15,0))+SUMIFS(猫统计!AK:AK,猫统计!AH:AH,"&gt;="&amp;EOMONTH(A15,-1)+1,猫统计!AH:AH,"&lt;="&amp;EOMONTH(A15,0))+SUMIFS(猫统计!AQ:AQ,猫统计!AN:AN,"&gt;="&amp;EOMONTH(A15,-1)+1,猫统计!AN:AN,"&lt;="&amp;EOMONTH(A15,0))+SUMIFS(猫统计!AW:AW,猫统计!AT:AT,"&gt;="&amp;EOMONTH(A15,-1)+1,猫统计!AT:AT,"&lt;="&amp;EOMONTH(A15,0))+SUMIFS(猫统计!BC:BC,猫统计!AZ:AZ,"&gt;="&amp;EOMONTH(A15,-1)+1,猫统计!AZ:AZ,"&lt;="&amp;EOMONTH(A15,0))+SUMIFS(猫统计!BI:BI,猫统计!BF:BF,"&gt;="&amp;EOMONTH(A15,-1)+1,猫统计!BF:BF,"&lt;="&amp;EOMONTH(A15,0))+SUMIFS(猫统计!BO:BO,猫统计!BL:BL,"&gt;="&amp;EOMONTH(A15,-1)+1,猫统计!BL:BL,"&lt;="&amp;EOMONTH(A15,0))</f>
        <v>15</v>
      </c>
      <c r="F15" s="5"/>
      <c r="G15" s="5"/>
    </row>
    <row r="16" spans="1:7" ht="16.5" thickTop="1" thickBot="1">
      <c r="A16" s="3">
        <v>44440</v>
      </c>
      <c r="B16" s="6">
        <f>COUNTIFS(猫统计!J:J,"&gt;="&amp;EOMONTH(A16,-1)+1,猫统计!J:J,"&lt;="&amp;EOMONTH(A16,0))+COUNTIFS(猫统计!P:P,"&gt;="&amp;EOMONTH(A16,-1)+1,猫统计!P:P,"&lt;="&amp;EOMONTH(A16,0))+COUNTIFS(猫统计!V:V,"&gt;="&amp;EOMONTH(A16,-1)+1,猫统计!V:V,"&lt;="&amp;EOMONTH(A16,0))+COUNTIFS(猫统计!AB:AB,"&gt;="&amp;EOMONTH(A16,-1)+1,猫统计!AB:AB,"&lt;="&amp;EOMONTH(A16,0))+COUNTIFS(猫统计!AH:AH,"&gt;="&amp;EOMONTH(A16,-1)+1,猫统计!AH:AH,"&lt;="&amp;EOMONTH(A16,0))+COUNTIFS(猫统计!AN:AN,"&gt;="&amp;EOMONTH(A16,-1)+1,猫统计!AN:AN,"&lt;="&amp;EOMONTH(A16,0))+COUNTIFS(猫统计!AT:AT,"&gt;="&amp;EOMONTH(A16,-1)+1,猫统计!AT:AT,"&lt;="&amp;EOMONTH(A16,0))+COUNTIFS(猫统计!AZ:AZ,"&gt;="&amp;EOMONTH(A16,-1)+1,猫统计!AZ:AZ,"&lt;="&amp;EOMONTH(A16,0))+COUNTIFS(猫统计!BF:BF,"&gt;="&amp;EOMONTH(A16,-1)+1,猫统计!BF:BF,"&lt;="&amp;EOMONTH(A16,0))+COUNTIFS(猫统计!BL:BL,"&gt;="&amp;EOMONTH(A16,-1)+1,猫统计!BL:BL,"&lt;="&amp;EOMONTH(A16,0))</f>
        <v>5</v>
      </c>
      <c r="C16" s="2">
        <f t="shared" si="1"/>
        <v>20</v>
      </c>
      <c r="D16" s="2">
        <f>SUMIFS(猫统计!L:L,猫统计!J:J,"&gt;="&amp;EOMONTH(A16,-1)+1,猫统计!J:J,"&lt;="&amp;EOMONTH(A16,0))+SUMIFS(猫统计!R:R,猫统计!P:P,"&gt;="&amp;EOMONTH(A16,-1)+1,猫统计!P:P,"&lt;="&amp;EOMONTH(A16,0))+SUMIFS(猫统计!X:X,猫统计!V:V,"&gt;="&amp;EOMONTH(A16,-1)+1,猫统计!V:V,"&lt;="&amp;EOMONTH(A16,0))+SUMIFS(猫统计!AD:AD,猫统计!AB:AB,"&gt;="&amp;EOMONTH(A16,-1)+1,猫统计!AB:AB,"&lt;="&amp;EOMONTH(A16,0))+SUMIFS(猫统计!AJ:AJ,猫统计!AH:AH,"&gt;="&amp;EOMONTH(A16,-1)+1,猫统计!AH:AH,"&lt;="&amp;EOMONTH(A16,0))+SUMIFS(猫统计!AP:AP,猫统计!AN:AN,"&gt;="&amp;EOMONTH(A16,-1)+1,猫统计!AN:AN,"&lt;="&amp;EOMONTH(A16,0))+SUMIFS(猫统计!AV:AV,猫统计!AT:AT,"&gt;="&amp;EOMONTH(A16,-1)+1,猫统计!AT:AT,"&lt;="&amp;EOMONTH(A16,0))+SUMIFS(猫统计!BB:BB,猫统计!AZ:AZ,"&gt;="&amp;EOMONTH(A16,-1)+1,猫统计!AZ:AZ,"&lt;="&amp;EOMONTH(A16,0))+SUMIFS(猫统计!BH:BH,猫统计!BF:BF,"&gt;="&amp;EOMONTH(A16,-1)+1,猫统计!BF:BF,"&lt;="&amp;EOMONTH(A16,0))+SUMIFS(猫统计!BN:BN,猫统计!BL:BL,"&gt;="&amp;EOMONTH(A16,-1)+1,猫统计!BL:BL,"&lt;="&amp;EOMONTH(A16,0))</f>
        <v>4</v>
      </c>
      <c r="E16" s="2">
        <f>SUMIFS(猫统计!M:M,猫统计!J:J,"&gt;="&amp;EOMONTH(A16,-1)+1,猫统计!J:J,"&lt;="&amp;EOMONTH(A16,0))+SUMIFS(猫统计!S:S,猫统计!P:P,"&gt;="&amp;EOMONTH(A16,-1)+1,猫统计!P:P,"&lt;="&amp;EOMONTH(A16,0))+SUMIFS(猫统计!Y:Y,猫统计!V:V,"&gt;="&amp;EOMONTH(A16,-1)+1,猫统计!V:V,"&lt;="&amp;EOMONTH(A16,0))+SUMIFS(猫统计!AE:AE,猫统计!AB:AB,"&gt;="&amp;EOMONTH(A16,-1)+1,猫统计!AB:AB,"&lt;="&amp;EOMONTH(A16,0))+SUMIFS(猫统计!AK:AK,猫统计!AH:AH,"&gt;="&amp;EOMONTH(A16,-1)+1,猫统计!AH:AH,"&lt;="&amp;EOMONTH(A16,0))+SUMIFS(猫统计!AQ:AQ,猫统计!AN:AN,"&gt;="&amp;EOMONTH(A16,-1)+1,猫统计!AN:AN,"&lt;="&amp;EOMONTH(A16,0))+SUMIFS(猫统计!AW:AW,猫统计!AT:AT,"&gt;="&amp;EOMONTH(A16,-1)+1,猫统计!AT:AT,"&lt;="&amp;EOMONTH(A16,0))+SUMIFS(猫统计!BC:BC,猫统计!AZ:AZ,"&gt;="&amp;EOMONTH(A16,-1)+1,猫统计!AZ:AZ,"&lt;="&amp;EOMONTH(A16,0))+SUMIFS(猫统计!BI:BI,猫统计!BF:BF,"&gt;="&amp;EOMONTH(A16,-1)+1,猫统计!BF:BF,"&lt;="&amp;EOMONTH(A16,0))+SUMIFS(猫统计!BO:BO,猫统计!BL:BL,"&gt;="&amp;EOMONTH(A16,-1)+1,猫统计!BL:BL,"&lt;="&amp;EOMONTH(A16,0))</f>
        <v>16</v>
      </c>
      <c r="F16" s="5">
        <f>(E14+E15+E16)/(C14+C15+C16)</f>
        <v>0.83606557377049184</v>
      </c>
      <c r="G16" s="5">
        <f>(E14+E15+E16)/(B14+B15+B16)</f>
        <v>3.6428571428571428</v>
      </c>
    </row>
    <row r="17" spans="1:15" ht="16.5" thickTop="1" thickBot="1">
      <c r="A17" s="3">
        <v>44470</v>
      </c>
      <c r="B17" s="6">
        <f>COUNTIFS(猫统计!J:J,"&gt;="&amp;EOMONTH(A17,-1)+1,猫统计!J:J,"&lt;="&amp;EOMONTH(A17,0))+COUNTIFS(猫统计!P:P,"&gt;="&amp;EOMONTH(A17,-1)+1,猫统计!P:P,"&lt;="&amp;EOMONTH(A17,0))+COUNTIFS(猫统计!V:V,"&gt;="&amp;EOMONTH(A17,-1)+1,猫统计!V:V,"&lt;="&amp;EOMONTH(A17,0))+COUNTIFS(猫统计!AB:AB,"&gt;="&amp;EOMONTH(A17,-1)+1,猫统计!AB:AB,"&lt;="&amp;EOMONTH(A17,0))+COUNTIFS(猫统计!AH:AH,"&gt;="&amp;EOMONTH(A17,-1)+1,猫统计!AH:AH,"&lt;="&amp;EOMONTH(A17,0))+COUNTIFS(猫统计!AN:AN,"&gt;="&amp;EOMONTH(A17,-1)+1,猫统计!AN:AN,"&lt;="&amp;EOMONTH(A17,0))+COUNTIFS(猫统计!AT:AT,"&gt;="&amp;EOMONTH(A17,-1)+1,猫统计!AT:AT,"&lt;="&amp;EOMONTH(A17,0))+COUNTIFS(猫统计!AZ:AZ,"&gt;="&amp;EOMONTH(A17,-1)+1,猫统计!AZ:AZ,"&lt;="&amp;EOMONTH(A17,0))+COUNTIFS(猫统计!BF:BF,"&gt;="&amp;EOMONTH(A17,-1)+1,猫统计!BF:BF,"&lt;="&amp;EOMONTH(A17,0))+COUNTIFS(猫统计!BL:BL,"&gt;="&amp;EOMONTH(A17,-1)+1,猫统计!BL:BL,"&lt;="&amp;EOMONTH(A17,0))</f>
        <v>3</v>
      </c>
      <c r="C17" s="2">
        <f t="shared" si="1"/>
        <v>17</v>
      </c>
      <c r="D17" s="2">
        <f>SUMIFS(猫统计!L:L,猫统计!J:J,"&gt;="&amp;EOMONTH(A17,-1)+1,猫统计!J:J,"&lt;="&amp;EOMONTH(A17,0))+SUMIFS(猫统计!R:R,猫统计!P:P,"&gt;="&amp;EOMONTH(A17,-1)+1,猫统计!P:P,"&lt;="&amp;EOMONTH(A17,0))+SUMIFS(猫统计!X:X,猫统计!V:V,"&gt;="&amp;EOMONTH(A17,-1)+1,猫统计!V:V,"&lt;="&amp;EOMONTH(A17,0))+SUMIFS(猫统计!AD:AD,猫统计!AB:AB,"&gt;="&amp;EOMONTH(A17,-1)+1,猫统计!AB:AB,"&lt;="&amp;EOMONTH(A17,0))+SUMIFS(猫统计!AJ:AJ,猫统计!AH:AH,"&gt;="&amp;EOMONTH(A17,-1)+1,猫统计!AH:AH,"&lt;="&amp;EOMONTH(A17,0))+SUMIFS(猫统计!AP:AP,猫统计!AN:AN,"&gt;="&amp;EOMONTH(A17,-1)+1,猫统计!AN:AN,"&lt;="&amp;EOMONTH(A17,0))+SUMIFS(猫统计!AV:AV,猫统计!AT:AT,"&gt;="&amp;EOMONTH(A17,-1)+1,猫统计!AT:AT,"&lt;="&amp;EOMONTH(A17,0))+SUMIFS(猫统计!BB:BB,猫统计!AZ:AZ,"&gt;="&amp;EOMONTH(A17,-1)+1,猫统计!AZ:AZ,"&lt;="&amp;EOMONTH(A17,0))+SUMIFS(猫统计!BH:BH,猫统计!BF:BF,"&gt;="&amp;EOMONTH(A17,-1)+1,猫统计!BF:BF,"&lt;="&amp;EOMONTH(A17,0))+SUMIFS(猫统计!BN:BN,猫统计!BL:BL,"&gt;="&amp;EOMONTH(A17,-1)+1,猫统计!BL:BL,"&lt;="&amp;EOMONTH(A17,0))</f>
        <v>4</v>
      </c>
      <c r="E17" s="2">
        <f>SUMIFS(猫统计!M:M,猫统计!J:J,"&gt;="&amp;EOMONTH(A17,-1)+1,猫统计!J:J,"&lt;="&amp;EOMONTH(A17,0))+SUMIFS(猫统计!S:S,猫统计!P:P,"&gt;="&amp;EOMONTH(A17,-1)+1,猫统计!P:P,"&lt;="&amp;EOMONTH(A17,0))+SUMIFS(猫统计!Y:Y,猫统计!V:V,"&gt;="&amp;EOMONTH(A17,-1)+1,猫统计!V:V,"&lt;="&amp;EOMONTH(A17,0))+SUMIFS(猫统计!AE:AE,猫统计!AB:AB,"&gt;="&amp;EOMONTH(A17,-1)+1,猫统计!AB:AB,"&lt;="&amp;EOMONTH(A17,0))+SUMIFS(猫统计!AK:AK,猫统计!AH:AH,"&gt;="&amp;EOMONTH(A17,-1)+1,猫统计!AH:AH,"&lt;="&amp;EOMONTH(A17,0))+SUMIFS(猫统计!AQ:AQ,猫统计!AN:AN,"&gt;="&amp;EOMONTH(A17,-1)+1,猫统计!AN:AN,"&lt;="&amp;EOMONTH(A17,0))+SUMIFS(猫统计!AW:AW,猫统计!AT:AT,"&gt;="&amp;EOMONTH(A17,-1)+1,猫统计!AT:AT,"&lt;="&amp;EOMONTH(A17,0))+SUMIFS(猫统计!BC:BC,猫统计!AZ:AZ,"&gt;="&amp;EOMONTH(A17,-1)+1,猫统计!AZ:AZ,"&lt;="&amp;EOMONTH(A17,0))+SUMIFS(猫统计!BI:BI,猫统计!BF:BF,"&gt;="&amp;EOMONTH(A17,-1)+1,猫统计!BF:BF,"&lt;="&amp;EOMONTH(A17,0))+SUMIFS(猫统计!BO:BO,猫统计!BL:BL,"&gt;="&amp;EOMONTH(A17,-1)+1,猫统计!BL:BL,"&lt;="&amp;EOMONTH(A17,0))</f>
        <v>13</v>
      </c>
      <c r="F17" s="5"/>
      <c r="G17" s="5"/>
      <c r="O17" s="1"/>
    </row>
    <row r="18" spans="1:15" ht="16.5" thickTop="1" thickBot="1">
      <c r="A18" s="3">
        <v>44501</v>
      </c>
      <c r="B18" s="6">
        <f>COUNTIFS(猫统计!J:J,"&gt;="&amp;EOMONTH(A18,-1)+1,猫统计!J:J,"&lt;="&amp;EOMONTH(A18,0))+COUNTIFS(猫统计!P:P,"&gt;="&amp;EOMONTH(A18,-1)+1,猫统计!P:P,"&lt;="&amp;EOMONTH(A18,0))+COUNTIFS(猫统计!V:V,"&gt;="&amp;EOMONTH(A18,-1)+1,猫统计!V:V,"&lt;="&amp;EOMONTH(A18,0))+COUNTIFS(猫统计!AB:AB,"&gt;="&amp;EOMONTH(A18,-1)+1,猫统计!AB:AB,"&lt;="&amp;EOMONTH(A18,0))+COUNTIFS(猫统计!AH:AH,"&gt;="&amp;EOMONTH(A18,-1)+1,猫统计!AH:AH,"&lt;="&amp;EOMONTH(A18,0))+COUNTIFS(猫统计!AN:AN,"&gt;="&amp;EOMONTH(A18,-1)+1,猫统计!AN:AN,"&lt;="&amp;EOMONTH(A18,0))+COUNTIFS(猫统计!AT:AT,"&gt;="&amp;EOMONTH(A18,-1)+1,猫统计!AT:AT,"&lt;="&amp;EOMONTH(A18,0))+COUNTIFS(猫统计!AZ:AZ,"&gt;="&amp;EOMONTH(A18,-1)+1,猫统计!AZ:AZ,"&lt;="&amp;EOMONTH(A18,0))+COUNTIFS(猫统计!BF:BF,"&gt;="&amp;EOMONTH(A18,-1)+1,猫统计!BF:BF,"&lt;="&amp;EOMONTH(A18,0))+COUNTIFS(猫统计!BL:BL,"&gt;="&amp;EOMONTH(A18,-1)+1,猫统计!BL:BL,"&lt;="&amp;EOMONTH(A18,0))</f>
        <v>1</v>
      </c>
      <c r="C18" s="2">
        <f t="shared" si="1"/>
        <v>3</v>
      </c>
      <c r="D18" s="2">
        <f>SUMIFS(猫统计!L:L,猫统计!J:J,"&gt;="&amp;EOMONTH(A18,-1)+1,猫统计!J:J,"&lt;="&amp;EOMONTH(A18,0))+SUMIFS(猫统计!R:R,猫统计!P:P,"&gt;="&amp;EOMONTH(A18,-1)+1,猫统计!P:P,"&lt;="&amp;EOMONTH(A18,0))+SUMIFS(猫统计!X:X,猫统计!V:V,"&gt;="&amp;EOMONTH(A18,-1)+1,猫统计!V:V,"&lt;="&amp;EOMONTH(A18,0))+SUMIFS(猫统计!AD:AD,猫统计!AB:AB,"&gt;="&amp;EOMONTH(A18,-1)+1,猫统计!AB:AB,"&lt;="&amp;EOMONTH(A18,0))+SUMIFS(猫统计!AJ:AJ,猫统计!AH:AH,"&gt;="&amp;EOMONTH(A18,-1)+1,猫统计!AH:AH,"&lt;="&amp;EOMONTH(A18,0))+SUMIFS(猫统计!AP:AP,猫统计!AN:AN,"&gt;="&amp;EOMONTH(A18,-1)+1,猫统计!AN:AN,"&lt;="&amp;EOMONTH(A18,0))+SUMIFS(猫统计!AV:AV,猫统计!AT:AT,"&gt;="&amp;EOMONTH(A18,-1)+1,猫统计!AT:AT,"&lt;="&amp;EOMONTH(A18,0))+SUMIFS(猫统计!BB:BB,猫统计!AZ:AZ,"&gt;="&amp;EOMONTH(A18,-1)+1,猫统计!AZ:AZ,"&lt;="&amp;EOMONTH(A18,0))+SUMIFS(猫统计!BH:BH,猫统计!BF:BF,"&gt;="&amp;EOMONTH(A18,-1)+1,猫统计!BF:BF,"&lt;="&amp;EOMONTH(A18,0))+SUMIFS(猫统计!BN:BN,猫统计!BL:BL,"&gt;="&amp;EOMONTH(A18,-1)+1,猫统计!BL:BL,"&lt;="&amp;EOMONTH(A18,0))</f>
        <v>0</v>
      </c>
      <c r="E18" s="2">
        <f>SUMIFS(猫统计!M:M,猫统计!J:J,"&gt;="&amp;EOMONTH(A18,-1)+1,猫统计!J:J,"&lt;="&amp;EOMONTH(A18,0))+SUMIFS(猫统计!S:S,猫统计!P:P,"&gt;="&amp;EOMONTH(A18,-1)+1,猫统计!P:P,"&lt;="&amp;EOMONTH(A18,0))+SUMIFS(猫统计!Y:Y,猫统计!V:V,"&gt;="&amp;EOMONTH(A18,-1)+1,猫统计!V:V,"&lt;="&amp;EOMONTH(A18,0))+SUMIFS(猫统计!AE:AE,猫统计!AB:AB,"&gt;="&amp;EOMONTH(A18,-1)+1,猫统计!AB:AB,"&lt;="&amp;EOMONTH(A18,0))+SUMIFS(猫统计!AK:AK,猫统计!AH:AH,"&gt;="&amp;EOMONTH(A18,-1)+1,猫统计!AH:AH,"&lt;="&amp;EOMONTH(A18,0))+SUMIFS(猫统计!AQ:AQ,猫统计!AN:AN,"&gt;="&amp;EOMONTH(A18,-1)+1,猫统计!AN:AN,"&lt;="&amp;EOMONTH(A18,0))+SUMIFS(猫统计!AW:AW,猫统计!AT:AT,"&gt;="&amp;EOMONTH(A18,-1)+1,猫统计!AT:AT,"&lt;="&amp;EOMONTH(A18,0))+SUMIFS(猫统计!BC:BC,猫统计!AZ:AZ,"&gt;="&amp;EOMONTH(A18,-1)+1,猫统计!AZ:AZ,"&lt;="&amp;EOMONTH(A18,0))+SUMIFS(猫统计!BI:BI,猫统计!BF:BF,"&gt;="&amp;EOMONTH(A18,-1)+1,猫统计!BF:BF,"&lt;="&amp;EOMONTH(A18,0))+SUMIFS(猫统计!BO:BO,猫统计!BL:BL,"&gt;="&amp;EOMONTH(A18,-1)+1,猫统计!BL:BL,"&lt;="&amp;EOMONTH(A18,0))</f>
        <v>3</v>
      </c>
      <c r="F18" s="5"/>
      <c r="G18" s="5"/>
    </row>
    <row r="19" spans="1:15" ht="16.5" thickTop="1" thickBot="1">
      <c r="A19" s="3">
        <v>44531</v>
      </c>
      <c r="B19" s="6">
        <f>COUNTIFS(猫统计!J:J,"&gt;="&amp;EOMONTH(A19,-1)+1,猫统计!J:J,"&lt;="&amp;EOMONTH(A19,0))+COUNTIFS(猫统计!P:P,"&gt;="&amp;EOMONTH(A19,-1)+1,猫统计!P:P,"&lt;="&amp;EOMONTH(A19,0))+COUNTIFS(猫统计!V:V,"&gt;="&amp;EOMONTH(A19,-1)+1,猫统计!V:V,"&lt;="&amp;EOMONTH(A19,0))+COUNTIFS(猫统计!AB:AB,"&gt;="&amp;EOMONTH(A19,-1)+1,猫统计!AB:AB,"&lt;="&amp;EOMONTH(A19,0))+COUNTIFS(猫统计!AH:AH,"&gt;="&amp;EOMONTH(A19,-1)+1,猫统计!AH:AH,"&lt;="&amp;EOMONTH(A19,0))+COUNTIFS(猫统计!AN:AN,"&gt;="&amp;EOMONTH(A19,-1)+1,猫统计!AN:AN,"&lt;="&amp;EOMONTH(A19,0))+COUNTIFS(猫统计!AT:AT,"&gt;="&amp;EOMONTH(A19,-1)+1,猫统计!AT:AT,"&lt;="&amp;EOMONTH(A19,0))+COUNTIFS(猫统计!AZ:AZ,"&gt;="&amp;EOMONTH(A19,-1)+1,猫统计!AZ:AZ,"&lt;="&amp;EOMONTH(A19,0))+COUNTIFS(猫统计!BF:BF,"&gt;="&amp;EOMONTH(A19,-1)+1,猫统计!BF:BF,"&lt;="&amp;EOMONTH(A19,0))+COUNTIFS(猫统计!BL:BL,"&gt;="&amp;EOMONTH(A19,-1)+1,猫统计!BL:BL,"&lt;="&amp;EOMONTH(A19,0))</f>
        <v>1</v>
      </c>
      <c r="C19" s="2">
        <f t="shared" si="1"/>
        <v>5</v>
      </c>
      <c r="D19" s="2">
        <f>SUMIFS(猫统计!L:L,猫统计!J:J,"&gt;="&amp;EOMONTH(A19,-1)+1,猫统计!J:J,"&lt;="&amp;EOMONTH(A19,0))+SUMIFS(猫统计!R:R,猫统计!P:P,"&gt;="&amp;EOMONTH(A19,-1)+1,猫统计!P:P,"&lt;="&amp;EOMONTH(A19,0))+SUMIFS(猫统计!X:X,猫统计!V:V,"&gt;="&amp;EOMONTH(A19,-1)+1,猫统计!V:V,"&lt;="&amp;EOMONTH(A19,0))+SUMIFS(猫统计!AD:AD,猫统计!AB:AB,"&gt;="&amp;EOMONTH(A19,-1)+1,猫统计!AB:AB,"&lt;="&amp;EOMONTH(A19,0))+SUMIFS(猫统计!AJ:AJ,猫统计!AH:AH,"&gt;="&amp;EOMONTH(A19,-1)+1,猫统计!AH:AH,"&lt;="&amp;EOMONTH(A19,0))+SUMIFS(猫统计!AP:AP,猫统计!AN:AN,"&gt;="&amp;EOMONTH(A19,-1)+1,猫统计!AN:AN,"&lt;="&amp;EOMONTH(A19,0))+SUMIFS(猫统计!AV:AV,猫统计!AT:AT,"&gt;="&amp;EOMONTH(A19,-1)+1,猫统计!AT:AT,"&lt;="&amp;EOMONTH(A19,0))+SUMIFS(猫统计!BB:BB,猫统计!AZ:AZ,"&gt;="&amp;EOMONTH(A19,-1)+1,猫统计!AZ:AZ,"&lt;="&amp;EOMONTH(A19,0))+SUMIFS(猫统计!BH:BH,猫统计!BF:BF,"&gt;="&amp;EOMONTH(A19,-1)+1,猫统计!BF:BF,"&lt;="&amp;EOMONTH(A19,0))+SUMIFS(猫统计!BN:BN,猫统计!BL:BL,"&gt;="&amp;EOMONTH(A19,-1)+1,猫统计!BL:BL,"&lt;="&amp;EOMONTH(A19,0))</f>
        <v>0</v>
      </c>
      <c r="E19" s="2">
        <f>SUMIFS(猫统计!M:M,猫统计!J:J,"&gt;="&amp;EOMONTH(A19,-1)+1,猫统计!J:J,"&lt;="&amp;EOMONTH(A19,0))+SUMIFS(猫统计!S:S,猫统计!P:P,"&gt;="&amp;EOMONTH(A19,-1)+1,猫统计!P:P,"&lt;="&amp;EOMONTH(A19,0))+SUMIFS(猫统计!Y:Y,猫统计!V:V,"&gt;="&amp;EOMONTH(A19,-1)+1,猫统计!V:V,"&lt;="&amp;EOMONTH(A19,0))+SUMIFS(猫统计!AE:AE,猫统计!AB:AB,"&gt;="&amp;EOMONTH(A19,-1)+1,猫统计!AB:AB,"&lt;="&amp;EOMONTH(A19,0))+SUMIFS(猫统计!AK:AK,猫统计!AH:AH,"&gt;="&amp;EOMONTH(A19,-1)+1,猫统计!AH:AH,"&lt;="&amp;EOMONTH(A19,0))+SUMIFS(猫统计!AQ:AQ,猫统计!AN:AN,"&gt;="&amp;EOMONTH(A19,-1)+1,猫统计!AN:AN,"&lt;="&amp;EOMONTH(A19,0))+SUMIFS(猫统计!AW:AW,猫统计!AT:AT,"&gt;="&amp;EOMONTH(A19,-1)+1,猫统计!AT:AT,"&lt;="&amp;EOMONTH(A19,0))+SUMIFS(猫统计!BC:BC,猫统计!AZ:AZ,"&gt;="&amp;EOMONTH(A19,-1)+1,猫统计!AZ:AZ,"&lt;="&amp;EOMONTH(A19,0))+SUMIFS(猫统计!BI:BI,猫统计!BF:BF,"&gt;="&amp;EOMONTH(A19,-1)+1,猫统计!BF:BF,"&lt;="&amp;EOMONTH(A19,0))+SUMIFS(猫统计!BO:BO,猫统计!BL:BL,"&gt;="&amp;EOMONTH(A19,-1)+1,猫统计!BL:BL,"&lt;="&amp;EOMONTH(A19,0))</f>
        <v>5</v>
      </c>
      <c r="F19" s="5">
        <f>(E17+E18+E19)/(C17+C18+C19)</f>
        <v>0.84</v>
      </c>
      <c r="G19" s="5">
        <f>(E17+E18+E19)/(B17+B18+B19)</f>
        <v>4.2</v>
      </c>
    </row>
    <row r="20" spans="1:15" ht="16.5" thickTop="1" thickBot="1">
      <c r="A20" s="3">
        <v>44562</v>
      </c>
      <c r="B20" s="6">
        <f>COUNTIFS(猫统计!J:J,"&gt;="&amp;EOMONTH(A20,-1)+1,猫统计!J:J,"&lt;="&amp;EOMONTH(A20,0))+COUNTIFS(猫统计!P:P,"&gt;="&amp;EOMONTH(A20,-1)+1,猫统计!P:P,"&lt;="&amp;EOMONTH(A20,0))+COUNTIFS(猫统计!V:V,"&gt;="&amp;EOMONTH(A20,-1)+1,猫统计!V:V,"&lt;="&amp;EOMONTH(A20,0))+COUNTIFS(猫统计!AB:AB,"&gt;="&amp;EOMONTH(A20,-1)+1,猫统计!AB:AB,"&lt;="&amp;EOMONTH(A20,0))+COUNTIFS(猫统计!AH:AH,"&gt;="&amp;EOMONTH(A20,-1)+1,猫统计!AH:AH,"&lt;="&amp;EOMONTH(A20,0))+COUNTIFS(猫统计!AN:AN,"&gt;="&amp;EOMONTH(A20,-1)+1,猫统计!AN:AN,"&lt;="&amp;EOMONTH(A20,0))+COUNTIFS(猫统计!AT:AT,"&gt;="&amp;EOMONTH(A20,-1)+1,猫统计!AT:AT,"&lt;="&amp;EOMONTH(A20,0))+COUNTIFS(猫统计!AZ:AZ,"&gt;="&amp;EOMONTH(A20,-1)+1,猫统计!AZ:AZ,"&lt;="&amp;EOMONTH(A20,0))+COUNTIFS(猫统计!BF:BF,"&gt;="&amp;EOMONTH(A20,-1)+1,猫统计!BF:BF,"&lt;="&amp;EOMONTH(A20,0))+COUNTIFS(猫统计!BL:BL,"&gt;="&amp;EOMONTH(A20,-1)+1,猫统计!BL:BL,"&lt;="&amp;EOMONTH(A20,0))</f>
        <v>2</v>
      </c>
      <c r="C20" s="2">
        <f t="shared" si="1"/>
        <v>10</v>
      </c>
      <c r="D20" s="2">
        <f>SUMIFS(猫统计!L:L,猫统计!J:J,"&gt;="&amp;EOMONTH(A20,-1)+1,猫统计!J:J,"&lt;="&amp;EOMONTH(A20,0))+SUMIFS(猫统计!R:R,猫统计!P:P,"&gt;="&amp;EOMONTH(A20,-1)+1,猫统计!P:P,"&lt;="&amp;EOMONTH(A20,0))+SUMIFS(猫统计!X:X,猫统计!V:V,"&gt;="&amp;EOMONTH(A20,-1)+1,猫统计!V:V,"&lt;="&amp;EOMONTH(A20,0))+SUMIFS(猫统计!AD:AD,猫统计!AB:AB,"&gt;="&amp;EOMONTH(A20,-1)+1,猫统计!AB:AB,"&lt;="&amp;EOMONTH(A20,0))+SUMIFS(猫统计!AJ:AJ,猫统计!AH:AH,"&gt;="&amp;EOMONTH(A20,-1)+1,猫统计!AH:AH,"&lt;="&amp;EOMONTH(A20,0))+SUMIFS(猫统计!AP:AP,猫统计!AN:AN,"&gt;="&amp;EOMONTH(A20,-1)+1,猫统计!AN:AN,"&lt;="&amp;EOMONTH(A20,0))+SUMIFS(猫统计!AV:AV,猫统计!AT:AT,"&gt;="&amp;EOMONTH(A20,-1)+1,猫统计!AT:AT,"&lt;="&amp;EOMONTH(A20,0))+SUMIFS(猫统计!BB:BB,猫统计!AZ:AZ,"&gt;="&amp;EOMONTH(A20,-1)+1,猫统计!AZ:AZ,"&lt;="&amp;EOMONTH(A20,0))+SUMIFS(猫统计!BH:BH,猫统计!BF:BF,"&gt;="&amp;EOMONTH(A20,-1)+1,猫统计!BF:BF,"&lt;="&amp;EOMONTH(A20,0))+SUMIFS(猫统计!BN:BN,猫统计!BL:BL,"&gt;="&amp;EOMONTH(A20,-1)+1,猫统计!BL:BL,"&lt;="&amp;EOMONTH(A20,0))</f>
        <v>4</v>
      </c>
      <c r="E20" s="2">
        <f>SUMIFS(猫统计!M:M,猫统计!J:J,"&gt;="&amp;EOMONTH(A20,-1)+1,猫统计!J:J,"&lt;="&amp;EOMONTH(A20,0))+SUMIFS(猫统计!S:S,猫统计!P:P,"&gt;="&amp;EOMONTH(A20,-1)+1,猫统计!P:P,"&lt;="&amp;EOMONTH(A20,0))+SUMIFS(猫统计!Y:Y,猫统计!V:V,"&gt;="&amp;EOMONTH(A20,-1)+1,猫统计!V:V,"&lt;="&amp;EOMONTH(A20,0))+SUMIFS(猫统计!AE:AE,猫统计!AB:AB,"&gt;="&amp;EOMONTH(A20,-1)+1,猫统计!AB:AB,"&lt;="&amp;EOMONTH(A20,0))+SUMIFS(猫统计!AK:AK,猫统计!AH:AH,"&gt;="&amp;EOMONTH(A20,-1)+1,猫统计!AH:AH,"&lt;="&amp;EOMONTH(A20,0))+SUMIFS(猫统计!AQ:AQ,猫统计!AN:AN,"&gt;="&amp;EOMONTH(A20,-1)+1,猫统计!AN:AN,"&lt;="&amp;EOMONTH(A20,0))+SUMIFS(猫统计!AW:AW,猫统计!AT:AT,"&gt;="&amp;EOMONTH(A20,-1)+1,猫统计!AT:AT,"&lt;="&amp;EOMONTH(A20,0))+SUMIFS(猫统计!BC:BC,猫统计!AZ:AZ,"&gt;="&amp;EOMONTH(A20,-1)+1,猫统计!AZ:AZ,"&lt;="&amp;EOMONTH(A20,0))+SUMIFS(猫统计!BI:BI,猫统计!BF:BF,"&gt;="&amp;EOMONTH(A20,-1)+1,猫统计!BF:BF,"&lt;="&amp;EOMONTH(A20,0))+SUMIFS(猫统计!BO:BO,猫统计!BL:BL,"&gt;="&amp;EOMONTH(A20,-1)+1,猫统计!BL:BL,"&lt;="&amp;EOMONTH(A20,0))</f>
        <v>6</v>
      </c>
      <c r="F20" s="5"/>
      <c r="G20" s="5"/>
    </row>
    <row r="21" spans="1:15" ht="16.5" thickTop="1" thickBot="1">
      <c r="A21" s="3">
        <v>44593</v>
      </c>
      <c r="B21" s="6">
        <f>COUNTIFS(猫统计!J:J,"&gt;="&amp;EOMONTH(A21,-1)+1,猫统计!J:J,"&lt;="&amp;EOMONTH(A21,0))+COUNTIFS(猫统计!P:P,"&gt;="&amp;EOMONTH(A21,-1)+1,猫统计!P:P,"&lt;="&amp;EOMONTH(A21,0))+COUNTIFS(猫统计!V:V,"&gt;="&amp;EOMONTH(A21,-1)+1,猫统计!V:V,"&lt;="&amp;EOMONTH(A21,0))+COUNTIFS(猫统计!AB:AB,"&gt;="&amp;EOMONTH(A21,-1)+1,猫统计!AB:AB,"&lt;="&amp;EOMONTH(A21,0))+COUNTIFS(猫统计!AH:AH,"&gt;="&amp;EOMONTH(A21,-1)+1,猫统计!AH:AH,"&lt;="&amp;EOMONTH(A21,0))+COUNTIFS(猫统计!AN:AN,"&gt;="&amp;EOMONTH(A21,-1)+1,猫统计!AN:AN,"&lt;="&amp;EOMONTH(A21,0))+COUNTIFS(猫统计!AT:AT,"&gt;="&amp;EOMONTH(A21,-1)+1,猫统计!AT:AT,"&lt;="&amp;EOMONTH(A21,0))+COUNTIFS(猫统计!AZ:AZ,"&gt;="&amp;EOMONTH(A21,-1)+1,猫统计!AZ:AZ,"&lt;="&amp;EOMONTH(A21,0))+COUNTIFS(猫统计!BF:BF,"&gt;="&amp;EOMONTH(A21,-1)+1,猫统计!BF:BF,"&lt;="&amp;EOMONTH(A21,0))+COUNTIFS(猫统计!BL:BL,"&gt;="&amp;EOMONTH(A21,-1)+1,猫统计!BL:BL,"&lt;="&amp;EOMONTH(A21,0))</f>
        <v>1</v>
      </c>
      <c r="C21" s="2">
        <f t="shared" si="1"/>
        <v>4</v>
      </c>
      <c r="D21" s="2">
        <f>SUMIFS(猫统计!L:L,猫统计!J:J,"&gt;="&amp;EOMONTH(A21,-1)+1,猫统计!J:J,"&lt;="&amp;EOMONTH(A21,0))+SUMIFS(猫统计!R:R,猫统计!P:P,"&gt;="&amp;EOMONTH(A21,-1)+1,猫统计!P:P,"&lt;="&amp;EOMONTH(A21,0))+SUMIFS(猫统计!X:X,猫统计!V:V,"&gt;="&amp;EOMONTH(A21,-1)+1,猫统计!V:V,"&lt;="&amp;EOMONTH(A21,0))+SUMIFS(猫统计!AD:AD,猫统计!AB:AB,"&gt;="&amp;EOMONTH(A21,-1)+1,猫统计!AB:AB,"&lt;="&amp;EOMONTH(A21,0))+SUMIFS(猫统计!AJ:AJ,猫统计!AH:AH,"&gt;="&amp;EOMONTH(A21,-1)+1,猫统计!AH:AH,"&lt;="&amp;EOMONTH(A21,0))+SUMIFS(猫统计!AP:AP,猫统计!AN:AN,"&gt;="&amp;EOMONTH(A21,-1)+1,猫统计!AN:AN,"&lt;="&amp;EOMONTH(A21,0))+SUMIFS(猫统计!AV:AV,猫统计!AT:AT,"&gt;="&amp;EOMONTH(A21,-1)+1,猫统计!AT:AT,"&lt;="&amp;EOMONTH(A21,0))+SUMIFS(猫统计!BB:BB,猫统计!AZ:AZ,"&gt;="&amp;EOMONTH(A21,-1)+1,猫统计!AZ:AZ,"&lt;="&amp;EOMONTH(A21,0))+SUMIFS(猫统计!BH:BH,猫统计!BF:BF,"&gt;="&amp;EOMONTH(A21,-1)+1,猫统计!BF:BF,"&lt;="&amp;EOMONTH(A21,0))+SUMIFS(猫统计!BN:BN,猫统计!BL:BL,"&gt;="&amp;EOMONTH(A21,-1)+1,猫统计!BL:BL,"&lt;="&amp;EOMONTH(A21,0))</f>
        <v>0</v>
      </c>
      <c r="E21" s="2">
        <f>SUMIFS(猫统计!M:M,猫统计!J:J,"&gt;="&amp;EOMONTH(A21,-1)+1,猫统计!J:J,"&lt;="&amp;EOMONTH(A21,0))+SUMIFS(猫统计!S:S,猫统计!P:P,"&gt;="&amp;EOMONTH(A21,-1)+1,猫统计!P:P,"&lt;="&amp;EOMONTH(A21,0))+SUMIFS(猫统计!Y:Y,猫统计!V:V,"&gt;="&amp;EOMONTH(A21,-1)+1,猫统计!V:V,"&lt;="&amp;EOMONTH(A21,0))+SUMIFS(猫统计!AE:AE,猫统计!AB:AB,"&gt;="&amp;EOMONTH(A21,-1)+1,猫统计!AB:AB,"&lt;="&amp;EOMONTH(A21,0))+SUMIFS(猫统计!AK:AK,猫统计!AH:AH,"&gt;="&amp;EOMONTH(A21,-1)+1,猫统计!AH:AH,"&lt;="&amp;EOMONTH(A21,0))+SUMIFS(猫统计!AQ:AQ,猫统计!AN:AN,"&gt;="&amp;EOMONTH(A21,-1)+1,猫统计!AN:AN,"&lt;="&amp;EOMONTH(A21,0))+SUMIFS(猫统计!AW:AW,猫统计!AT:AT,"&gt;="&amp;EOMONTH(A21,-1)+1,猫统计!AT:AT,"&lt;="&amp;EOMONTH(A21,0))+SUMIFS(猫统计!BC:BC,猫统计!AZ:AZ,"&gt;="&amp;EOMONTH(A21,-1)+1,猫统计!AZ:AZ,"&lt;="&amp;EOMONTH(A21,0))+SUMIFS(猫统计!BI:BI,猫统计!BF:BF,"&gt;="&amp;EOMONTH(A21,-1)+1,猫统计!BF:BF,"&lt;="&amp;EOMONTH(A21,0))+SUMIFS(猫统计!BO:BO,猫统计!BL:BL,"&gt;="&amp;EOMONTH(A21,-1)+1,猫统计!BL:BL,"&lt;="&amp;EOMONTH(A21,0))</f>
        <v>4</v>
      </c>
      <c r="F21" s="5"/>
      <c r="G21" s="5"/>
    </row>
    <row r="22" spans="1:15" ht="16.5" thickTop="1" thickBot="1">
      <c r="A22" s="3">
        <v>44621</v>
      </c>
      <c r="B22" s="6">
        <f>COUNTIFS(猫统计!J:J,"&gt;="&amp;EOMONTH(A22,-1)+1,猫统计!J:J,"&lt;="&amp;EOMONTH(A22,0))+COUNTIFS(猫统计!P:P,"&gt;="&amp;EOMONTH(A22,-1)+1,猫统计!P:P,"&lt;="&amp;EOMONTH(A22,0))+COUNTIFS(猫统计!V:V,"&gt;="&amp;EOMONTH(A22,-1)+1,猫统计!V:V,"&lt;="&amp;EOMONTH(A22,0))+COUNTIFS(猫统计!AB:AB,"&gt;="&amp;EOMONTH(A22,-1)+1,猫统计!AB:AB,"&lt;="&amp;EOMONTH(A22,0))+COUNTIFS(猫统计!AH:AH,"&gt;="&amp;EOMONTH(A22,-1)+1,猫统计!AH:AH,"&lt;="&amp;EOMONTH(A22,0))+COUNTIFS(猫统计!AN:AN,"&gt;="&amp;EOMONTH(A22,-1)+1,猫统计!AN:AN,"&lt;="&amp;EOMONTH(A22,0))+COUNTIFS(猫统计!AT:AT,"&gt;="&amp;EOMONTH(A22,-1)+1,猫统计!AT:AT,"&lt;="&amp;EOMONTH(A22,0))+COUNTIFS(猫统计!AZ:AZ,"&gt;="&amp;EOMONTH(A22,-1)+1,猫统计!AZ:AZ,"&lt;="&amp;EOMONTH(A22,0))+COUNTIFS(猫统计!BF:BF,"&gt;="&amp;EOMONTH(A22,-1)+1,猫统计!BF:BF,"&lt;="&amp;EOMONTH(A22,0))+COUNTIFS(猫统计!BL:BL,"&gt;="&amp;EOMONTH(A22,-1)+1,猫统计!BL:BL,"&lt;="&amp;EOMONTH(A22,0))</f>
        <v>2</v>
      </c>
      <c r="C22" s="2">
        <f t="shared" si="1"/>
        <v>11</v>
      </c>
      <c r="D22" s="2">
        <f>SUMIFS(猫统计!L:L,猫统计!J:J,"&gt;="&amp;EOMONTH(A22,-1)+1,猫统计!J:J,"&lt;="&amp;EOMONTH(A22,0))+SUMIFS(猫统计!R:R,猫统计!P:P,"&gt;="&amp;EOMONTH(A22,-1)+1,猫统计!P:P,"&lt;="&amp;EOMONTH(A22,0))+SUMIFS(猫统计!X:X,猫统计!V:V,"&gt;="&amp;EOMONTH(A22,-1)+1,猫统计!V:V,"&lt;="&amp;EOMONTH(A22,0))+SUMIFS(猫统计!AD:AD,猫统计!AB:AB,"&gt;="&amp;EOMONTH(A22,-1)+1,猫统计!AB:AB,"&lt;="&amp;EOMONTH(A22,0))+SUMIFS(猫统计!AJ:AJ,猫统计!AH:AH,"&gt;="&amp;EOMONTH(A22,-1)+1,猫统计!AH:AH,"&lt;="&amp;EOMONTH(A22,0))+SUMIFS(猫统计!AP:AP,猫统计!AN:AN,"&gt;="&amp;EOMONTH(A22,-1)+1,猫统计!AN:AN,"&lt;="&amp;EOMONTH(A22,0))+SUMIFS(猫统计!AV:AV,猫统计!AT:AT,"&gt;="&amp;EOMONTH(A22,-1)+1,猫统计!AT:AT,"&lt;="&amp;EOMONTH(A22,0))+SUMIFS(猫统计!BB:BB,猫统计!AZ:AZ,"&gt;="&amp;EOMONTH(A22,-1)+1,猫统计!AZ:AZ,"&lt;="&amp;EOMONTH(A22,0))+SUMIFS(猫统计!BH:BH,猫统计!BF:BF,"&gt;="&amp;EOMONTH(A22,-1)+1,猫统计!BF:BF,"&lt;="&amp;EOMONTH(A22,0))+SUMIFS(猫统计!BN:BN,猫统计!BL:BL,"&gt;="&amp;EOMONTH(A22,-1)+1,猫统计!BL:BL,"&lt;="&amp;EOMONTH(A22,0))</f>
        <v>1</v>
      </c>
      <c r="E22" s="2">
        <f>SUMIFS(猫统计!M:M,猫统计!J:J,"&gt;="&amp;EOMONTH(A22,-1)+1,猫统计!J:J,"&lt;="&amp;EOMONTH(A22,0))+SUMIFS(猫统计!S:S,猫统计!P:P,"&gt;="&amp;EOMONTH(A22,-1)+1,猫统计!P:P,"&lt;="&amp;EOMONTH(A22,0))+SUMIFS(猫统计!Y:Y,猫统计!V:V,"&gt;="&amp;EOMONTH(A22,-1)+1,猫统计!V:V,"&lt;="&amp;EOMONTH(A22,0))+SUMIFS(猫统计!AE:AE,猫统计!AB:AB,"&gt;="&amp;EOMONTH(A22,-1)+1,猫统计!AB:AB,"&lt;="&amp;EOMONTH(A22,0))+SUMIFS(猫统计!AK:AK,猫统计!AH:AH,"&gt;="&amp;EOMONTH(A22,-1)+1,猫统计!AH:AH,"&lt;="&amp;EOMONTH(A22,0))+SUMIFS(猫统计!AQ:AQ,猫统计!AN:AN,"&gt;="&amp;EOMONTH(A22,-1)+1,猫统计!AN:AN,"&lt;="&amp;EOMONTH(A22,0))+SUMIFS(猫统计!AW:AW,猫统计!AT:AT,"&gt;="&amp;EOMONTH(A22,-1)+1,猫统计!AT:AT,"&lt;="&amp;EOMONTH(A22,0))+SUMIFS(猫统计!BC:BC,猫统计!AZ:AZ,"&gt;="&amp;EOMONTH(A22,-1)+1,猫统计!AZ:AZ,"&lt;="&amp;EOMONTH(A22,0))+SUMIFS(猫统计!BI:BI,猫统计!BF:BF,"&gt;="&amp;EOMONTH(A22,-1)+1,猫统计!BF:BF,"&lt;="&amp;EOMONTH(A22,0))+SUMIFS(猫统计!BO:BO,猫统计!BL:BL,"&gt;="&amp;EOMONTH(A22,-1)+1,猫统计!BL:BL,"&lt;="&amp;EOMONTH(A22,0))</f>
        <v>10</v>
      </c>
      <c r="F22" s="5">
        <f>(E20+E21+E22)/(C20+C21+C22)</f>
        <v>0.8</v>
      </c>
      <c r="G22" s="5">
        <f>(E20+E21+E22)/(B20+B21+B22)</f>
        <v>4</v>
      </c>
    </row>
    <row r="23" spans="1:15" ht="16.5" thickTop="1" thickBot="1">
      <c r="A23" s="3">
        <v>44652</v>
      </c>
      <c r="B23" s="6">
        <f>COUNTIFS(猫统计!J:J,"&gt;="&amp;EOMONTH(A23,-1)+1,猫统计!J:J,"&lt;="&amp;EOMONTH(A23,0))+COUNTIFS(猫统计!P:P,"&gt;="&amp;EOMONTH(A23,-1)+1,猫统计!P:P,"&lt;="&amp;EOMONTH(A23,0))+COUNTIFS(猫统计!V:V,"&gt;="&amp;EOMONTH(A23,-1)+1,猫统计!V:V,"&lt;="&amp;EOMONTH(A23,0))+COUNTIFS(猫统计!AB:AB,"&gt;="&amp;EOMONTH(A23,-1)+1,猫统计!AB:AB,"&lt;="&amp;EOMONTH(A23,0))+COUNTIFS(猫统计!AH:AH,"&gt;="&amp;EOMONTH(A23,-1)+1,猫统计!AH:AH,"&lt;="&amp;EOMONTH(A23,0))+COUNTIFS(猫统计!AN:AN,"&gt;="&amp;EOMONTH(A23,-1)+1,猫统计!AN:AN,"&lt;="&amp;EOMONTH(A23,0))+COUNTIFS(猫统计!AT:AT,"&gt;="&amp;EOMONTH(A23,-1)+1,猫统计!AT:AT,"&lt;="&amp;EOMONTH(A23,0))+COUNTIFS(猫统计!AZ:AZ,"&gt;="&amp;EOMONTH(A23,-1)+1,猫统计!AZ:AZ,"&lt;="&amp;EOMONTH(A23,0))+COUNTIFS(猫统计!BF:BF,"&gt;="&amp;EOMONTH(A23,-1)+1,猫统计!BF:BF,"&lt;="&amp;EOMONTH(A23,0))+COUNTIFS(猫统计!BL:BL,"&gt;="&amp;EOMONTH(A23,-1)+1,猫统计!BL:BL,"&lt;="&amp;EOMONTH(A23,0))</f>
        <v>5</v>
      </c>
      <c r="C23" s="2">
        <f t="shared" si="1"/>
        <v>19</v>
      </c>
      <c r="D23" s="2">
        <f>SUMIFS(猫统计!L:L,猫统计!J:J,"&gt;="&amp;EOMONTH(A23,-1)+1,猫统计!J:J,"&lt;="&amp;EOMONTH(A23,0))+SUMIFS(猫统计!R:R,猫统计!P:P,"&gt;="&amp;EOMONTH(A23,-1)+1,猫统计!P:P,"&lt;="&amp;EOMONTH(A23,0))+SUMIFS(猫统计!X:X,猫统计!V:V,"&gt;="&amp;EOMONTH(A23,-1)+1,猫统计!V:V,"&lt;="&amp;EOMONTH(A23,0))+SUMIFS(猫统计!AD:AD,猫统计!AB:AB,"&gt;="&amp;EOMONTH(A23,-1)+1,猫统计!AB:AB,"&lt;="&amp;EOMONTH(A23,0))+SUMIFS(猫统计!AJ:AJ,猫统计!AH:AH,"&gt;="&amp;EOMONTH(A23,-1)+1,猫统计!AH:AH,"&lt;="&amp;EOMONTH(A23,0))+SUMIFS(猫统计!AP:AP,猫统计!AN:AN,"&gt;="&amp;EOMONTH(A23,-1)+1,猫统计!AN:AN,"&lt;="&amp;EOMONTH(A23,0))+SUMIFS(猫统计!AV:AV,猫统计!AT:AT,"&gt;="&amp;EOMONTH(A23,-1)+1,猫统计!AT:AT,"&lt;="&amp;EOMONTH(A23,0))+SUMIFS(猫统计!BB:BB,猫统计!AZ:AZ,"&gt;="&amp;EOMONTH(A23,-1)+1,猫统计!AZ:AZ,"&lt;="&amp;EOMONTH(A23,0))+SUMIFS(猫统计!BH:BH,猫统计!BF:BF,"&gt;="&amp;EOMONTH(A23,-1)+1,猫统计!BF:BF,"&lt;="&amp;EOMONTH(A23,0))+SUMIFS(猫统计!BN:BN,猫统计!BL:BL,"&gt;="&amp;EOMONTH(A23,-1)+1,猫统计!BL:BL,"&lt;="&amp;EOMONTH(A23,0))</f>
        <v>10</v>
      </c>
      <c r="E23" s="2">
        <f>SUMIFS(猫统计!M:M,猫统计!J:J,"&gt;="&amp;EOMONTH(A23,-1)+1,猫统计!J:J,"&lt;="&amp;EOMONTH(A23,0))+SUMIFS(猫统计!S:S,猫统计!P:P,"&gt;="&amp;EOMONTH(A23,-1)+1,猫统计!P:P,"&lt;="&amp;EOMONTH(A23,0))+SUMIFS(猫统计!Y:Y,猫统计!V:V,"&gt;="&amp;EOMONTH(A23,-1)+1,猫统计!V:V,"&lt;="&amp;EOMONTH(A23,0))+SUMIFS(猫统计!AE:AE,猫统计!AB:AB,"&gt;="&amp;EOMONTH(A23,-1)+1,猫统计!AB:AB,"&lt;="&amp;EOMONTH(A23,0))+SUMIFS(猫统计!AK:AK,猫统计!AH:AH,"&gt;="&amp;EOMONTH(A23,-1)+1,猫统计!AH:AH,"&lt;="&amp;EOMONTH(A23,0))+SUMIFS(猫统计!AQ:AQ,猫统计!AN:AN,"&gt;="&amp;EOMONTH(A23,-1)+1,猫统计!AN:AN,"&lt;="&amp;EOMONTH(A23,0))+SUMIFS(猫统计!AW:AW,猫统计!AT:AT,"&gt;="&amp;EOMONTH(A23,-1)+1,猫统计!AT:AT,"&lt;="&amp;EOMONTH(A23,0))+SUMIFS(猫统计!BC:BC,猫统计!AZ:AZ,"&gt;="&amp;EOMONTH(A23,-1)+1,猫统计!AZ:AZ,"&lt;="&amp;EOMONTH(A23,0))+SUMIFS(猫统计!BI:BI,猫统计!BF:BF,"&gt;="&amp;EOMONTH(A23,-1)+1,猫统计!BF:BF,"&lt;="&amp;EOMONTH(A23,0))+SUMIFS(猫统计!BO:BO,猫统计!BL:BL,"&gt;="&amp;EOMONTH(A23,-1)+1,猫统计!BL:BL,"&lt;="&amp;EOMONTH(A23,0))</f>
        <v>9</v>
      </c>
      <c r="F23" s="5"/>
      <c r="G23" s="5"/>
    </row>
    <row r="24" spans="1:15" ht="16.5" thickTop="1" thickBot="1">
      <c r="A24" s="3">
        <v>44682</v>
      </c>
      <c r="B24" s="6">
        <f>COUNTIFS(猫统计!J:J,"&gt;="&amp;EOMONTH(A24,-1)+1,猫统计!J:J,"&lt;="&amp;EOMONTH(A24,0))+COUNTIFS(猫统计!P:P,"&gt;="&amp;EOMONTH(A24,-1)+1,猫统计!P:P,"&lt;="&amp;EOMONTH(A24,0))+COUNTIFS(猫统计!V:V,"&gt;="&amp;EOMONTH(A24,-1)+1,猫统计!V:V,"&lt;="&amp;EOMONTH(A24,0))+COUNTIFS(猫统计!AB:AB,"&gt;="&amp;EOMONTH(A24,-1)+1,猫统计!AB:AB,"&lt;="&amp;EOMONTH(A24,0))+COUNTIFS(猫统计!AH:AH,"&gt;="&amp;EOMONTH(A24,-1)+1,猫统计!AH:AH,"&lt;="&amp;EOMONTH(A24,0))+COUNTIFS(猫统计!AN:AN,"&gt;="&amp;EOMONTH(A24,-1)+1,猫统计!AN:AN,"&lt;="&amp;EOMONTH(A24,0))+COUNTIFS(猫统计!AT:AT,"&gt;="&amp;EOMONTH(A24,-1)+1,猫统计!AT:AT,"&lt;="&amp;EOMONTH(A24,0))+COUNTIFS(猫统计!AZ:AZ,"&gt;="&amp;EOMONTH(A24,-1)+1,猫统计!AZ:AZ,"&lt;="&amp;EOMONTH(A24,0))+COUNTIFS(猫统计!BF:BF,"&gt;="&amp;EOMONTH(A24,-1)+1,猫统计!BF:BF,"&lt;="&amp;EOMONTH(A24,0))+COUNTIFS(猫统计!BL:BL,"&gt;="&amp;EOMONTH(A24,-1)+1,猫统计!BL:BL,"&lt;="&amp;EOMONTH(A24,0))</f>
        <v>2</v>
      </c>
      <c r="C24" s="2">
        <f t="shared" si="1"/>
        <v>10</v>
      </c>
      <c r="D24" s="2">
        <f>SUMIFS(猫统计!L:L,猫统计!J:J,"&gt;="&amp;EOMONTH(A24,-1)+1,猫统计!J:J,"&lt;="&amp;EOMONTH(A24,0))+SUMIFS(猫统计!R:R,猫统计!P:P,"&gt;="&amp;EOMONTH(A24,-1)+1,猫统计!P:P,"&lt;="&amp;EOMONTH(A24,0))+SUMIFS(猫统计!X:X,猫统计!V:V,"&gt;="&amp;EOMONTH(A24,-1)+1,猫统计!V:V,"&lt;="&amp;EOMONTH(A24,0))+SUMIFS(猫统计!AD:AD,猫统计!AB:AB,"&gt;="&amp;EOMONTH(A24,-1)+1,猫统计!AB:AB,"&lt;="&amp;EOMONTH(A24,0))+SUMIFS(猫统计!AJ:AJ,猫统计!AH:AH,"&gt;="&amp;EOMONTH(A24,-1)+1,猫统计!AH:AH,"&lt;="&amp;EOMONTH(A24,0))+SUMIFS(猫统计!AP:AP,猫统计!AN:AN,"&gt;="&amp;EOMONTH(A24,-1)+1,猫统计!AN:AN,"&lt;="&amp;EOMONTH(A24,0))+SUMIFS(猫统计!AV:AV,猫统计!AT:AT,"&gt;="&amp;EOMONTH(A24,-1)+1,猫统计!AT:AT,"&lt;="&amp;EOMONTH(A24,0))+SUMIFS(猫统计!BB:BB,猫统计!AZ:AZ,"&gt;="&amp;EOMONTH(A24,-1)+1,猫统计!AZ:AZ,"&lt;="&amp;EOMONTH(A24,0))+SUMIFS(猫统计!BH:BH,猫统计!BF:BF,"&gt;="&amp;EOMONTH(A24,-1)+1,猫统计!BF:BF,"&lt;="&amp;EOMONTH(A24,0))+SUMIFS(猫统计!BN:BN,猫统计!BL:BL,"&gt;="&amp;EOMONTH(A24,-1)+1,猫统计!BL:BL,"&lt;="&amp;EOMONTH(A24,0))</f>
        <v>1</v>
      </c>
      <c r="E24" s="2">
        <f>SUMIFS(猫统计!M:M,猫统计!J:J,"&gt;="&amp;EOMONTH(A24,-1)+1,猫统计!J:J,"&lt;="&amp;EOMONTH(A24,0))+SUMIFS(猫统计!S:S,猫统计!P:P,"&gt;="&amp;EOMONTH(A24,-1)+1,猫统计!P:P,"&lt;="&amp;EOMONTH(A24,0))+SUMIFS(猫统计!Y:Y,猫统计!V:V,"&gt;="&amp;EOMONTH(A24,-1)+1,猫统计!V:V,"&lt;="&amp;EOMONTH(A24,0))+SUMIFS(猫统计!AE:AE,猫统计!AB:AB,"&gt;="&amp;EOMONTH(A24,-1)+1,猫统计!AB:AB,"&lt;="&amp;EOMONTH(A24,0))+SUMIFS(猫统计!AK:AK,猫统计!AH:AH,"&gt;="&amp;EOMONTH(A24,-1)+1,猫统计!AH:AH,"&lt;="&amp;EOMONTH(A24,0))+SUMIFS(猫统计!AQ:AQ,猫统计!AN:AN,"&gt;="&amp;EOMONTH(A24,-1)+1,猫统计!AN:AN,"&lt;="&amp;EOMONTH(A24,0))+SUMIFS(猫统计!AW:AW,猫统计!AT:AT,"&gt;="&amp;EOMONTH(A24,-1)+1,猫统计!AT:AT,"&lt;="&amp;EOMONTH(A24,0))+SUMIFS(猫统计!BC:BC,猫统计!AZ:AZ,"&gt;="&amp;EOMONTH(A24,-1)+1,猫统计!AZ:AZ,"&lt;="&amp;EOMONTH(A24,0))+SUMIFS(猫统计!BI:BI,猫统计!BF:BF,"&gt;="&amp;EOMONTH(A24,-1)+1,猫统计!BF:BF,"&lt;="&amp;EOMONTH(A24,0))+SUMIFS(猫统计!BO:BO,猫统计!BL:BL,"&gt;="&amp;EOMONTH(A24,-1)+1,猫统计!BL:BL,"&lt;="&amp;EOMONTH(A24,0))</f>
        <v>9</v>
      </c>
      <c r="F24" s="5"/>
      <c r="G24" s="5"/>
    </row>
    <row r="25" spans="1:15" ht="16.5" thickTop="1" thickBot="1">
      <c r="A25" s="3">
        <v>44713</v>
      </c>
      <c r="B25" s="6">
        <f>COUNTIFS(猫统计!J:J,"&gt;="&amp;EOMONTH(A25,-1)+1,猫统计!J:J,"&lt;="&amp;EOMONTH(A25,0))+COUNTIFS(猫统计!P:P,"&gt;="&amp;EOMONTH(A25,-1)+1,猫统计!P:P,"&lt;="&amp;EOMONTH(A25,0))+COUNTIFS(猫统计!V:V,"&gt;="&amp;EOMONTH(A25,-1)+1,猫统计!V:V,"&lt;="&amp;EOMONTH(A25,0))+COUNTIFS(猫统计!AB:AB,"&gt;="&amp;EOMONTH(A25,-1)+1,猫统计!AB:AB,"&lt;="&amp;EOMONTH(A25,0))+COUNTIFS(猫统计!AH:AH,"&gt;="&amp;EOMONTH(A25,-1)+1,猫统计!AH:AH,"&lt;="&amp;EOMONTH(A25,0))+COUNTIFS(猫统计!AN:AN,"&gt;="&amp;EOMONTH(A25,-1)+1,猫统计!AN:AN,"&lt;="&amp;EOMONTH(A25,0))+COUNTIFS(猫统计!AT:AT,"&gt;="&amp;EOMONTH(A25,-1)+1,猫统计!AT:AT,"&lt;="&amp;EOMONTH(A25,0))+COUNTIFS(猫统计!AZ:AZ,"&gt;="&amp;EOMONTH(A25,-1)+1,猫统计!AZ:AZ,"&lt;="&amp;EOMONTH(A25,0))+COUNTIFS(猫统计!BF:BF,"&gt;="&amp;EOMONTH(A25,-1)+1,猫统计!BF:BF,"&lt;="&amp;EOMONTH(A25,0))+COUNTIFS(猫统计!BL:BL,"&gt;="&amp;EOMONTH(A25,-1)+1,猫统计!BL:BL,"&lt;="&amp;EOMONTH(A25,0))</f>
        <v>5</v>
      </c>
      <c r="C25" s="2">
        <f t="shared" si="1"/>
        <v>26</v>
      </c>
      <c r="D25" s="2">
        <f>SUMIFS(猫统计!L:L,猫统计!J:J,"&gt;="&amp;EOMONTH(A25,-1)+1,猫统计!J:J,"&lt;="&amp;EOMONTH(A25,0))+SUMIFS(猫统计!R:R,猫统计!P:P,"&gt;="&amp;EOMONTH(A25,-1)+1,猫统计!P:P,"&lt;="&amp;EOMONTH(A25,0))+SUMIFS(猫统计!X:X,猫统计!V:V,"&gt;="&amp;EOMONTH(A25,-1)+1,猫统计!V:V,"&lt;="&amp;EOMONTH(A25,0))+SUMIFS(猫统计!AD:AD,猫统计!AB:AB,"&gt;="&amp;EOMONTH(A25,-1)+1,猫统计!AB:AB,"&lt;="&amp;EOMONTH(A25,0))+SUMIFS(猫统计!AJ:AJ,猫统计!AH:AH,"&gt;="&amp;EOMONTH(A25,-1)+1,猫统计!AH:AH,"&lt;="&amp;EOMONTH(A25,0))+SUMIFS(猫统计!AP:AP,猫统计!AN:AN,"&gt;="&amp;EOMONTH(A25,-1)+1,猫统计!AN:AN,"&lt;="&amp;EOMONTH(A25,0))+SUMIFS(猫统计!AV:AV,猫统计!AT:AT,"&gt;="&amp;EOMONTH(A25,-1)+1,猫统计!AT:AT,"&lt;="&amp;EOMONTH(A25,0))+SUMIFS(猫统计!BB:BB,猫统计!AZ:AZ,"&gt;="&amp;EOMONTH(A25,-1)+1,猫统计!AZ:AZ,"&lt;="&amp;EOMONTH(A25,0))+SUMIFS(猫统计!BH:BH,猫统计!BF:BF,"&gt;="&amp;EOMONTH(A25,-1)+1,猫统计!BF:BF,"&lt;="&amp;EOMONTH(A25,0))+SUMIFS(猫统计!BN:BN,猫统计!BL:BL,"&gt;="&amp;EOMONTH(A25,-1)+1,猫统计!BL:BL,"&lt;="&amp;EOMONTH(A25,0))</f>
        <v>10</v>
      </c>
      <c r="E25" s="2">
        <f>SUMIFS(猫统计!M:M,猫统计!J:J,"&gt;="&amp;EOMONTH(A25,-1)+1,猫统计!J:J,"&lt;="&amp;EOMONTH(A25,0))+SUMIFS(猫统计!S:S,猫统计!P:P,"&gt;="&amp;EOMONTH(A25,-1)+1,猫统计!P:P,"&lt;="&amp;EOMONTH(A25,0))+SUMIFS(猫统计!Y:Y,猫统计!V:V,"&gt;="&amp;EOMONTH(A25,-1)+1,猫统计!V:V,"&lt;="&amp;EOMONTH(A25,0))+SUMIFS(猫统计!AE:AE,猫统计!AB:AB,"&gt;="&amp;EOMONTH(A25,-1)+1,猫统计!AB:AB,"&lt;="&amp;EOMONTH(A25,0))+SUMIFS(猫统计!AK:AK,猫统计!AH:AH,"&gt;="&amp;EOMONTH(A25,-1)+1,猫统计!AH:AH,"&lt;="&amp;EOMONTH(A25,0))+SUMIFS(猫统计!AQ:AQ,猫统计!AN:AN,"&gt;="&amp;EOMONTH(A25,-1)+1,猫统计!AN:AN,"&lt;="&amp;EOMONTH(A25,0))+SUMIFS(猫统计!AW:AW,猫统计!AT:AT,"&gt;="&amp;EOMONTH(A25,-1)+1,猫统计!AT:AT,"&lt;="&amp;EOMONTH(A25,0))+SUMIFS(猫统计!BC:BC,猫统计!AZ:AZ,"&gt;="&amp;EOMONTH(A25,-1)+1,猫统计!AZ:AZ,"&lt;="&amp;EOMONTH(A25,0))+SUMIFS(猫统计!BI:BI,猫统计!BF:BF,"&gt;="&amp;EOMONTH(A25,-1)+1,猫统计!BF:BF,"&lt;="&amp;EOMONTH(A25,0))+SUMIFS(猫统计!BO:BO,猫统计!BL:BL,"&gt;="&amp;EOMONTH(A25,-1)+1,猫统计!BL:BL,"&lt;="&amp;EOMONTH(A25,0))</f>
        <v>16</v>
      </c>
      <c r="F25" s="5">
        <f>(E23+E24+E25)/(C23+C24+C25)</f>
        <v>0.61818181818181817</v>
      </c>
      <c r="G25" s="5">
        <f>(E23+E24+E25)/(B23+B24+B25)</f>
        <v>2.8333333333333335</v>
      </c>
    </row>
    <row r="26" spans="1:15" ht="16.5" thickTop="1" thickBot="1">
      <c r="A26" s="3">
        <v>44743</v>
      </c>
      <c r="B26" s="6">
        <f>COUNTIFS(猫统计!J:J,"&gt;="&amp;EOMONTH(A26,-1)+1,猫统计!J:J,"&lt;="&amp;EOMONTH(A26,0))+COUNTIFS(猫统计!P:P,"&gt;="&amp;EOMONTH(A26,-1)+1,猫统计!P:P,"&lt;="&amp;EOMONTH(A26,0))+COUNTIFS(猫统计!V:V,"&gt;="&amp;EOMONTH(A26,-1)+1,猫统计!V:V,"&lt;="&amp;EOMONTH(A26,0))+COUNTIFS(猫统计!AB:AB,"&gt;="&amp;EOMONTH(A26,-1)+1,猫统计!AB:AB,"&lt;="&amp;EOMONTH(A26,0))+COUNTIFS(猫统计!AH:AH,"&gt;="&amp;EOMONTH(A26,-1)+1,猫统计!AH:AH,"&lt;="&amp;EOMONTH(A26,0))+COUNTIFS(猫统计!AN:AN,"&gt;="&amp;EOMONTH(A26,-1)+1,猫统计!AN:AN,"&lt;="&amp;EOMONTH(A26,0))+COUNTIFS(猫统计!AT:AT,"&gt;="&amp;EOMONTH(A26,-1)+1,猫统计!AT:AT,"&lt;="&amp;EOMONTH(A26,0))+COUNTIFS(猫统计!AZ:AZ,"&gt;="&amp;EOMONTH(A26,-1)+1,猫统计!AZ:AZ,"&lt;="&amp;EOMONTH(A26,0))+COUNTIFS(猫统计!BF:BF,"&gt;="&amp;EOMONTH(A26,-1)+1,猫统计!BF:BF,"&lt;="&amp;EOMONTH(A26,0))+COUNTIFS(猫统计!BL:BL,"&gt;="&amp;EOMONTH(A26,-1)+1,猫统计!BL:BL,"&lt;="&amp;EOMONTH(A26,0))</f>
        <v>5</v>
      </c>
      <c r="C26" s="2">
        <f t="shared" si="1"/>
        <v>22</v>
      </c>
      <c r="D26" s="2">
        <f>SUMIFS(猫统计!L:L,猫统计!J:J,"&gt;="&amp;EOMONTH(A26,-1)+1,猫统计!J:J,"&lt;="&amp;EOMONTH(A26,0))+SUMIFS(猫统计!R:R,猫统计!P:P,"&gt;="&amp;EOMONTH(A26,-1)+1,猫统计!P:P,"&lt;="&amp;EOMONTH(A26,0))+SUMIFS(猫统计!X:X,猫统计!V:V,"&gt;="&amp;EOMONTH(A26,-1)+1,猫统计!V:V,"&lt;="&amp;EOMONTH(A26,0))+SUMIFS(猫统计!AD:AD,猫统计!AB:AB,"&gt;="&amp;EOMONTH(A26,-1)+1,猫统计!AB:AB,"&lt;="&amp;EOMONTH(A26,0))+SUMIFS(猫统计!AJ:AJ,猫统计!AH:AH,"&gt;="&amp;EOMONTH(A26,-1)+1,猫统计!AH:AH,"&lt;="&amp;EOMONTH(A26,0))+SUMIFS(猫统计!AP:AP,猫统计!AN:AN,"&gt;="&amp;EOMONTH(A26,-1)+1,猫统计!AN:AN,"&lt;="&amp;EOMONTH(A26,0))+SUMIFS(猫统计!AV:AV,猫统计!AT:AT,"&gt;="&amp;EOMONTH(A26,-1)+1,猫统计!AT:AT,"&lt;="&amp;EOMONTH(A26,0))+SUMIFS(猫统计!BB:BB,猫统计!AZ:AZ,"&gt;="&amp;EOMONTH(A26,-1)+1,猫统计!AZ:AZ,"&lt;="&amp;EOMONTH(A26,0))+SUMIFS(猫统计!BH:BH,猫统计!BF:BF,"&gt;="&amp;EOMONTH(A26,-1)+1,猫统计!BF:BF,"&lt;="&amp;EOMONTH(A26,0))+SUMIFS(猫统计!BN:BN,猫统计!BL:BL,"&gt;="&amp;EOMONTH(A26,-1)+1,猫统计!BL:BL,"&lt;="&amp;EOMONTH(A26,0))</f>
        <v>11</v>
      </c>
      <c r="E26" s="2">
        <f>SUMIFS(猫统计!M:M,猫统计!J:J,"&gt;="&amp;EOMONTH(A26,-1)+1,猫统计!J:J,"&lt;="&amp;EOMONTH(A26,0))+SUMIFS(猫统计!S:S,猫统计!P:P,"&gt;="&amp;EOMONTH(A26,-1)+1,猫统计!P:P,"&lt;="&amp;EOMONTH(A26,0))+SUMIFS(猫统计!Y:Y,猫统计!V:V,"&gt;="&amp;EOMONTH(A26,-1)+1,猫统计!V:V,"&lt;="&amp;EOMONTH(A26,0))+SUMIFS(猫统计!AE:AE,猫统计!AB:AB,"&gt;="&amp;EOMONTH(A26,-1)+1,猫统计!AB:AB,"&lt;="&amp;EOMONTH(A26,0))+SUMIFS(猫统计!AK:AK,猫统计!AH:AH,"&gt;="&amp;EOMONTH(A26,-1)+1,猫统计!AH:AH,"&lt;="&amp;EOMONTH(A26,0))+SUMIFS(猫统计!AQ:AQ,猫统计!AN:AN,"&gt;="&amp;EOMONTH(A26,-1)+1,猫统计!AN:AN,"&lt;="&amp;EOMONTH(A26,0))+SUMIFS(猫统计!AW:AW,猫统计!AT:AT,"&gt;="&amp;EOMONTH(A26,-1)+1,猫统计!AT:AT,"&lt;="&amp;EOMONTH(A26,0))+SUMIFS(猫统计!BC:BC,猫统计!AZ:AZ,"&gt;="&amp;EOMONTH(A26,-1)+1,猫统计!AZ:AZ,"&lt;="&amp;EOMONTH(A26,0))+SUMIFS(猫统计!BI:BI,猫统计!BF:BF,"&gt;="&amp;EOMONTH(A26,-1)+1,猫统计!BF:BF,"&lt;="&amp;EOMONTH(A26,0))+SUMIFS(猫统计!BO:BO,猫统计!BL:BL,"&gt;="&amp;EOMONTH(A26,-1)+1,猫统计!BL:BL,"&lt;="&amp;EOMONTH(A26,0))</f>
        <v>11</v>
      </c>
      <c r="F26" s="5"/>
      <c r="G26" s="5"/>
    </row>
    <row r="27" spans="1:15" ht="16.5" thickTop="1" thickBot="1">
      <c r="A27" s="3">
        <v>44774</v>
      </c>
      <c r="B27" s="6">
        <f>COUNTIFS(猫统计!J:J,"&gt;="&amp;EOMONTH(A27,-1)+1,猫统计!J:J,"&lt;="&amp;EOMONTH(A27,0))+COUNTIFS(猫统计!P:P,"&gt;="&amp;EOMONTH(A27,-1)+1,猫统计!P:P,"&lt;="&amp;EOMONTH(A27,0))+COUNTIFS(猫统计!V:V,"&gt;="&amp;EOMONTH(A27,-1)+1,猫统计!V:V,"&lt;="&amp;EOMONTH(A27,0))+COUNTIFS(猫统计!AB:AB,"&gt;="&amp;EOMONTH(A27,-1)+1,猫统计!AB:AB,"&lt;="&amp;EOMONTH(A27,0))+COUNTIFS(猫统计!AH:AH,"&gt;="&amp;EOMONTH(A27,-1)+1,猫统计!AH:AH,"&lt;="&amp;EOMONTH(A27,0))+COUNTIFS(猫统计!AN:AN,"&gt;="&amp;EOMONTH(A27,-1)+1,猫统计!AN:AN,"&lt;="&amp;EOMONTH(A27,0))+COUNTIFS(猫统计!AT:AT,"&gt;="&amp;EOMONTH(A27,-1)+1,猫统计!AT:AT,"&lt;="&amp;EOMONTH(A27,0))+COUNTIFS(猫统计!AZ:AZ,"&gt;="&amp;EOMONTH(A27,-1)+1,猫统计!AZ:AZ,"&lt;="&amp;EOMONTH(A27,0))+COUNTIFS(猫统计!BF:BF,"&gt;="&amp;EOMONTH(A27,-1)+1,猫统计!BF:BF,"&lt;="&amp;EOMONTH(A27,0))+COUNTIFS(猫统计!BL:BL,"&gt;="&amp;EOMONTH(A27,-1)+1,猫统计!BL:BL,"&lt;="&amp;EOMONTH(A27,0))</f>
        <v>2</v>
      </c>
      <c r="C27" s="2">
        <f t="shared" si="1"/>
        <v>9</v>
      </c>
      <c r="D27" s="2">
        <f>SUMIFS(猫统计!L:L,猫统计!J:J,"&gt;="&amp;EOMONTH(A27,-1)+1,猫统计!J:J,"&lt;="&amp;EOMONTH(A27,0))+SUMIFS(猫统计!R:R,猫统计!P:P,"&gt;="&amp;EOMONTH(A27,-1)+1,猫统计!P:P,"&lt;="&amp;EOMONTH(A27,0))+SUMIFS(猫统计!X:X,猫统计!V:V,"&gt;="&amp;EOMONTH(A27,-1)+1,猫统计!V:V,"&lt;="&amp;EOMONTH(A27,0))+SUMIFS(猫统计!AD:AD,猫统计!AB:AB,"&gt;="&amp;EOMONTH(A27,-1)+1,猫统计!AB:AB,"&lt;="&amp;EOMONTH(A27,0))+SUMIFS(猫统计!AJ:AJ,猫统计!AH:AH,"&gt;="&amp;EOMONTH(A27,-1)+1,猫统计!AH:AH,"&lt;="&amp;EOMONTH(A27,0))+SUMIFS(猫统计!AP:AP,猫统计!AN:AN,"&gt;="&amp;EOMONTH(A27,-1)+1,猫统计!AN:AN,"&lt;="&amp;EOMONTH(A27,0))+SUMIFS(猫统计!AV:AV,猫统计!AT:AT,"&gt;="&amp;EOMONTH(A27,-1)+1,猫统计!AT:AT,"&lt;="&amp;EOMONTH(A27,0))+SUMIFS(猫统计!BB:BB,猫统计!AZ:AZ,"&gt;="&amp;EOMONTH(A27,-1)+1,猫统计!AZ:AZ,"&lt;="&amp;EOMONTH(A27,0))+SUMIFS(猫统计!BH:BH,猫统计!BF:BF,"&gt;="&amp;EOMONTH(A27,-1)+1,猫统计!BF:BF,"&lt;="&amp;EOMONTH(A27,0))+SUMIFS(猫统计!BN:BN,猫统计!BL:BL,"&gt;="&amp;EOMONTH(A27,-1)+1,猫统计!BL:BL,"&lt;="&amp;EOMONTH(A27,0))</f>
        <v>1</v>
      </c>
      <c r="E27" s="2">
        <f>SUMIFS(猫统计!M:M,猫统计!J:J,"&gt;="&amp;EOMONTH(A27,-1)+1,猫统计!J:J,"&lt;="&amp;EOMONTH(A27,0))+SUMIFS(猫统计!S:S,猫统计!P:P,"&gt;="&amp;EOMONTH(A27,-1)+1,猫统计!P:P,"&lt;="&amp;EOMONTH(A27,0))+SUMIFS(猫统计!Y:Y,猫统计!V:V,"&gt;="&amp;EOMONTH(A27,-1)+1,猫统计!V:V,"&lt;="&amp;EOMONTH(A27,0))+SUMIFS(猫统计!AE:AE,猫统计!AB:AB,"&gt;="&amp;EOMONTH(A27,-1)+1,猫统计!AB:AB,"&lt;="&amp;EOMONTH(A27,0))+SUMIFS(猫统计!AK:AK,猫统计!AH:AH,"&gt;="&amp;EOMONTH(A27,-1)+1,猫统计!AH:AH,"&lt;="&amp;EOMONTH(A27,0))+SUMIFS(猫统计!AQ:AQ,猫统计!AN:AN,"&gt;="&amp;EOMONTH(A27,-1)+1,猫统计!AN:AN,"&lt;="&amp;EOMONTH(A27,0))+SUMIFS(猫统计!AW:AW,猫统计!AT:AT,"&gt;="&amp;EOMONTH(A27,-1)+1,猫统计!AT:AT,"&lt;="&amp;EOMONTH(A27,0))+SUMIFS(猫统计!BC:BC,猫统计!AZ:AZ,"&gt;="&amp;EOMONTH(A27,-1)+1,猫统计!AZ:AZ,"&lt;="&amp;EOMONTH(A27,0))+SUMIFS(猫统计!BI:BI,猫统计!BF:BF,"&gt;="&amp;EOMONTH(A27,-1)+1,猫统计!BF:BF,"&lt;="&amp;EOMONTH(A27,0))+SUMIFS(猫统计!BO:BO,猫统计!BL:BL,"&gt;="&amp;EOMONTH(A27,-1)+1,猫统计!BL:BL,"&lt;="&amp;EOMONTH(A27,0))</f>
        <v>8</v>
      </c>
      <c r="F27" s="5"/>
      <c r="G27" s="5"/>
    </row>
    <row r="28" spans="1:15" ht="16.5" thickTop="1" thickBot="1">
      <c r="A28" s="3">
        <v>44805</v>
      </c>
      <c r="B28" s="6">
        <f>COUNTIFS(猫统计!J:J,"&gt;="&amp;EOMONTH(A28,-1)+1,猫统计!J:J,"&lt;="&amp;EOMONTH(A28,0))+COUNTIFS(猫统计!P:P,"&gt;="&amp;EOMONTH(A28,-1)+1,猫统计!P:P,"&lt;="&amp;EOMONTH(A28,0))+COUNTIFS(猫统计!V:V,"&gt;="&amp;EOMONTH(A28,-1)+1,猫统计!V:V,"&lt;="&amp;EOMONTH(A28,0))+COUNTIFS(猫统计!AB:AB,"&gt;="&amp;EOMONTH(A28,-1)+1,猫统计!AB:AB,"&lt;="&amp;EOMONTH(A28,0))+COUNTIFS(猫统计!AH:AH,"&gt;="&amp;EOMONTH(A28,-1)+1,猫统计!AH:AH,"&lt;="&amp;EOMONTH(A28,0))+COUNTIFS(猫统计!AN:AN,"&gt;="&amp;EOMONTH(A28,-1)+1,猫统计!AN:AN,"&lt;="&amp;EOMONTH(A28,0))+COUNTIFS(猫统计!AT:AT,"&gt;="&amp;EOMONTH(A28,-1)+1,猫统计!AT:AT,"&lt;="&amp;EOMONTH(A28,0))+COUNTIFS(猫统计!AZ:AZ,"&gt;="&amp;EOMONTH(A28,-1)+1,猫统计!AZ:AZ,"&lt;="&amp;EOMONTH(A28,0))+COUNTIFS(猫统计!BF:BF,"&gt;="&amp;EOMONTH(A28,-1)+1,猫统计!BF:BF,"&lt;="&amp;EOMONTH(A28,0))+COUNTIFS(猫统计!BL:BL,"&gt;="&amp;EOMONTH(A28,-1)+1,猫统计!BL:BL,"&lt;="&amp;EOMONTH(A28,0))</f>
        <v>2</v>
      </c>
      <c r="C28" s="2">
        <f t="shared" si="1"/>
        <v>9</v>
      </c>
      <c r="D28" s="2">
        <f>SUMIFS(猫统计!L:L,猫统计!J:J,"&gt;="&amp;EOMONTH(A28,-1)+1,猫统计!J:J,"&lt;="&amp;EOMONTH(A28,0))+SUMIFS(猫统计!R:R,猫统计!P:P,"&gt;="&amp;EOMONTH(A28,-1)+1,猫统计!P:P,"&lt;="&amp;EOMONTH(A28,0))+SUMIFS(猫统计!X:X,猫统计!V:V,"&gt;="&amp;EOMONTH(A28,-1)+1,猫统计!V:V,"&lt;="&amp;EOMONTH(A28,0))+SUMIFS(猫统计!AD:AD,猫统计!AB:AB,"&gt;="&amp;EOMONTH(A28,-1)+1,猫统计!AB:AB,"&lt;="&amp;EOMONTH(A28,0))+SUMIFS(猫统计!AJ:AJ,猫统计!AH:AH,"&gt;="&amp;EOMONTH(A28,-1)+1,猫统计!AH:AH,"&lt;="&amp;EOMONTH(A28,0))+SUMIFS(猫统计!AP:AP,猫统计!AN:AN,"&gt;="&amp;EOMONTH(A28,-1)+1,猫统计!AN:AN,"&lt;="&amp;EOMONTH(A28,0))+SUMIFS(猫统计!AV:AV,猫统计!AT:AT,"&gt;="&amp;EOMONTH(A28,-1)+1,猫统计!AT:AT,"&lt;="&amp;EOMONTH(A28,0))+SUMIFS(猫统计!BB:BB,猫统计!AZ:AZ,"&gt;="&amp;EOMONTH(A28,-1)+1,猫统计!AZ:AZ,"&lt;="&amp;EOMONTH(A28,0))+SUMIFS(猫统计!BH:BH,猫统计!BF:BF,"&gt;="&amp;EOMONTH(A28,-1)+1,猫统计!BF:BF,"&lt;="&amp;EOMONTH(A28,0))+SUMIFS(猫统计!BN:BN,猫统计!BL:BL,"&gt;="&amp;EOMONTH(A28,-1)+1,猫统计!BL:BL,"&lt;="&amp;EOMONTH(A28,0))</f>
        <v>0</v>
      </c>
      <c r="E28" s="2">
        <f>SUMIFS(猫统计!M:M,猫统计!J:J,"&gt;="&amp;EOMONTH(A28,-1)+1,猫统计!J:J,"&lt;="&amp;EOMONTH(A28,0))+SUMIFS(猫统计!S:S,猫统计!P:P,"&gt;="&amp;EOMONTH(A28,-1)+1,猫统计!P:P,"&lt;="&amp;EOMONTH(A28,0))+SUMIFS(猫统计!Y:Y,猫统计!V:V,"&gt;="&amp;EOMONTH(A28,-1)+1,猫统计!V:V,"&lt;="&amp;EOMONTH(A28,0))+SUMIFS(猫统计!AE:AE,猫统计!AB:AB,"&gt;="&amp;EOMONTH(A28,-1)+1,猫统计!AB:AB,"&lt;="&amp;EOMONTH(A28,0))+SUMIFS(猫统计!AK:AK,猫统计!AH:AH,"&gt;="&amp;EOMONTH(A28,-1)+1,猫统计!AH:AH,"&lt;="&amp;EOMONTH(A28,0))+SUMIFS(猫统计!AQ:AQ,猫统计!AN:AN,"&gt;="&amp;EOMONTH(A28,-1)+1,猫统计!AN:AN,"&lt;="&amp;EOMONTH(A28,0))+SUMIFS(猫统计!AW:AW,猫统计!AT:AT,"&gt;="&amp;EOMONTH(A28,-1)+1,猫统计!AT:AT,"&lt;="&amp;EOMONTH(A28,0))+SUMIFS(猫统计!BC:BC,猫统计!AZ:AZ,"&gt;="&amp;EOMONTH(A28,-1)+1,猫统计!AZ:AZ,"&lt;="&amp;EOMONTH(A28,0))+SUMIFS(猫统计!BI:BI,猫统计!BF:BF,"&gt;="&amp;EOMONTH(A28,-1)+1,猫统计!BF:BF,"&lt;="&amp;EOMONTH(A28,0))+SUMIFS(猫统计!BO:BO,猫统计!BL:BL,"&gt;="&amp;EOMONTH(A28,-1)+1,猫统计!BL:BL,"&lt;="&amp;EOMONTH(A28,0))</f>
        <v>9</v>
      </c>
      <c r="F28" s="5">
        <f>(E26+E27+E28)/(C26+C27+C28)</f>
        <v>0.7</v>
      </c>
      <c r="G28" s="5">
        <f>(E26+E27+E28)/(B26+B27+B28)</f>
        <v>3.1111111111111112</v>
      </c>
    </row>
    <row r="29" spans="1:15" ht="16.5" thickTop="1" thickBot="1">
      <c r="A29" s="3">
        <v>44835</v>
      </c>
      <c r="B29" s="6">
        <f>COUNTIFS(猫统计!J:J,"&gt;="&amp;EOMONTH(A29,-1)+1,猫统计!J:J,"&lt;="&amp;EOMONTH(A29,0))+COUNTIFS(猫统计!P:P,"&gt;="&amp;EOMONTH(A29,-1)+1,猫统计!P:P,"&lt;="&amp;EOMONTH(A29,0))+COUNTIFS(猫统计!V:V,"&gt;="&amp;EOMONTH(A29,-1)+1,猫统计!V:V,"&lt;="&amp;EOMONTH(A29,0))+COUNTIFS(猫统计!AB:AB,"&gt;="&amp;EOMONTH(A29,-1)+1,猫统计!AB:AB,"&lt;="&amp;EOMONTH(A29,0))+COUNTIFS(猫统计!AH:AH,"&gt;="&amp;EOMONTH(A29,-1)+1,猫统计!AH:AH,"&lt;="&amp;EOMONTH(A29,0))+COUNTIFS(猫统计!AN:AN,"&gt;="&amp;EOMONTH(A29,-1)+1,猫统计!AN:AN,"&lt;="&amp;EOMONTH(A29,0))+COUNTIFS(猫统计!AT:AT,"&gt;="&amp;EOMONTH(A29,-1)+1,猫统计!AT:AT,"&lt;="&amp;EOMONTH(A29,0))+COUNTIFS(猫统计!AZ:AZ,"&gt;="&amp;EOMONTH(A29,-1)+1,猫统计!AZ:AZ,"&lt;="&amp;EOMONTH(A29,0))+COUNTIFS(猫统计!BF:BF,"&gt;="&amp;EOMONTH(A29,-1)+1,猫统计!BF:BF,"&lt;="&amp;EOMONTH(A29,0))+COUNTIFS(猫统计!BL:BL,"&gt;="&amp;EOMONTH(A29,-1)+1,猫统计!BL:BL,"&lt;="&amp;EOMONTH(A29,0))</f>
        <v>0</v>
      </c>
      <c r="C29" s="2">
        <f t="shared" si="1"/>
        <v>0</v>
      </c>
      <c r="D29" s="2">
        <f>SUMIFS(猫统计!L:L,猫统计!J:J,"&gt;="&amp;EOMONTH(A29,-1)+1,猫统计!J:J,"&lt;="&amp;EOMONTH(A29,0))+SUMIFS(猫统计!R:R,猫统计!P:P,"&gt;="&amp;EOMONTH(A29,-1)+1,猫统计!P:P,"&lt;="&amp;EOMONTH(A29,0))+SUMIFS(猫统计!X:X,猫统计!V:V,"&gt;="&amp;EOMONTH(A29,-1)+1,猫统计!V:V,"&lt;="&amp;EOMONTH(A29,0))+SUMIFS(猫统计!AD:AD,猫统计!AB:AB,"&gt;="&amp;EOMONTH(A29,-1)+1,猫统计!AB:AB,"&lt;="&amp;EOMONTH(A29,0))+SUMIFS(猫统计!AJ:AJ,猫统计!AH:AH,"&gt;="&amp;EOMONTH(A29,-1)+1,猫统计!AH:AH,"&lt;="&amp;EOMONTH(A29,0))+SUMIFS(猫统计!AP:AP,猫统计!AN:AN,"&gt;="&amp;EOMONTH(A29,-1)+1,猫统计!AN:AN,"&lt;="&amp;EOMONTH(A29,0))+SUMIFS(猫统计!AV:AV,猫统计!AT:AT,"&gt;="&amp;EOMONTH(A29,-1)+1,猫统计!AT:AT,"&lt;="&amp;EOMONTH(A29,0))+SUMIFS(猫统计!BB:BB,猫统计!AZ:AZ,"&gt;="&amp;EOMONTH(A29,-1)+1,猫统计!AZ:AZ,"&lt;="&amp;EOMONTH(A29,0))+SUMIFS(猫统计!BH:BH,猫统计!BF:BF,"&gt;="&amp;EOMONTH(A29,-1)+1,猫统计!BF:BF,"&lt;="&amp;EOMONTH(A29,0))+SUMIFS(猫统计!BN:BN,猫统计!BL:BL,"&gt;="&amp;EOMONTH(A29,-1)+1,猫统计!BL:BL,"&lt;="&amp;EOMONTH(A29,0))</f>
        <v>0</v>
      </c>
      <c r="E29" s="2">
        <f>SUMIFS(猫统计!M:M,猫统计!J:J,"&gt;="&amp;EOMONTH(A29,-1)+1,猫统计!J:J,"&lt;="&amp;EOMONTH(A29,0))+SUMIFS(猫统计!S:S,猫统计!P:P,"&gt;="&amp;EOMONTH(A29,-1)+1,猫统计!P:P,"&lt;="&amp;EOMONTH(A29,0))+SUMIFS(猫统计!Y:Y,猫统计!V:V,"&gt;="&amp;EOMONTH(A29,-1)+1,猫统计!V:V,"&lt;="&amp;EOMONTH(A29,0))+SUMIFS(猫统计!AE:AE,猫统计!AB:AB,"&gt;="&amp;EOMONTH(A29,-1)+1,猫统计!AB:AB,"&lt;="&amp;EOMONTH(A29,0))+SUMIFS(猫统计!AK:AK,猫统计!AH:AH,"&gt;="&amp;EOMONTH(A29,-1)+1,猫统计!AH:AH,"&lt;="&amp;EOMONTH(A29,0))+SUMIFS(猫统计!AQ:AQ,猫统计!AN:AN,"&gt;="&amp;EOMONTH(A29,-1)+1,猫统计!AN:AN,"&lt;="&amp;EOMONTH(A29,0))+SUMIFS(猫统计!AW:AW,猫统计!AT:AT,"&gt;="&amp;EOMONTH(A29,-1)+1,猫统计!AT:AT,"&lt;="&amp;EOMONTH(A29,0))+SUMIFS(猫统计!BC:BC,猫统计!AZ:AZ,"&gt;="&amp;EOMONTH(A29,-1)+1,猫统计!AZ:AZ,"&lt;="&amp;EOMONTH(A29,0))+SUMIFS(猫统计!BI:BI,猫统计!BF:BF,"&gt;="&amp;EOMONTH(A29,-1)+1,猫统计!BF:BF,"&lt;="&amp;EOMONTH(A29,0))+SUMIFS(猫统计!BO:BO,猫统计!BL:BL,"&gt;="&amp;EOMONTH(A29,-1)+1,猫统计!BL:BL,"&lt;="&amp;EOMONTH(A29,0))</f>
        <v>0</v>
      </c>
      <c r="F29" s="5"/>
      <c r="G29" s="5"/>
    </row>
    <row r="30" spans="1:15" ht="16.5" thickTop="1" thickBot="1">
      <c r="A30" s="3">
        <v>44866</v>
      </c>
      <c r="B30" s="6">
        <f>COUNTIFS(猫统计!J:J,"&gt;="&amp;EOMONTH(A30,-1)+1,猫统计!J:J,"&lt;="&amp;EOMONTH(A30,0))+COUNTIFS(猫统计!P:P,"&gt;="&amp;EOMONTH(A30,-1)+1,猫统计!P:P,"&lt;="&amp;EOMONTH(A30,0))+COUNTIFS(猫统计!V:V,"&gt;="&amp;EOMONTH(A30,-1)+1,猫统计!V:V,"&lt;="&amp;EOMONTH(A30,0))+COUNTIFS(猫统计!AB:AB,"&gt;="&amp;EOMONTH(A30,-1)+1,猫统计!AB:AB,"&lt;="&amp;EOMONTH(A30,0))+COUNTIFS(猫统计!AH:AH,"&gt;="&amp;EOMONTH(A30,-1)+1,猫统计!AH:AH,"&lt;="&amp;EOMONTH(A30,0))+COUNTIFS(猫统计!AN:AN,"&gt;="&amp;EOMONTH(A30,-1)+1,猫统计!AN:AN,"&lt;="&amp;EOMONTH(A30,0))+COUNTIFS(猫统计!AT:AT,"&gt;="&amp;EOMONTH(A30,-1)+1,猫统计!AT:AT,"&lt;="&amp;EOMONTH(A30,0))+COUNTIFS(猫统计!AZ:AZ,"&gt;="&amp;EOMONTH(A30,-1)+1,猫统计!AZ:AZ,"&lt;="&amp;EOMONTH(A30,0))+COUNTIFS(猫统计!BF:BF,"&gt;="&amp;EOMONTH(A30,-1)+1,猫统计!BF:BF,"&lt;="&amp;EOMONTH(A30,0))+COUNTIFS(猫统计!BL:BL,"&gt;="&amp;EOMONTH(A30,-1)+1,猫统计!BL:BL,"&lt;="&amp;EOMONTH(A30,0))</f>
        <v>0</v>
      </c>
      <c r="C30" s="2">
        <f t="shared" ref="C30:C35" si="2">D30+E30</f>
        <v>0</v>
      </c>
      <c r="D30" s="2">
        <f>SUMIFS(猫统计!L:L,猫统计!J:J,"&gt;="&amp;EOMONTH(A30,-1)+1,猫统计!J:J,"&lt;="&amp;EOMONTH(A30,0))+SUMIFS(猫统计!R:R,猫统计!P:P,"&gt;="&amp;EOMONTH(A30,-1)+1,猫统计!P:P,"&lt;="&amp;EOMONTH(A30,0))+SUMIFS(猫统计!X:X,猫统计!V:V,"&gt;="&amp;EOMONTH(A30,-1)+1,猫统计!V:V,"&lt;="&amp;EOMONTH(A30,0))+SUMIFS(猫统计!AD:AD,猫统计!AB:AB,"&gt;="&amp;EOMONTH(A30,-1)+1,猫统计!AB:AB,"&lt;="&amp;EOMONTH(A30,0))+SUMIFS(猫统计!AJ:AJ,猫统计!AH:AH,"&gt;="&amp;EOMONTH(A30,-1)+1,猫统计!AH:AH,"&lt;="&amp;EOMONTH(A30,0))+SUMIFS(猫统计!AP:AP,猫统计!AN:AN,"&gt;="&amp;EOMONTH(A30,-1)+1,猫统计!AN:AN,"&lt;="&amp;EOMONTH(A30,0))+SUMIFS(猫统计!AV:AV,猫统计!AT:AT,"&gt;="&amp;EOMONTH(A30,-1)+1,猫统计!AT:AT,"&lt;="&amp;EOMONTH(A30,0))+SUMIFS(猫统计!BB:BB,猫统计!AZ:AZ,"&gt;="&amp;EOMONTH(A30,-1)+1,猫统计!AZ:AZ,"&lt;="&amp;EOMONTH(A30,0))+SUMIFS(猫统计!BH:BH,猫统计!BF:BF,"&gt;="&amp;EOMONTH(A30,-1)+1,猫统计!BF:BF,"&lt;="&amp;EOMONTH(A30,0))+SUMIFS(猫统计!BN:BN,猫统计!BL:BL,"&gt;="&amp;EOMONTH(A30,-1)+1,猫统计!BL:BL,"&lt;="&amp;EOMONTH(A30,0))</f>
        <v>0</v>
      </c>
      <c r="E30" s="2">
        <f>SUMIFS(猫统计!M:M,猫统计!J:J,"&gt;="&amp;EOMONTH(A30,-1)+1,猫统计!J:J,"&lt;="&amp;EOMONTH(A30,0))+SUMIFS(猫统计!S:S,猫统计!P:P,"&gt;="&amp;EOMONTH(A30,-1)+1,猫统计!P:P,"&lt;="&amp;EOMONTH(A30,0))+SUMIFS(猫统计!Y:Y,猫统计!V:V,"&gt;="&amp;EOMONTH(A30,-1)+1,猫统计!V:V,"&lt;="&amp;EOMONTH(A30,0))+SUMIFS(猫统计!AE:AE,猫统计!AB:AB,"&gt;="&amp;EOMONTH(A30,-1)+1,猫统计!AB:AB,"&lt;="&amp;EOMONTH(A30,0))+SUMIFS(猫统计!AK:AK,猫统计!AH:AH,"&gt;="&amp;EOMONTH(A30,-1)+1,猫统计!AH:AH,"&lt;="&amp;EOMONTH(A30,0))+SUMIFS(猫统计!AQ:AQ,猫统计!AN:AN,"&gt;="&amp;EOMONTH(A30,-1)+1,猫统计!AN:AN,"&lt;="&amp;EOMONTH(A30,0))+SUMIFS(猫统计!AW:AW,猫统计!AT:AT,"&gt;="&amp;EOMONTH(A30,-1)+1,猫统计!AT:AT,"&lt;="&amp;EOMONTH(A30,0))+SUMIFS(猫统计!BC:BC,猫统计!AZ:AZ,"&gt;="&amp;EOMONTH(A30,-1)+1,猫统计!AZ:AZ,"&lt;="&amp;EOMONTH(A30,0))+SUMIFS(猫统计!BI:BI,猫统计!BF:BF,"&gt;="&amp;EOMONTH(A30,-1)+1,猫统计!BF:BF,"&lt;="&amp;EOMONTH(A30,0))+SUMIFS(猫统计!BO:BO,猫统计!BL:BL,"&gt;="&amp;EOMONTH(A30,-1)+1,猫统计!BL:BL,"&lt;="&amp;EOMONTH(A30,0))</f>
        <v>0</v>
      </c>
      <c r="F30" s="5"/>
      <c r="G30" s="5"/>
    </row>
    <row r="31" spans="1:15" ht="16.5" thickTop="1" thickBot="1">
      <c r="A31" s="3">
        <v>44896</v>
      </c>
      <c r="B31" s="6">
        <f>COUNTIFS(猫统计!J:J,"&gt;="&amp;EOMONTH(A31,-1)+1,猫统计!J:J,"&lt;="&amp;EOMONTH(A31,0))+COUNTIFS(猫统计!P:P,"&gt;="&amp;EOMONTH(A31,-1)+1,猫统计!P:P,"&lt;="&amp;EOMONTH(A31,0))+COUNTIFS(猫统计!V:V,"&gt;="&amp;EOMONTH(A31,-1)+1,猫统计!V:V,"&lt;="&amp;EOMONTH(A31,0))+COUNTIFS(猫统计!AB:AB,"&gt;="&amp;EOMONTH(A31,-1)+1,猫统计!AB:AB,"&lt;="&amp;EOMONTH(A31,0))+COUNTIFS(猫统计!AH:AH,"&gt;="&amp;EOMONTH(A31,-1)+1,猫统计!AH:AH,"&lt;="&amp;EOMONTH(A31,0))+COUNTIFS(猫统计!AN:AN,"&gt;="&amp;EOMONTH(A31,-1)+1,猫统计!AN:AN,"&lt;="&amp;EOMONTH(A31,0))+COUNTIFS(猫统计!AT:AT,"&gt;="&amp;EOMONTH(A31,-1)+1,猫统计!AT:AT,"&lt;="&amp;EOMONTH(A31,0))+COUNTIFS(猫统计!AZ:AZ,"&gt;="&amp;EOMONTH(A31,-1)+1,猫统计!AZ:AZ,"&lt;="&amp;EOMONTH(A31,0))+COUNTIFS(猫统计!BF:BF,"&gt;="&amp;EOMONTH(A31,-1)+1,猫统计!BF:BF,"&lt;="&amp;EOMONTH(A31,0))+COUNTIFS(猫统计!BL:BL,"&gt;="&amp;EOMONTH(A31,-1)+1,猫统计!BL:BL,"&lt;="&amp;EOMONTH(A31,0))</f>
        <v>1</v>
      </c>
      <c r="C31" s="2">
        <f t="shared" si="2"/>
        <v>3</v>
      </c>
      <c r="D31" s="2">
        <f>SUMIFS(猫统计!L:L,猫统计!J:J,"&gt;="&amp;EOMONTH(A31,-1)+1,猫统计!J:J,"&lt;="&amp;EOMONTH(A31,0))+SUMIFS(猫统计!R:R,猫统计!P:P,"&gt;="&amp;EOMONTH(A31,-1)+1,猫统计!P:P,"&lt;="&amp;EOMONTH(A31,0))+SUMIFS(猫统计!X:X,猫统计!V:V,"&gt;="&amp;EOMONTH(A31,-1)+1,猫统计!V:V,"&lt;="&amp;EOMONTH(A31,0))+SUMIFS(猫统计!AD:AD,猫统计!AB:AB,"&gt;="&amp;EOMONTH(A31,-1)+1,猫统计!AB:AB,"&lt;="&amp;EOMONTH(A31,0))+SUMIFS(猫统计!AJ:AJ,猫统计!AH:AH,"&gt;="&amp;EOMONTH(A31,-1)+1,猫统计!AH:AH,"&lt;="&amp;EOMONTH(A31,0))+SUMIFS(猫统计!AP:AP,猫统计!AN:AN,"&gt;="&amp;EOMONTH(A31,-1)+1,猫统计!AN:AN,"&lt;="&amp;EOMONTH(A31,0))+SUMIFS(猫统计!AV:AV,猫统计!AT:AT,"&gt;="&amp;EOMONTH(A31,-1)+1,猫统计!AT:AT,"&lt;="&amp;EOMONTH(A31,0))+SUMIFS(猫统计!BB:BB,猫统计!AZ:AZ,"&gt;="&amp;EOMONTH(A31,-1)+1,猫统计!AZ:AZ,"&lt;="&amp;EOMONTH(A31,0))+SUMIFS(猫统计!BH:BH,猫统计!BF:BF,"&gt;="&amp;EOMONTH(A31,-1)+1,猫统计!BF:BF,"&lt;="&amp;EOMONTH(A31,0))+SUMIFS(猫统计!BN:BN,猫统计!BL:BL,"&gt;="&amp;EOMONTH(A31,-1)+1,猫统计!BL:BL,"&lt;="&amp;EOMONTH(A31,0))</f>
        <v>0</v>
      </c>
      <c r="E31" s="2">
        <f>SUMIFS(猫统计!M:M,猫统计!J:J,"&gt;="&amp;EOMONTH(A31,-1)+1,猫统计!J:J,"&lt;="&amp;EOMONTH(A31,0))+SUMIFS(猫统计!S:S,猫统计!P:P,"&gt;="&amp;EOMONTH(A31,-1)+1,猫统计!P:P,"&lt;="&amp;EOMONTH(A31,0))+SUMIFS(猫统计!Y:Y,猫统计!V:V,"&gt;="&amp;EOMONTH(A31,-1)+1,猫统计!V:V,"&lt;="&amp;EOMONTH(A31,0))+SUMIFS(猫统计!AE:AE,猫统计!AB:AB,"&gt;="&amp;EOMONTH(A31,-1)+1,猫统计!AB:AB,"&lt;="&amp;EOMONTH(A31,0))+SUMIFS(猫统计!AK:AK,猫统计!AH:AH,"&gt;="&amp;EOMONTH(A31,-1)+1,猫统计!AH:AH,"&lt;="&amp;EOMONTH(A31,0))+SUMIFS(猫统计!AQ:AQ,猫统计!AN:AN,"&gt;="&amp;EOMONTH(A31,-1)+1,猫统计!AN:AN,"&lt;="&amp;EOMONTH(A31,0))+SUMIFS(猫统计!AW:AW,猫统计!AT:AT,"&gt;="&amp;EOMONTH(A31,-1)+1,猫统计!AT:AT,"&lt;="&amp;EOMONTH(A31,0))+SUMIFS(猫统计!BC:BC,猫统计!AZ:AZ,"&gt;="&amp;EOMONTH(A31,-1)+1,猫统计!AZ:AZ,"&lt;="&amp;EOMONTH(A31,0))+SUMIFS(猫统计!BI:BI,猫统计!BF:BF,"&gt;="&amp;EOMONTH(A31,-1)+1,猫统计!BF:BF,"&lt;="&amp;EOMONTH(A31,0))+SUMIFS(猫统计!BO:BO,猫统计!BL:BL,"&gt;="&amp;EOMONTH(A31,-1)+1,猫统计!BL:BL,"&lt;="&amp;EOMONTH(A31,0))</f>
        <v>3</v>
      </c>
      <c r="F31" s="5">
        <f>(E29+E30+E31)/(C29+C30+C31)</f>
        <v>1</v>
      </c>
      <c r="G31" s="5">
        <f>(E29+E30+E31)/(B29+B30+B31)</f>
        <v>3</v>
      </c>
    </row>
    <row r="32" spans="1:15" ht="16.5" thickTop="1" thickBot="1">
      <c r="A32" s="3">
        <v>44927</v>
      </c>
      <c r="B32" s="6">
        <f>COUNTIFS(猫统计!J:J,"&gt;="&amp;EOMONTH(A32,-1)+1,猫统计!J:J,"&lt;="&amp;EOMONTH(A32,0))+COUNTIFS(猫统计!P:P,"&gt;="&amp;EOMONTH(A32,-1)+1,猫统计!P:P,"&lt;="&amp;EOMONTH(A32,0))+COUNTIFS(猫统计!V:V,"&gt;="&amp;EOMONTH(A32,-1)+1,猫统计!V:V,"&lt;="&amp;EOMONTH(A32,0))+COUNTIFS(猫统计!AB:AB,"&gt;="&amp;EOMONTH(A32,-1)+1,猫统计!AB:AB,"&lt;="&amp;EOMONTH(A32,0))+COUNTIFS(猫统计!AH:AH,"&gt;="&amp;EOMONTH(A32,-1)+1,猫统计!AH:AH,"&lt;="&amp;EOMONTH(A32,0))+COUNTIFS(猫统计!AN:AN,"&gt;="&amp;EOMONTH(A32,-1)+1,猫统计!AN:AN,"&lt;="&amp;EOMONTH(A32,0))+COUNTIFS(猫统计!AT:AT,"&gt;="&amp;EOMONTH(A32,-1)+1,猫统计!AT:AT,"&lt;="&amp;EOMONTH(A32,0))+COUNTIFS(猫统计!AZ:AZ,"&gt;="&amp;EOMONTH(A32,-1)+1,猫统计!AZ:AZ,"&lt;="&amp;EOMONTH(A32,0))+COUNTIFS(猫统计!BF:BF,"&gt;="&amp;EOMONTH(A32,-1)+1,猫统计!BF:BF,"&lt;="&amp;EOMONTH(A32,0))+COUNTIFS(猫统计!BL:BL,"&gt;="&amp;EOMONTH(A32,-1)+1,猫统计!BL:BL,"&lt;="&amp;EOMONTH(A32,0))</f>
        <v>2</v>
      </c>
      <c r="C32" s="2">
        <f t="shared" si="2"/>
        <v>7</v>
      </c>
      <c r="D32" s="2">
        <f>SUMIFS(猫统计!L:L,猫统计!J:J,"&gt;="&amp;EOMONTH(A32,-1)+1,猫统计!J:J,"&lt;="&amp;EOMONTH(A32,0))+SUMIFS(猫统计!R:R,猫统计!P:P,"&gt;="&amp;EOMONTH(A32,-1)+1,猫统计!P:P,"&lt;="&amp;EOMONTH(A32,0))+SUMIFS(猫统计!X:X,猫统计!V:V,"&gt;="&amp;EOMONTH(A32,-1)+1,猫统计!V:V,"&lt;="&amp;EOMONTH(A32,0))+SUMIFS(猫统计!AD:AD,猫统计!AB:AB,"&gt;="&amp;EOMONTH(A32,-1)+1,猫统计!AB:AB,"&lt;="&amp;EOMONTH(A32,0))+SUMIFS(猫统计!AJ:AJ,猫统计!AH:AH,"&gt;="&amp;EOMONTH(A32,-1)+1,猫统计!AH:AH,"&lt;="&amp;EOMONTH(A32,0))+SUMIFS(猫统计!AP:AP,猫统计!AN:AN,"&gt;="&amp;EOMONTH(A32,-1)+1,猫统计!AN:AN,"&lt;="&amp;EOMONTH(A32,0))+SUMIFS(猫统计!AV:AV,猫统计!AT:AT,"&gt;="&amp;EOMONTH(A32,-1)+1,猫统计!AT:AT,"&lt;="&amp;EOMONTH(A32,0))+SUMIFS(猫统计!BB:BB,猫统计!AZ:AZ,"&gt;="&amp;EOMONTH(A32,-1)+1,猫统计!AZ:AZ,"&lt;="&amp;EOMONTH(A32,0))+SUMIFS(猫统计!BH:BH,猫统计!BF:BF,"&gt;="&amp;EOMONTH(A32,-1)+1,猫统计!BF:BF,"&lt;="&amp;EOMONTH(A32,0))+SUMIFS(猫统计!BN:BN,猫统计!BL:BL,"&gt;="&amp;EOMONTH(A32,-1)+1,猫统计!BL:BL,"&lt;="&amp;EOMONTH(A32,0))</f>
        <v>0</v>
      </c>
      <c r="E32" s="2">
        <f>SUMIFS(猫统计!M:M,猫统计!J:J,"&gt;="&amp;EOMONTH(A32,-1)+1,猫统计!J:J,"&lt;="&amp;EOMONTH(A32,0))+SUMIFS(猫统计!S:S,猫统计!P:P,"&gt;="&amp;EOMONTH(A32,-1)+1,猫统计!P:P,"&lt;="&amp;EOMONTH(A32,0))+SUMIFS(猫统计!Y:Y,猫统计!V:V,"&gt;="&amp;EOMONTH(A32,-1)+1,猫统计!V:V,"&lt;="&amp;EOMONTH(A32,0))+SUMIFS(猫统计!AE:AE,猫统计!AB:AB,"&gt;="&amp;EOMONTH(A32,-1)+1,猫统计!AB:AB,"&lt;="&amp;EOMONTH(A32,0))+SUMIFS(猫统计!AK:AK,猫统计!AH:AH,"&gt;="&amp;EOMONTH(A32,-1)+1,猫统计!AH:AH,"&lt;="&amp;EOMONTH(A32,0))+SUMIFS(猫统计!AQ:AQ,猫统计!AN:AN,"&gt;="&amp;EOMONTH(A32,-1)+1,猫统计!AN:AN,"&lt;="&amp;EOMONTH(A32,0))+SUMIFS(猫统计!AW:AW,猫统计!AT:AT,"&gt;="&amp;EOMONTH(A32,-1)+1,猫统计!AT:AT,"&lt;="&amp;EOMONTH(A32,0))+SUMIFS(猫统计!BC:BC,猫统计!AZ:AZ,"&gt;="&amp;EOMONTH(A32,-1)+1,猫统计!AZ:AZ,"&lt;="&amp;EOMONTH(A32,0))+SUMIFS(猫统计!BI:BI,猫统计!BF:BF,"&gt;="&amp;EOMONTH(A32,-1)+1,猫统计!BF:BF,"&lt;="&amp;EOMONTH(A32,0))+SUMIFS(猫统计!BO:BO,猫统计!BL:BL,"&gt;="&amp;EOMONTH(A32,-1)+1,猫统计!BL:BL,"&lt;="&amp;EOMONTH(A32,0))</f>
        <v>7</v>
      </c>
      <c r="F32" s="5"/>
      <c r="G32" s="5"/>
    </row>
    <row r="33" spans="1:7" ht="16.5" thickTop="1" thickBot="1">
      <c r="A33" s="3">
        <v>44958</v>
      </c>
      <c r="B33" s="6">
        <f>COUNTIFS(猫统计!J:J,"&gt;="&amp;EOMONTH(A33,-1)+1,猫统计!J:J,"&lt;="&amp;EOMONTH(A33,0))+COUNTIFS(猫统计!P:P,"&gt;="&amp;EOMONTH(A33,-1)+1,猫统计!P:P,"&lt;="&amp;EOMONTH(A33,0))+COUNTIFS(猫统计!V:V,"&gt;="&amp;EOMONTH(A33,-1)+1,猫统计!V:V,"&lt;="&amp;EOMONTH(A33,0))+COUNTIFS(猫统计!AB:AB,"&gt;="&amp;EOMONTH(A33,-1)+1,猫统计!AB:AB,"&lt;="&amp;EOMONTH(A33,0))+COUNTIFS(猫统计!AH:AH,"&gt;="&amp;EOMONTH(A33,-1)+1,猫统计!AH:AH,"&lt;="&amp;EOMONTH(A33,0))+COUNTIFS(猫统计!AN:AN,"&gt;="&amp;EOMONTH(A33,-1)+1,猫统计!AN:AN,"&lt;="&amp;EOMONTH(A33,0))+COUNTIFS(猫统计!AT:AT,"&gt;="&amp;EOMONTH(A33,-1)+1,猫统计!AT:AT,"&lt;="&amp;EOMONTH(A33,0))+COUNTIFS(猫统计!AZ:AZ,"&gt;="&amp;EOMONTH(A33,-1)+1,猫统计!AZ:AZ,"&lt;="&amp;EOMONTH(A33,0))+COUNTIFS(猫统计!BF:BF,"&gt;="&amp;EOMONTH(A33,-1)+1,猫统计!BF:BF,"&lt;="&amp;EOMONTH(A33,0))+COUNTIFS(猫统计!BL:BL,"&gt;="&amp;EOMONTH(A33,-1)+1,猫统计!BL:BL,"&lt;="&amp;EOMONTH(A33,0))</f>
        <v>3</v>
      </c>
      <c r="C33" s="2">
        <f t="shared" si="2"/>
        <v>10</v>
      </c>
      <c r="D33" s="2">
        <f>SUMIFS(猫统计!L:L,猫统计!J:J,"&gt;="&amp;EOMONTH(A33,-1)+1,猫统计!J:J,"&lt;="&amp;EOMONTH(A33,0))+SUMIFS(猫统计!R:R,猫统计!P:P,"&gt;="&amp;EOMONTH(A33,-1)+1,猫统计!P:P,"&lt;="&amp;EOMONTH(A33,0))+SUMIFS(猫统计!X:X,猫统计!V:V,"&gt;="&amp;EOMONTH(A33,-1)+1,猫统计!V:V,"&lt;="&amp;EOMONTH(A33,0))+SUMIFS(猫统计!AD:AD,猫统计!AB:AB,"&gt;="&amp;EOMONTH(A33,-1)+1,猫统计!AB:AB,"&lt;="&amp;EOMONTH(A33,0))+SUMIFS(猫统计!AJ:AJ,猫统计!AH:AH,"&gt;="&amp;EOMONTH(A33,-1)+1,猫统计!AH:AH,"&lt;="&amp;EOMONTH(A33,0))+SUMIFS(猫统计!AP:AP,猫统计!AN:AN,"&gt;="&amp;EOMONTH(A33,-1)+1,猫统计!AN:AN,"&lt;="&amp;EOMONTH(A33,0))+SUMIFS(猫统计!AV:AV,猫统计!AT:AT,"&gt;="&amp;EOMONTH(A33,-1)+1,猫统计!AT:AT,"&lt;="&amp;EOMONTH(A33,0))+SUMIFS(猫统计!BB:BB,猫统计!AZ:AZ,"&gt;="&amp;EOMONTH(A33,-1)+1,猫统计!AZ:AZ,"&lt;="&amp;EOMONTH(A33,0))+SUMIFS(猫统计!BH:BH,猫统计!BF:BF,"&gt;="&amp;EOMONTH(A33,-1)+1,猫统计!BF:BF,"&lt;="&amp;EOMONTH(A33,0))+SUMIFS(猫统计!BN:BN,猫统计!BL:BL,"&gt;="&amp;EOMONTH(A33,-1)+1,猫统计!BL:BL,"&lt;="&amp;EOMONTH(A33,0))</f>
        <v>5</v>
      </c>
      <c r="E33" s="2">
        <f>SUMIFS(猫统计!M:M,猫统计!J:J,"&gt;="&amp;EOMONTH(A33,-1)+1,猫统计!J:J,"&lt;="&amp;EOMONTH(A33,0))+SUMIFS(猫统计!S:S,猫统计!P:P,"&gt;="&amp;EOMONTH(A33,-1)+1,猫统计!P:P,"&lt;="&amp;EOMONTH(A33,0))+SUMIFS(猫统计!Y:Y,猫统计!V:V,"&gt;="&amp;EOMONTH(A33,-1)+1,猫统计!V:V,"&lt;="&amp;EOMONTH(A33,0))+SUMIFS(猫统计!AE:AE,猫统计!AB:AB,"&gt;="&amp;EOMONTH(A33,-1)+1,猫统计!AB:AB,"&lt;="&amp;EOMONTH(A33,0))+SUMIFS(猫统计!AK:AK,猫统计!AH:AH,"&gt;="&amp;EOMONTH(A33,-1)+1,猫统计!AH:AH,"&lt;="&amp;EOMONTH(A33,0))+SUMIFS(猫统计!AQ:AQ,猫统计!AN:AN,"&gt;="&amp;EOMONTH(A33,-1)+1,猫统计!AN:AN,"&lt;="&amp;EOMONTH(A33,0))+SUMIFS(猫统计!AW:AW,猫统计!AT:AT,"&gt;="&amp;EOMONTH(A33,-1)+1,猫统计!AT:AT,"&lt;="&amp;EOMONTH(A33,0))+SUMIFS(猫统计!BC:BC,猫统计!AZ:AZ,"&gt;="&amp;EOMONTH(A33,-1)+1,猫统计!AZ:AZ,"&lt;="&amp;EOMONTH(A33,0))+SUMIFS(猫统计!BI:BI,猫统计!BF:BF,"&gt;="&amp;EOMONTH(A33,-1)+1,猫统计!BF:BF,"&lt;="&amp;EOMONTH(A33,0))+SUMIFS(猫统计!BO:BO,猫统计!BL:BL,"&gt;="&amp;EOMONTH(A33,-1)+1,猫统计!BL:BL,"&lt;="&amp;EOMONTH(A33,0))</f>
        <v>5</v>
      </c>
      <c r="F33" s="5"/>
      <c r="G33" s="5"/>
    </row>
    <row r="34" spans="1:7" ht="16.5" thickTop="1" thickBot="1">
      <c r="A34" s="3">
        <v>44986</v>
      </c>
      <c r="B34" s="6">
        <f>COUNTIFS(猫统计!J:J,"&gt;="&amp;EOMONTH(A34,-1)+1,猫统计!J:J,"&lt;="&amp;EOMONTH(A34,0))+COUNTIFS(猫统计!P:P,"&gt;="&amp;EOMONTH(A34,-1)+1,猫统计!P:P,"&lt;="&amp;EOMONTH(A34,0))+COUNTIFS(猫统计!V:V,"&gt;="&amp;EOMONTH(A34,-1)+1,猫统计!V:V,"&lt;="&amp;EOMONTH(A34,0))+COUNTIFS(猫统计!AB:AB,"&gt;="&amp;EOMONTH(A34,-1)+1,猫统计!AB:AB,"&lt;="&amp;EOMONTH(A34,0))+COUNTIFS(猫统计!AH:AH,"&gt;="&amp;EOMONTH(A34,-1)+1,猫统计!AH:AH,"&lt;="&amp;EOMONTH(A34,0))+COUNTIFS(猫统计!AN:AN,"&gt;="&amp;EOMONTH(A34,-1)+1,猫统计!AN:AN,"&lt;="&amp;EOMONTH(A34,0))+COUNTIFS(猫统计!AT:AT,"&gt;="&amp;EOMONTH(A34,-1)+1,猫统计!AT:AT,"&lt;="&amp;EOMONTH(A34,0))+COUNTIFS(猫统计!AZ:AZ,"&gt;="&amp;EOMONTH(A34,-1)+1,猫统计!AZ:AZ,"&lt;="&amp;EOMONTH(A34,0))+COUNTIFS(猫统计!BF:BF,"&gt;="&amp;EOMONTH(A34,-1)+1,猫统计!BF:BF,"&lt;="&amp;EOMONTH(A34,0))+COUNTIFS(猫统计!BL:BL,"&gt;="&amp;EOMONTH(A34,-1)+1,猫统计!BL:BL,"&lt;="&amp;EOMONTH(A34,0))</f>
        <v>5</v>
      </c>
      <c r="C34" s="2">
        <f t="shared" si="2"/>
        <v>20</v>
      </c>
      <c r="D34" s="2">
        <f>SUMIFS(猫统计!L:L,猫统计!J:J,"&gt;="&amp;EOMONTH(A34,-1)+1,猫统计!J:J,"&lt;="&amp;EOMONTH(A34,0))+SUMIFS(猫统计!R:R,猫统计!P:P,"&gt;="&amp;EOMONTH(A34,-1)+1,猫统计!P:P,"&lt;="&amp;EOMONTH(A34,0))+SUMIFS(猫统计!X:X,猫统计!V:V,"&gt;="&amp;EOMONTH(A34,-1)+1,猫统计!V:V,"&lt;="&amp;EOMONTH(A34,0))+SUMIFS(猫统计!AD:AD,猫统计!AB:AB,"&gt;="&amp;EOMONTH(A34,-1)+1,猫统计!AB:AB,"&lt;="&amp;EOMONTH(A34,0))+SUMIFS(猫统计!AJ:AJ,猫统计!AH:AH,"&gt;="&amp;EOMONTH(A34,-1)+1,猫统计!AH:AH,"&lt;="&amp;EOMONTH(A34,0))+SUMIFS(猫统计!AP:AP,猫统计!AN:AN,"&gt;="&amp;EOMONTH(A34,-1)+1,猫统计!AN:AN,"&lt;="&amp;EOMONTH(A34,0))+SUMIFS(猫统计!AV:AV,猫统计!AT:AT,"&gt;="&amp;EOMONTH(A34,-1)+1,猫统计!AT:AT,"&lt;="&amp;EOMONTH(A34,0))+SUMIFS(猫统计!BB:BB,猫统计!AZ:AZ,"&gt;="&amp;EOMONTH(A34,-1)+1,猫统计!AZ:AZ,"&lt;="&amp;EOMONTH(A34,0))+SUMIFS(猫统计!BH:BH,猫统计!BF:BF,"&gt;="&amp;EOMONTH(A34,-1)+1,猫统计!BF:BF,"&lt;="&amp;EOMONTH(A34,0))+SUMIFS(猫统计!BN:BN,猫统计!BL:BL,"&gt;="&amp;EOMONTH(A34,-1)+1,猫统计!BL:BL,"&lt;="&amp;EOMONTH(A34,0))</f>
        <v>3</v>
      </c>
      <c r="E34" s="2">
        <f>SUMIFS(猫统计!M:M,猫统计!J:J,"&gt;="&amp;EOMONTH(A34,-1)+1,猫统计!J:J,"&lt;="&amp;EOMONTH(A34,0))+SUMIFS(猫统计!S:S,猫统计!P:P,"&gt;="&amp;EOMONTH(A34,-1)+1,猫统计!P:P,"&lt;="&amp;EOMONTH(A34,0))+SUMIFS(猫统计!Y:Y,猫统计!V:V,"&gt;="&amp;EOMONTH(A34,-1)+1,猫统计!V:V,"&lt;="&amp;EOMONTH(A34,0))+SUMIFS(猫统计!AE:AE,猫统计!AB:AB,"&gt;="&amp;EOMONTH(A34,-1)+1,猫统计!AB:AB,"&lt;="&amp;EOMONTH(A34,0))+SUMIFS(猫统计!AK:AK,猫统计!AH:AH,"&gt;="&amp;EOMONTH(A34,-1)+1,猫统计!AH:AH,"&lt;="&amp;EOMONTH(A34,0))+SUMIFS(猫统计!AQ:AQ,猫统计!AN:AN,"&gt;="&amp;EOMONTH(A34,-1)+1,猫统计!AN:AN,"&lt;="&amp;EOMONTH(A34,0))+SUMIFS(猫统计!AW:AW,猫统计!AT:AT,"&gt;="&amp;EOMONTH(A34,-1)+1,猫统计!AT:AT,"&lt;="&amp;EOMONTH(A34,0))+SUMIFS(猫统计!BC:BC,猫统计!AZ:AZ,"&gt;="&amp;EOMONTH(A34,-1)+1,猫统计!AZ:AZ,"&lt;="&amp;EOMONTH(A34,0))+SUMIFS(猫统计!BI:BI,猫统计!BF:BF,"&gt;="&amp;EOMONTH(A34,-1)+1,猫统计!BF:BF,"&lt;="&amp;EOMONTH(A34,0))+SUMIFS(猫统计!BO:BO,猫统计!BL:BL,"&gt;="&amp;EOMONTH(A34,-1)+1,猫统计!BL:BL,"&lt;="&amp;EOMONTH(A34,0))</f>
        <v>17</v>
      </c>
      <c r="F34" s="5">
        <f>(E32+E33+E34)/(C32+C33+C34)</f>
        <v>0.78378378378378377</v>
      </c>
      <c r="G34" s="5">
        <f>(E32+E33+E34)/(B32+B33+B34)</f>
        <v>2.9</v>
      </c>
    </row>
    <row r="35" spans="1:7" ht="16.5" thickTop="1" thickBot="1">
      <c r="A35" s="3">
        <v>45017</v>
      </c>
      <c r="B35" s="6">
        <f>COUNTIFS(猫统计!J:J,"&gt;="&amp;EOMONTH(A35,-1)+1,猫统计!J:J,"&lt;="&amp;EOMONTH(A35,0))+COUNTIFS(猫统计!P:P,"&gt;="&amp;EOMONTH(A35,-1)+1,猫统计!P:P,"&lt;="&amp;EOMONTH(A35,0))+COUNTIFS(猫统计!V:V,"&gt;="&amp;EOMONTH(A35,-1)+1,猫统计!V:V,"&lt;="&amp;EOMONTH(A35,0))+COUNTIFS(猫统计!AB:AB,"&gt;="&amp;EOMONTH(A35,-1)+1,猫统计!AB:AB,"&lt;="&amp;EOMONTH(A35,0))+COUNTIFS(猫统计!AH:AH,"&gt;="&amp;EOMONTH(A35,-1)+1,猫统计!AH:AH,"&lt;="&amp;EOMONTH(A35,0))+COUNTIFS(猫统计!AN:AN,"&gt;="&amp;EOMONTH(A35,-1)+1,猫统计!AN:AN,"&lt;="&amp;EOMONTH(A35,0))+COUNTIFS(猫统计!AT:AT,"&gt;="&amp;EOMONTH(A35,-1)+1,猫统计!AT:AT,"&lt;="&amp;EOMONTH(A35,0))+COUNTIFS(猫统计!AZ:AZ,"&gt;="&amp;EOMONTH(A35,-1)+1,猫统计!AZ:AZ,"&lt;="&amp;EOMONTH(A35,0))+COUNTIFS(猫统计!BF:BF,"&gt;="&amp;EOMONTH(A35,-1)+1,猫统计!BF:BF,"&lt;="&amp;EOMONTH(A35,0))+COUNTIFS(猫统计!BL:BL,"&gt;="&amp;EOMONTH(A35,-1)+1,猫统计!BL:BL,"&lt;="&amp;EOMONTH(A35,0))</f>
        <v>3</v>
      </c>
      <c r="C35" s="2">
        <f t="shared" si="2"/>
        <v>12</v>
      </c>
      <c r="D35" s="2">
        <f>SUMIFS(猫统计!L:L,猫统计!J:J,"&gt;="&amp;EOMONTH(A35,-1)+1,猫统计!J:J,"&lt;="&amp;EOMONTH(A35,0))+SUMIFS(猫统计!R:R,猫统计!P:P,"&gt;="&amp;EOMONTH(A35,-1)+1,猫统计!P:P,"&lt;="&amp;EOMONTH(A35,0))+SUMIFS(猫统计!X:X,猫统计!V:V,"&gt;="&amp;EOMONTH(A35,-1)+1,猫统计!V:V,"&lt;="&amp;EOMONTH(A35,0))+SUMIFS(猫统计!AD:AD,猫统计!AB:AB,"&gt;="&amp;EOMONTH(A35,-1)+1,猫统计!AB:AB,"&lt;="&amp;EOMONTH(A35,0))+SUMIFS(猫统计!AJ:AJ,猫统计!AH:AH,"&gt;="&amp;EOMONTH(A35,-1)+1,猫统计!AH:AH,"&lt;="&amp;EOMONTH(A35,0))+SUMIFS(猫统计!AP:AP,猫统计!AN:AN,"&gt;="&amp;EOMONTH(A35,-1)+1,猫统计!AN:AN,"&lt;="&amp;EOMONTH(A35,0))+SUMIFS(猫统计!AV:AV,猫统计!AT:AT,"&gt;="&amp;EOMONTH(A35,-1)+1,猫统计!AT:AT,"&lt;="&amp;EOMONTH(A35,0))+SUMIFS(猫统计!BB:BB,猫统计!AZ:AZ,"&gt;="&amp;EOMONTH(A35,-1)+1,猫统计!AZ:AZ,"&lt;="&amp;EOMONTH(A35,0))+SUMIFS(猫统计!BH:BH,猫统计!BF:BF,"&gt;="&amp;EOMONTH(A35,-1)+1,猫统计!BF:BF,"&lt;="&amp;EOMONTH(A35,0))+SUMIFS(猫统计!BN:BN,猫统计!BL:BL,"&gt;="&amp;EOMONTH(A35,-1)+1,猫统计!BL:BL,"&lt;="&amp;EOMONTH(A35,0))</f>
        <v>0</v>
      </c>
      <c r="E35" s="2">
        <f>SUMIFS(猫统计!M:M,猫统计!J:J,"&gt;="&amp;EOMONTH(A35,-1)+1,猫统计!J:J,"&lt;="&amp;EOMONTH(A35,0))+SUMIFS(猫统计!S:S,猫统计!P:P,"&gt;="&amp;EOMONTH(A35,-1)+1,猫统计!P:P,"&lt;="&amp;EOMONTH(A35,0))+SUMIFS(猫统计!Y:Y,猫统计!V:V,"&gt;="&amp;EOMONTH(A35,-1)+1,猫统计!V:V,"&lt;="&amp;EOMONTH(A35,0))+SUMIFS(猫统计!AE:AE,猫统计!AB:AB,"&gt;="&amp;EOMONTH(A35,-1)+1,猫统计!AB:AB,"&lt;="&amp;EOMONTH(A35,0))+SUMIFS(猫统计!AK:AK,猫统计!AH:AH,"&gt;="&amp;EOMONTH(A35,-1)+1,猫统计!AH:AH,"&lt;="&amp;EOMONTH(A35,0))+SUMIFS(猫统计!AQ:AQ,猫统计!AN:AN,"&gt;="&amp;EOMONTH(A35,-1)+1,猫统计!AN:AN,"&lt;="&amp;EOMONTH(A35,0))+SUMIFS(猫统计!AW:AW,猫统计!AT:AT,"&gt;="&amp;EOMONTH(A35,-1)+1,猫统计!AT:AT,"&lt;="&amp;EOMONTH(A35,0))+SUMIFS(猫统计!BC:BC,猫统计!AZ:AZ,"&gt;="&amp;EOMONTH(A35,-1)+1,猫统计!AZ:AZ,"&lt;="&amp;EOMONTH(A35,0))+SUMIFS(猫统计!BI:BI,猫统计!BF:BF,"&gt;="&amp;EOMONTH(A35,-1)+1,猫统计!BF:BF,"&lt;="&amp;EOMONTH(A35,0))+SUMIFS(猫统计!BO:BO,猫统计!BL:BL,"&gt;="&amp;EOMONTH(A35,-1)+1,猫统计!BL:BL,"&lt;="&amp;EOMONTH(A35,0))</f>
        <v>12</v>
      </c>
      <c r="F35" s="5"/>
      <c r="G35" s="5"/>
    </row>
    <row r="36" spans="1:7" ht="16.5" thickTop="1" thickBot="1">
      <c r="A36" s="3">
        <v>45047</v>
      </c>
      <c r="B36" s="6">
        <f>COUNTIFS(猫统计!J:J,"&gt;="&amp;EOMONTH(A36,-1)+1,猫统计!J:J,"&lt;="&amp;EOMONTH(A36,0))+COUNTIFS(猫统计!P:P,"&gt;="&amp;EOMONTH(A36,-1)+1,猫统计!P:P,"&lt;="&amp;EOMONTH(A36,0))+COUNTIFS(猫统计!V:V,"&gt;="&amp;EOMONTH(A36,-1)+1,猫统计!V:V,"&lt;="&amp;EOMONTH(A36,0))+COUNTIFS(猫统计!AB:AB,"&gt;="&amp;EOMONTH(A36,-1)+1,猫统计!AB:AB,"&lt;="&amp;EOMONTH(A36,0))+COUNTIFS(猫统计!AH:AH,"&gt;="&amp;EOMONTH(A36,-1)+1,猫统计!AH:AH,"&lt;="&amp;EOMONTH(A36,0))+COUNTIFS(猫统计!AN:AN,"&gt;="&amp;EOMONTH(A36,-1)+1,猫统计!AN:AN,"&lt;="&amp;EOMONTH(A36,0))+COUNTIFS(猫统计!AT:AT,"&gt;="&amp;EOMONTH(A36,-1)+1,猫统计!AT:AT,"&lt;="&amp;EOMONTH(A36,0))+COUNTIFS(猫统计!AZ:AZ,"&gt;="&amp;EOMONTH(A36,-1)+1,猫统计!AZ:AZ,"&lt;="&amp;EOMONTH(A36,0))+COUNTIFS(猫统计!BF:BF,"&gt;="&amp;EOMONTH(A36,-1)+1,猫统计!BF:BF,"&lt;="&amp;EOMONTH(A36,0))+COUNTIFS(猫统计!BL:BL,"&gt;="&amp;EOMONTH(A36,-1)+1,猫统计!BL:BL,"&lt;="&amp;EOMONTH(A36,0))</f>
        <v>3</v>
      </c>
      <c r="C36" s="2">
        <f>D36+E36</f>
        <v>15</v>
      </c>
      <c r="D36" s="2">
        <f>SUMIFS(猫统计!L:L,猫统计!J:J,"&gt;="&amp;EOMONTH(A36,-1)+1,猫统计!J:J,"&lt;="&amp;EOMONTH(A36,0))+SUMIFS(猫统计!R:R,猫统计!P:P,"&gt;="&amp;EOMONTH(A36,-1)+1,猫统计!P:P,"&lt;="&amp;EOMONTH(A36,0))+SUMIFS(猫统计!X:X,猫统计!V:V,"&gt;="&amp;EOMONTH(A36,-1)+1,猫统计!V:V,"&lt;="&amp;EOMONTH(A36,0))+SUMIFS(猫统计!AD:AD,猫统计!AB:AB,"&gt;="&amp;EOMONTH(A36,-1)+1,猫统计!AB:AB,"&lt;="&amp;EOMONTH(A36,0))+SUMIFS(猫统计!AJ:AJ,猫统计!AH:AH,"&gt;="&amp;EOMONTH(A36,-1)+1,猫统计!AH:AH,"&lt;="&amp;EOMONTH(A36,0))+SUMIFS(猫统计!AP:AP,猫统计!AN:AN,"&gt;="&amp;EOMONTH(A36,-1)+1,猫统计!AN:AN,"&lt;="&amp;EOMONTH(A36,0))+SUMIFS(猫统计!AV:AV,猫统计!AT:AT,"&gt;="&amp;EOMONTH(A36,-1)+1,猫统计!AT:AT,"&lt;="&amp;EOMONTH(A36,0))+SUMIFS(猫统计!BB:BB,猫统计!AZ:AZ,"&gt;="&amp;EOMONTH(A36,-1)+1,猫统计!AZ:AZ,"&lt;="&amp;EOMONTH(A36,0))+SUMIFS(猫统计!BH:BH,猫统计!BF:BF,"&gt;="&amp;EOMONTH(A36,-1)+1,猫统计!BF:BF,"&lt;="&amp;EOMONTH(A36,0))+SUMIFS(猫统计!BN:BN,猫统计!BL:BL,"&gt;="&amp;EOMONTH(A36,-1)+1,猫统计!BL:BL,"&lt;="&amp;EOMONTH(A36,0))</f>
        <v>8</v>
      </c>
      <c r="E36" s="2">
        <f>SUMIFS(猫统计!M:M,猫统计!J:J,"&gt;="&amp;EOMONTH(A36,-1)+1,猫统计!J:J,"&lt;="&amp;EOMONTH(A36,0))+SUMIFS(猫统计!S:S,猫统计!P:P,"&gt;="&amp;EOMONTH(A36,-1)+1,猫统计!P:P,"&lt;="&amp;EOMONTH(A36,0))+SUMIFS(猫统计!Y:Y,猫统计!V:V,"&gt;="&amp;EOMONTH(A36,-1)+1,猫统计!V:V,"&lt;="&amp;EOMONTH(A36,0))+SUMIFS(猫统计!AE:AE,猫统计!AB:AB,"&gt;="&amp;EOMONTH(A36,-1)+1,猫统计!AB:AB,"&lt;="&amp;EOMONTH(A36,0))+SUMIFS(猫统计!AK:AK,猫统计!AH:AH,"&gt;="&amp;EOMONTH(A36,-1)+1,猫统计!AH:AH,"&lt;="&amp;EOMONTH(A36,0))+SUMIFS(猫统计!AQ:AQ,猫统计!AN:AN,"&gt;="&amp;EOMONTH(A36,-1)+1,猫统计!AN:AN,"&lt;="&amp;EOMONTH(A36,0))+SUMIFS(猫统计!AW:AW,猫统计!AT:AT,"&gt;="&amp;EOMONTH(A36,-1)+1,猫统计!AT:AT,"&lt;="&amp;EOMONTH(A36,0))+SUMIFS(猫统计!BC:BC,猫统计!AZ:AZ,"&gt;="&amp;EOMONTH(A36,-1)+1,猫统计!AZ:AZ,"&lt;="&amp;EOMONTH(A36,0))+SUMIFS(猫统计!BI:BI,猫统计!BF:BF,"&gt;="&amp;EOMONTH(A36,-1)+1,猫统计!BF:BF,"&lt;="&amp;EOMONTH(A36,0))+SUMIFS(猫统计!BO:BO,猫统计!BL:BL,"&gt;="&amp;EOMONTH(A36,-1)+1,猫统计!BL:BL,"&lt;="&amp;EOMONTH(A36,0))</f>
        <v>7</v>
      </c>
      <c r="F36" s="5"/>
      <c r="G36" s="5"/>
    </row>
    <row r="37" spans="1:7" ht="16.5" thickTop="1" thickBot="1">
      <c r="A37" s="3">
        <v>45078</v>
      </c>
      <c r="B37" s="6">
        <f>COUNTIFS(猫统计!J:J,"&gt;="&amp;EOMONTH(A37,-1)+1,猫统计!J:J,"&lt;="&amp;EOMONTH(A37,0))+COUNTIFS(猫统计!P:P,"&gt;="&amp;EOMONTH(A37,-1)+1,猫统计!P:P,"&lt;="&amp;EOMONTH(A37,0))+COUNTIFS(猫统计!V:V,"&gt;="&amp;EOMONTH(A37,-1)+1,猫统计!V:V,"&lt;="&amp;EOMONTH(A37,0))+COUNTIFS(猫统计!AB:AB,"&gt;="&amp;EOMONTH(A37,-1)+1,猫统计!AB:AB,"&lt;="&amp;EOMONTH(A37,0))+COUNTIFS(猫统计!AH:AH,"&gt;="&amp;EOMONTH(A37,-1)+1,猫统计!AH:AH,"&lt;="&amp;EOMONTH(A37,0))+COUNTIFS(猫统计!AN:AN,"&gt;="&amp;EOMONTH(A37,-1)+1,猫统计!AN:AN,"&lt;="&amp;EOMONTH(A37,0))+COUNTIFS(猫统计!AT:AT,"&gt;="&amp;EOMONTH(A37,-1)+1,猫统计!AT:AT,"&lt;="&amp;EOMONTH(A37,0))+COUNTIFS(猫统计!AZ:AZ,"&gt;="&amp;EOMONTH(A37,-1)+1,猫统计!AZ:AZ,"&lt;="&amp;EOMONTH(A37,0))+COUNTIFS(猫统计!BF:BF,"&gt;="&amp;EOMONTH(A37,-1)+1,猫统计!BF:BF,"&lt;="&amp;EOMONTH(A37,0))+COUNTIFS(猫统计!BL:BL,"&gt;="&amp;EOMONTH(A37,-1)+1,猫统计!BL:BL,"&lt;="&amp;EOMONTH(A37,0))</f>
        <v>1</v>
      </c>
      <c r="C37" s="2">
        <f>D37+E37</f>
        <v>7</v>
      </c>
      <c r="D37" s="2">
        <f>SUMIFS(猫统计!L:L,猫统计!J:J,"&gt;="&amp;EOMONTH(A37,-1)+1,猫统计!J:J,"&lt;="&amp;EOMONTH(A37,0))+SUMIFS(猫统计!R:R,猫统计!P:P,"&gt;="&amp;EOMONTH(A37,-1)+1,猫统计!P:P,"&lt;="&amp;EOMONTH(A37,0))+SUMIFS(猫统计!X:X,猫统计!V:V,"&gt;="&amp;EOMONTH(A37,-1)+1,猫统计!V:V,"&lt;="&amp;EOMONTH(A37,0))+SUMIFS(猫统计!AD:AD,猫统计!AB:AB,"&gt;="&amp;EOMONTH(A37,-1)+1,猫统计!AB:AB,"&lt;="&amp;EOMONTH(A37,0))+SUMIFS(猫统计!AJ:AJ,猫统计!AH:AH,"&gt;="&amp;EOMONTH(A37,-1)+1,猫统计!AH:AH,"&lt;="&amp;EOMONTH(A37,0))+SUMIFS(猫统计!AP:AP,猫统计!AN:AN,"&gt;="&amp;EOMONTH(A37,-1)+1,猫统计!AN:AN,"&lt;="&amp;EOMONTH(A37,0))+SUMIFS(猫统计!AV:AV,猫统计!AT:AT,"&gt;="&amp;EOMONTH(A37,-1)+1,猫统计!AT:AT,"&lt;="&amp;EOMONTH(A37,0))+SUMIFS(猫统计!BB:BB,猫统计!AZ:AZ,"&gt;="&amp;EOMONTH(A37,-1)+1,猫统计!AZ:AZ,"&lt;="&amp;EOMONTH(A37,0))+SUMIFS(猫统计!BH:BH,猫统计!BF:BF,"&gt;="&amp;EOMONTH(A37,-1)+1,猫统计!BF:BF,"&lt;="&amp;EOMONTH(A37,0))+SUMIFS(猫统计!BN:BN,猫统计!BL:BL,"&gt;="&amp;EOMONTH(A37,-1)+1,猫统计!BL:BL,"&lt;="&amp;EOMONTH(A37,0))</f>
        <v>3</v>
      </c>
      <c r="E37" s="2">
        <f>SUMIFS(猫统计!M:M,猫统计!J:J,"&gt;="&amp;EOMONTH(A37,-1)+1,猫统计!J:J,"&lt;="&amp;EOMONTH(A37,0))+SUMIFS(猫统计!S:S,猫统计!P:P,"&gt;="&amp;EOMONTH(A37,-1)+1,猫统计!P:P,"&lt;="&amp;EOMONTH(A37,0))+SUMIFS(猫统计!Y:Y,猫统计!V:V,"&gt;="&amp;EOMONTH(A37,-1)+1,猫统计!V:V,"&lt;="&amp;EOMONTH(A37,0))+SUMIFS(猫统计!AE:AE,猫统计!AB:AB,"&gt;="&amp;EOMONTH(A37,-1)+1,猫统计!AB:AB,"&lt;="&amp;EOMONTH(A37,0))+SUMIFS(猫统计!AK:AK,猫统计!AH:AH,"&gt;="&amp;EOMONTH(A37,-1)+1,猫统计!AH:AH,"&lt;="&amp;EOMONTH(A37,0))+SUMIFS(猫统计!AQ:AQ,猫统计!AN:AN,"&gt;="&amp;EOMONTH(A37,-1)+1,猫统计!AN:AN,"&lt;="&amp;EOMONTH(A37,0))+SUMIFS(猫统计!AW:AW,猫统计!AT:AT,"&gt;="&amp;EOMONTH(A37,-1)+1,猫统计!AT:AT,"&lt;="&amp;EOMONTH(A37,0))+SUMIFS(猫统计!BC:BC,猫统计!AZ:AZ,"&gt;="&amp;EOMONTH(A37,-1)+1,猫统计!AZ:AZ,"&lt;="&amp;EOMONTH(A37,0))+SUMIFS(猫统计!BI:BI,猫统计!BF:BF,"&gt;="&amp;EOMONTH(A37,-1)+1,猫统计!BF:BF,"&lt;="&amp;EOMONTH(A37,0))+SUMIFS(猫统计!BO:BO,猫统计!BL:BL,"&gt;="&amp;EOMONTH(A37,-1)+1,猫统计!BL:BL,"&lt;="&amp;EOMONTH(A37,0))</f>
        <v>4</v>
      </c>
      <c r="F37" s="5">
        <f>(E35+E36+E37)/(C35+C36+C37)</f>
        <v>0.67647058823529416</v>
      </c>
      <c r="G37" s="5">
        <f>(E35+E36+E37)/(B35+B36+B37)</f>
        <v>3.2857142857142856</v>
      </c>
    </row>
    <row r="38" spans="1:7" ht="16.5" thickTop="1" thickBot="1">
      <c r="A38" s="3">
        <v>45108</v>
      </c>
      <c r="B38" s="6">
        <f>COUNTIFS(猫统计!J:J,"&gt;="&amp;EOMONTH(A38,-1)+1,猫统计!J:J,"&lt;="&amp;EOMONTH(A38,0))+COUNTIFS(猫统计!P:P,"&gt;="&amp;EOMONTH(A38,-1)+1,猫统计!P:P,"&lt;="&amp;EOMONTH(A38,0))+COUNTIFS(猫统计!V:V,"&gt;="&amp;EOMONTH(A38,-1)+1,猫统计!V:V,"&lt;="&amp;EOMONTH(A38,0))+COUNTIFS(猫统计!AB:AB,"&gt;="&amp;EOMONTH(A38,-1)+1,猫统计!AB:AB,"&lt;="&amp;EOMONTH(A38,0))+COUNTIFS(猫统计!AH:AH,"&gt;="&amp;EOMONTH(A38,-1)+1,猫统计!AH:AH,"&lt;="&amp;EOMONTH(A38,0))+COUNTIFS(猫统计!AN:AN,"&gt;="&amp;EOMONTH(A38,-1)+1,猫统计!AN:AN,"&lt;="&amp;EOMONTH(A38,0))+COUNTIFS(猫统计!AT:AT,"&gt;="&amp;EOMONTH(A38,-1)+1,猫统计!AT:AT,"&lt;="&amp;EOMONTH(A38,0))+COUNTIFS(猫统计!AZ:AZ,"&gt;="&amp;EOMONTH(A38,-1)+1,猫统计!AZ:AZ,"&lt;="&amp;EOMONTH(A38,0))+COUNTIFS(猫统计!BF:BF,"&gt;="&amp;EOMONTH(A38,-1)+1,猫统计!BF:BF,"&lt;="&amp;EOMONTH(A38,0))+COUNTIFS(猫统计!BL:BL,"&gt;="&amp;EOMONTH(A38,-1)+1,猫统计!BL:BL,"&lt;="&amp;EOMONTH(A38,0))</f>
        <v>1</v>
      </c>
      <c r="C38" s="2">
        <f>D38+E38</f>
        <v>6</v>
      </c>
      <c r="D38" s="2">
        <f>SUMIFS(猫统计!L:L,猫统计!J:J,"&gt;="&amp;EOMONTH(A38,-1)+1,猫统计!J:J,"&lt;="&amp;EOMONTH(A38,0))+SUMIFS(猫统计!R:R,猫统计!P:P,"&gt;="&amp;EOMONTH(A38,-1)+1,猫统计!P:P,"&lt;="&amp;EOMONTH(A38,0))+SUMIFS(猫统计!X:X,猫统计!V:V,"&gt;="&amp;EOMONTH(A38,-1)+1,猫统计!V:V,"&lt;="&amp;EOMONTH(A38,0))+SUMIFS(猫统计!AD:AD,猫统计!AB:AB,"&gt;="&amp;EOMONTH(A38,-1)+1,猫统计!AB:AB,"&lt;="&amp;EOMONTH(A38,0))+SUMIFS(猫统计!AJ:AJ,猫统计!AH:AH,"&gt;="&amp;EOMONTH(A38,-1)+1,猫统计!AH:AH,"&lt;="&amp;EOMONTH(A38,0))+SUMIFS(猫统计!AP:AP,猫统计!AN:AN,"&gt;="&amp;EOMONTH(A38,-1)+1,猫统计!AN:AN,"&lt;="&amp;EOMONTH(A38,0))+SUMIFS(猫统计!AV:AV,猫统计!AT:AT,"&gt;="&amp;EOMONTH(A38,-1)+1,猫统计!AT:AT,"&lt;="&amp;EOMONTH(A38,0))+SUMIFS(猫统计!BB:BB,猫统计!AZ:AZ,"&gt;="&amp;EOMONTH(A38,-1)+1,猫统计!AZ:AZ,"&lt;="&amp;EOMONTH(A38,0))+SUMIFS(猫统计!BH:BH,猫统计!BF:BF,"&gt;="&amp;EOMONTH(A38,-1)+1,猫统计!BF:BF,"&lt;="&amp;EOMONTH(A38,0))+SUMIFS(猫统计!BN:BN,猫统计!BL:BL,"&gt;="&amp;EOMONTH(A38,-1)+1,猫统计!BL:BL,"&lt;="&amp;EOMONTH(A38,0))</f>
        <v>0</v>
      </c>
      <c r="E38" s="2">
        <f>SUMIFS(猫统计!M:M,猫统计!J:J,"&gt;="&amp;EOMONTH(A38,-1)+1,猫统计!J:J,"&lt;="&amp;EOMONTH(A38,0))+SUMIFS(猫统计!S:S,猫统计!P:P,"&gt;="&amp;EOMONTH(A38,-1)+1,猫统计!P:P,"&lt;="&amp;EOMONTH(A38,0))+SUMIFS(猫统计!Y:Y,猫统计!V:V,"&gt;="&amp;EOMONTH(A38,-1)+1,猫统计!V:V,"&lt;="&amp;EOMONTH(A38,0))+SUMIFS(猫统计!AE:AE,猫统计!AB:AB,"&gt;="&amp;EOMONTH(A38,-1)+1,猫统计!AB:AB,"&lt;="&amp;EOMONTH(A38,0))+SUMIFS(猫统计!AK:AK,猫统计!AH:AH,"&gt;="&amp;EOMONTH(A38,-1)+1,猫统计!AH:AH,"&lt;="&amp;EOMONTH(A38,0))+SUMIFS(猫统计!AQ:AQ,猫统计!AN:AN,"&gt;="&amp;EOMONTH(A38,-1)+1,猫统计!AN:AN,"&lt;="&amp;EOMONTH(A38,0))+SUMIFS(猫统计!AW:AW,猫统计!AT:AT,"&gt;="&amp;EOMONTH(A38,-1)+1,猫统计!AT:AT,"&lt;="&amp;EOMONTH(A38,0))+SUMIFS(猫统计!BC:BC,猫统计!AZ:AZ,"&gt;="&amp;EOMONTH(A38,-1)+1,猫统计!AZ:AZ,"&lt;="&amp;EOMONTH(A38,0))+SUMIFS(猫统计!BI:BI,猫统计!BF:BF,"&gt;="&amp;EOMONTH(A38,-1)+1,猫统计!BF:BF,"&lt;="&amp;EOMONTH(A38,0))+SUMIFS(猫统计!BO:BO,猫统计!BL:BL,"&gt;="&amp;EOMONTH(A38,-1)+1,猫统计!BL:BL,"&lt;="&amp;EOMONTH(A38,0))</f>
        <v>6</v>
      </c>
      <c r="F38" s="5"/>
      <c r="G38" s="5"/>
    </row>
    <row r="39" spans="1:7" ht="16.5" thickTop="1" thickBot="1">
      <c r="A39" s="3">
        <v>45139</v>
      </c>
      <c r="B39" s="6">
        <f>COUNTIFS(猫统计!J:J,"&gt;="&amp;EOMONTH(A39,-1)+1,猫统计!J:J,"&lt;="&amp;EOMONTH(A39,0))+COUNTIFS(猫统计!P:P,"&gt;="&amp;EOMONTH(A39,-1)+1,猫统计!P:P,"&lt;="&amp;EOMONTH(A39,0))+COUNTIFS(猫统计!V:V,"&gt;="&amp;EOMONTH(A39,-1)+1,猫统计!V:V,"&lt;="&amp;EOMONTH(A39,0))+COUNTIFS(猫统计!AB:AB,"&gt;="&amp;EOMONTH(A39,-1)+1,猫统计!AB:AB,"&lt;="&amp;EOMONTH(A39,0))+COUNTIFS(猫统计!AH:AH,"&gt;="&amp;EOMONTH(A39,-1)+1,猫统计!AH:AH,"&lt;="&amp;EOMONTH(A39,0))+COUNTIFS(猫统计!AN:AN,"&gt;="&amp;EOMONTH(A39,-1)+1,猫统计!AN:AN,"&lt;="&amp;EOMONTH(A39,0))+COUNTIFS(猫统计!AT:AT,"&gt;="&amp;EOMONTH(A39,-1)+1,猫统计!AT:AT,"&lt;="&amp;EOMONTH(A39,0))+COUNTIFS(猫统计!AZ:AZ,"&gt;="&amp;EOMONTH(A39,-1)+1,猫统计!AZ:AZ,"&lt;="&amp;EOMONTH(A39,0))+COUNTIFS(猫统计!BF:BF,"&gt;="&amp;EOMONTH(A39,-1)+1,猫统计!BF:BF,"&lt;="&amp;EOMONTH(A39,0))+COUNTIFS(猫统计!BL:BL,"&gt;="&amp;EOMONTH(A39,-1)+1,猫统计!BL:BL,"&lt;="&amp;EOMONTH(A39,0))</f>
        <v>2</v>
      </c>
      <c r="C39" s="2">
        <f>D39+E39</f>
        <v>10</v>
      </c>
      <c r="D39" s="2">
        <f>SUMIFS(猫统计!L:L,猫统计!J:J,"&gt;="&amp;EOMONTH(A39,-1)+1,猫统计!J:J,"&lt;="&amp;EOMONTH(A39,0))+SUMIFS(猫统计!R:R,猫统计!P:P,"&gt;="&amp;EOMONTH(A39,-1)+1,猫统计!P:P,"&lt;="&amp;EOMONTH(A39,0))+SUMIFS(猫统计!X:X,猫统计!V:V,"&gt;="&amp;EOMONTH(A39,-1)+1,猫统计!V:V,"&lt;="&amp;EOMONTH(A39,0))+SUMIFS(猫统计!AD:AD,猫统计!AB:AB,"&gt;="&amp;EOMONTH(A39,-1)+1,猫统计!AB:AB,"&lt;="&amp;EOMONTH(A39,0))+SUMIFS(猫统计!AJ:AJ,猫统计!AH:AH,"&gt;="&amp;EOMONTH(A39,-1)+1,猫统计!AH:AH,"&lt;="&amp;EOMONTH(A39,0))+SUMIFS(猫统计!AP:AP,猫统计!AN:AN,"&gt;="&amp;EOMONTH(A39,-1)+1,猫统计!AN:AN,"&lt;="&amp;EOMONTH(A39,0))+SUMIFS(猫统计!AV:AV,猫统计!AT:AT,"&gt;="&amp;EOMONTH(A39,-1)+1,猫统计!AT:AT,"&lt;="&amp;EOMONTH(A39,0))+SUMIFS(猫统计!BB:BB,猫统计!AZ:AZ,"&gt;="&amp;EOMONTH(A39,-1)+1,猫统计!AZ:AZ,"&lt;="&amp;EOMONTH(A39,0))+SUMIFS(猫统计!BH:BH,猫统计!BF:BF,"&gt;="&amp;EOMONTH(A39,-1)+1,猫统计!BF:BF,"&lt;="&amp;EOMONTH(A39,0))+SUMIFS(猫统计!BN:BN,猫统计!BL:BL,"&gt;="&amp;EOMONTH(A39,-1)+1,猫统计!BL:BL,"&lt;="&amp;EOMONTH(A39,0))</f>
        <v>0</v>
      </c>
      <c r="E39" s="2">
        <f>SUMIFS(猫统计!M:M,猫统计!J:J,"&gt;="&amp;EOMONTH(A39,-1)+1,猫统计!J:J,"&lt;="&amp;EOMONTH(A39,0))+SUMIFS(猫统计!S:S,猫统计!P:P,"&gt;="&amp;EOMONTH(A39,-1)+1,猫统计!P:P,"&lt;="&amp;EOMONTH(A39,0))+SUMIFS(猫统计!Y:Y,猫统计!V:V,"&gt;="&amp;EOMONTH(A39,-1)+1,猫统计!V:V,"&lt;="&amp;EOMONTH(A39,0))+SUMIFS(猫统计!AE:AE,猫统计!AB:AB,"&gt;="&amp;EOMONTH(A39,-1)+1,猫统计!AB:AB,"&lt;="&amp;EOMONTH(A39,0))+SUMIFS(猫统计!AK:AK,猫统计!AH:AH,"&gt;="&amp;EOMONTH(A39,-1)+1,猫统计!AH:AH,"&lt;="&amp;EOMONTH(A39,0))+SUMIFS(猫统计!AQ:AQ,猫统计!AN:AN,"&gt;="&amp;EOMONTH(A39,-1)+1,猫统计!AN:AN,"&lt;="&amp;EOMONTH(A39,0))+SUMIFS(猫统计!AW:AW,猫统计!AT:AT,"&gt;="&amp;EOMONTH(A39,-1)+1,猫统计!AT:AT,"&lt;="&amp;EOMONTH(A39,0))+SUMIFS(猫统计!BC:BC,猫统计!AZ:AZ,"&gt;="&amp;EOMONTH(A39,-1)+1,猫统计!AZ:AZ,"&lt;="&amp;EOMONTH(A39,0))+SUMIFS(猫统计!BI:BI,猫统计!BF:BF,"&gt;="&amp;EOMONTH(A39,-1)+1,猫统计!BF:BF,"&lt;="&amp;EOMONTH(A39,0))+SUMIFS(猫统计!BO:BO,猫统计!BL:BL,"&gt;="&amp;EOMONTH(A39,-1)+1,猫统计!BL:BL,"&lt;="&amp;EOMONTH(A39,0))</f>
        <v>10</v>
      </c>
      <c r="F39" s="5"/>
      <c r="G39" s="5"/>
    </row>
    <row r="40" spans="1:7" ht="16.5" thickTop="1" thickBot="1">
      <c r="A40" s="3">
        <v>45170</v>
      </c>
      <c r="B40" s="6">
        <f>COUNTIFS(猫统计!J:J,"&gt;="&amp;EOMONTH(A40,-1)+1,猫统计!J:J,"&lt;="&amp;EOMONTH(A40,0))+COUNTIFS(猫统计!P:P,"&gt;="&amp;EOMONTH(A40,-1)+1,猫统计!P:P,"&lt;="&amp;EOMONTH(A40,0))+COUNTIFS(猫统计!V:V,"&gt;="&amp;EOMONTH(A40,-1)+1,猫统计!V:V,"&lt;="&amp;EOMONTH(A40,0))+COUNTIFS(猫统计!AB:AB,"&gt;="&amp;EOMONTH(A40,-1)+1,猫统计!AB:AB,"&lt;="&amp;EOMONTH(A40,0))+COUNTIFS(猫统计!AH:AH,"&gt;="&amp;EOMONTH(A40,-1)+1,猫统计!AH:AH,"&lt;="&amp;EOMONTH(A40,0))+COUNTIFS(猫统计!AN:AN,"&gt;="&amp;EOMONTH(A40,-1)+1,猫统计!AN:AN,"&lt;="&amp;EOMONTH(A40,0))+COUNTIFS(猫统计!AT:AT,"&gt;="&amp;EOMONTH(A40,-1)+1,猫统计!AT:AT,"&lt;="&amp;EOMONTH(A40,0))+COUNTIFS(猫统计!AZ:AZ,"&gt;="&amp;EOMONTH(A40,-1)+1,猫统计!AZ:AZ,"&lt;="&amp;EOMONTH(A40,0))+COUNTIFS(猫统计!BF:BF,"&gt;="&amp;EOMONTH(A40,-1)+1,猫统计!BF:BF,"&lt;="&amp;EOMONTH(A40,0))+COUNTIFS(猫统计!BL:BL,"&gt;="&amp;EOMONTH(A40,-1)+1,猫统计!BL:BL,"&lt;="&amp;EOMONTH(A40,0))</f>
        <v>3</v>
      </c>
      <c r="C40" s="2">
        <f>D40+E40</f>
        <v>8</v>
      </c>
      <c r="D40" s="2">
        <f>SUMIFS(猫统计!L:L,猫统计!J:J,"&gt;="&amp;EOMONTH(A40,-1)+1,猫统计!J:J,"&lt;="&amp;EOMONTH(A40,0))+SUMIFS(猫统计!R:R,猫统计!P:P,"&gt;="&amp;EOMONTH(A40,-1)+1,猫统计!P:P,"&lt;="&amp;EOMONTH(A40,0))+SUMIFS(猫统计!X:X,猫统计!V:V,"&gt;="&amp;EOMONTH(A40,-1)+1,猫统计!V:V,"&lt;="&amp;EOMONTH(A40,0))+SUMIFS(猫统计!AD:AD,猫统计!AB:AB,"&gt;="&amp;EOMONTH(A40,-1)+1,猫统计!AB:AB,"&lt;="&amp;EOMONTH(A40,0))+SUMIFS(猫统计!AJ:AJ,猫统计!AH:AH,"&gt;="&amp;EOMONTH(A40,-1)+1,猫统计!AH:AH,"&lt;="&amp;EOMONTH(A40,0))+SUMIFS(猫统计!AP:AP,猫统计!AN:AN,"&gt;="&amp;EOMONTH(A40,-1)+1,猫统计!AN:AN,"&lt;="&amp;EOMONTH(A40,0))+SUMIFS(猫统计!AV:AV,猫统计!AT:AT,"&gt;="&amp;EOMONTH(A40,-1)+1,猫统计!AT:AT,"&lt;="&amp;EOMONTH(A40,0))+SUMIFS(猫统计!BB:BB,猫统计!AZ:AZ,"&gt;="&amp;EOMONTH(A40,-1)+1,猫统计!AZ:AZ,"&lt;="&amp;EOMONTH(A40,0))+SUMIFS(猫统计!BH:BH,猫统计!BF:BF,"&gt;="&amp;EOMONTH(A40,-1)+1,猫统计!BF:BF,"&lt;="&amp;EOMONTH(A40,0))+SUMIFS(猫统计!BN:BN,猫统计!BL:BL,"&gt;="&amp;EOMONTH(A40,-1)+1,猫统计!BL:BL,"&lt;="&amp;EOMONTH(A40,0))</f>
        <v>3</v>
      </c>
      <c r="E40" s="2">
        <f>SUMIFS(猫统计!M:M,猫统计!J:J,"&gt;="&amp;EOMONTH(A40,-1)+1,猫统计!J:J,"&lt;="&amp;EOMONTH(A40,0))+SUMIFS(猫统计!S:S,猫统计!P:P,"&gt;="&amp;EOMONTH(A40,-1)+1,猫统计!P:P,"&lt;="&amp;EOMONTH(A40,0))+SUMIFS(猫统计!Y:Y,猫统计!V:V,"&gt;="&amp;EOMONTH(A40,-1)+1,猫统计!V:V,"&lt;="&amp;EOMONTH(A40,0))+SUMIFS(猫统计!AE:AE,猫统计!AB:AB,"&gt;="&amp;EOMONTH(A40,-1)+1,猫统计!AB:AB,"&lt;="&amp;EOMONTH(A40,0))+SUMIFS(猫统计!AK:AK,猫统计!AH:AH,"&gt;="&amp;EOMONTH(A40,-1)+1,猫统计!AH:AH,"&lt;="&amp;EOMONTH(A40,0))+SUMIFS(猫统计!AQ:AQ,猫统计!AN:AN,"&gt;="&amp;EOMONTH(A40,-1)+1,猫统计!AN:AN,"&lt;="&amp;EOMONTH(A40,0))+SUMIFS(猫统计!AW:AW,猫统计!AT:AT,"&gt;="&amp;EOMONTH(A40,-1)+1,猫统计!AT:AT,"&lt;="&amp;EOMONTH(A40,0))+SUMIFS(猫统计!BC:BC,猫统计!AZ:AZ,"&gt;="&amp;EOMONTH(A40,-1)+1,猫统计!AZ:AZ,"&lt;="&amp;EOMONTH(A40,0))+SUMIFS(猫统计!BI:BI,猫统计!BF:BF,"&gt;="&amp;EOMONTH(A40,-1)+1,猫统计!BF:BF,"&lt;="&amp;EOMONTH(A40,0))+SUMIFS(猫统计!BO:BO,猫统计!BL:BL,"&gt;="&amp;EOMONTH(A40,-1)+1,猫统计!BL:BL,"&lt;="&amp;EOMONTH(A40,0))</f>
        <v>5</v>
      </c>
      <c r="F40" s="5">
        <f>(E38+E39+E40)/(C38+C39+C40)</f>
        <v>0.875</v>
      </c>
      <c r="G40" s="5">
        <f>(E38+E39+E40)/(B38+B39+B40)</f>
        <v>3.5</v>
      </c>
    </row>
    <row r="41" spans="1:7" ht="16.5" thickTop="1" thickBot="1">
      <c r="A41" s="3">
        <v>45200</v>
      </c>
      <c r="B41" s="6">
        <f>COUNTIFS(猫统计!J:J,"&gt;="&amp;EOMONTH(A41,-1)+1,猫统计!J:J,"&lt;="&amp;EOMONTH(A41,0))+COUNTIFS(猫统计!P:P,"&gt;="&amp;EOMONTH(A41,-1)+1,猫统计!P:P,"&lt;="&amp;EOMONTH(A41,0))+COUNTIFS(猫统计!V:V,"&gt;="&amp;EOMONTH(A41,-1)+1,猫统计!V:V,"&lt;="&amp;EOMONTH(A41,0))+COUNTIFS(猫统计!AB:AB,"&gt;="&amp;EOMONTH(A41,-1)+1,猫统计!AB:AB,"&lt;="&amp;EOMONTH(A41,0))+COUNTIFS(猫统计!AH:AH,"&gt;="&amp;EOMONTH(A41,-1)+1,猫统计!AH:AH,"&lt;="&amp;EOMONTH(A41,0))+COUNTIFS(猫统计!AN:AN,"&gt;="&amp;EOMONTH(A41,-1)+1,猫统计!AN:AN,"&lt;="&amp;EOMONTH(A41,0))+COUNTIFS(猫统计!AT:AT,"&gt;="&amp;EOMONTH(A41,-1)+1,猫统计!AT:AT,"&lt;="&amp;EOMONTH(A41,0))+COUNTIFS(猫统计!AZ:AZ,"&gt;="&amp;EOMONTH(A41,-1)+1,猫统计!AZ:AZ,"&lt;="&amp;EOMONTH(A41,0))+COUNTIFS(猫统计!BF:BF,"&gt;="&amp;EOMONTH(A41,-1)+1,猫统计!BF:BF,"&lt;="&amp;EOMONTH(A41,0))+COUNTIFS(猫统计!BL:BL,"&gt;="&amp;EOMONTH(A41,-1)+1,猫统计!BL:BL,"&lt;="&amp;EOMONTH(A41,0))</f>
        <v>0</v>
      </c>
      <c r="C41" s="2">
        <f t="shared" ref="C41:C46" si="3">D41+E41</f>
        <v>0</v>
      </c>
      <c r="D41" s="2">
        <f>SUMIFS(猫统计!L:L,猫统计!J:J,"&gt;="&amp;EOMONTH(A41,-1)+1,猫统计!J:J,"&lt;="&amp;EOMONTH(A41,0))+SUMIFS(猫统计!R:R,猫统计!P:P,"&gt;="&amp;EOMONTH(A41,-1)+1,猫统计!P:P,"&lt;="&amp;EOMONTH(A41,0))+SUMIFS(猫统计!X:X,猫统计!V:V,"&gt;="&amp;EOMONTH(A41,-1)+1,猫统计!V:V,"&lt;="&amp;EOMONTH(A41,0))+SUMIFS(猫统计!AD:AD,猫统计!AB:AB,"&gt;="&amp;EOMONTH(A41,-1)+1,猫统计!AB:AB,"&lt;="&amp;EOMONTH(A41,0))+SUMIFS(猫统计!AJ:AJ,猫统计!AH:AH,"&gt;="&amp;EOMONTH(A41,-1)+1,猫统计!AH:AH,"&lt;="&amp;EOMONTH(A41,0))+SUMIFS(猫统计!AP:AP,猫统计!AN:AN,"&gt;="&amp;EOMONTH(A41,-1)+1,猫统计!AN:AN,"&lt;="&amp;EOMONTH(A41,0))+SUMIFS(猫统计!AV:AV,猫统计!AT:AT,"&gt;="&amp;EOMONTH(A41,-1)+1,猫统计!AT:AT,"&lt;="&amp;EOMONTH(A41,0))+SUMIFS(猫统计!BB:BB,猫统计!AZ:AZ,"&gt;="&amp;EOMONTH(A41,-1)+1,猫统计!AZ:AZ,"&lt;="&amp;EOMONTH(A41,0))+SUMIFS(猫统计!BH:BH,猫统计!BF:BF,"&gt;="&amp;EOMONTH(A41,-1)+1,猫统计!BF:BF,"&lt;="&amp;EOMONTH(A41,0))+SUMIFS(猫统计!BN:BN,猫统计!BL:BL,"&gt;="&amp;EOMONTH(A41,-1)+1,猫统计!BL:BL,"&lt;="&amp;EOMONTH(A41,0))</f>
        <v>0</v>
      </c>
      <c r="E41" s="2">
        <f>SUMIFS(猫统计!M:M,猫统计!J:J,"&gt;="&amp;EOMONTH(A41,-1)+1,猫统计!J:J,"&lt;="&amp;EOMONTH(A41,0))+SUMIFS(猫统计!S:S,猫统计!P:P,"&gt;="&amp;EOMONTH(A41,-1)+1,猫统计!P:P,"&lt;="&amp;EOMONTH(A41,0))+SUMIFS(猫统计!Y:Y,猫统计!V:V,"&gt;="&amp;EOMONTH(A41,-1)+1,猫统计!V:V,"&lt;="&amp;EOMONTH(A41,0))+SUMIFS(猫统计!AE:AE,猫统计!AB:AB,"&gt;="&amp;EOMONTH(A41,-1)+1,猫统计!AB:AB,"&lt;="&amp;EOMONTH(A41,0))+SUMIFS(猫统计!AK:AK,猫统计!AH:AH,"&gt;="&amp;EOMONTH(A41,-1)+1,猫统计!AH:AH,"&lt;="&amp;EOMONTH(A41,0))+SUMIFS(猫统计!AQ:AQ,猫统计!AN:AN,"&gt;="&amp;EOMONTH(A41,-1)+1,猫统计!AN:AN,"&lt;="&amp;EOMONTH(A41,0))+SUMIFS(猫统计!AW:AW,猫统计!AT:AT,"&gt;="&amp;EOMONTH(A41,-1)+1,猫统计!AT:AT,"&lt;="&amp;EOMONTH(A41,0))+SUMIFS(猫统计!BC:BC,猫统计!AZ:AZ,"&gt;="&amp;EOMONTH(A41,-1)+1,猫统计!AZ:AZ,"&lt;="&amp;EOMONTH(A41,0))+SUMIFS(猫统计!BI:BI,猫统计!BF:BF,"&gt;="&amp;EOMONTH(A41,-1)+1,猫统计!BF:BF,"&lt;="&amp;EOMONTH(A41,0))+SUMIFS(猫统计!BO:BO,猫统计!BL:BL,"&gt;="&amp;EOMONTH(A41,-1)+1,猫统计!BL:BL,"&lt;="&amp;EOMONTH(A41,0))</f>
        <v>0</v>
      </c>
      <c r="F41" s="5"/>
      <c r="G41" s="5"/>
    </row>
    <row r="42" spans="1:7" ht="16.5" thickTop="1" thickBot="1">
      <c r="A42" s="3">
        <v>45231</v>
      </c>
      <c r="B42" s="6">
        <f>COUNTIFS(猫统计!J:J,"&gt;="&amp;EOMONTH(A42,-1)+1,猫统计!J:J,"&lt;="&amp;EOMONTH(A42,0))+COUNTIFS(猫统计!P:P,"&gt;="&amp;EOMONTH(A42,-1)+1,猫统计!P:P,"&lt;="&amp;EOMONTH(A42,0))+COUNTIFS(猫统计!V:V,"&gt;="&amp;EOMONTH(A42,-1)+1,猫统计!V:V,"&lt;="&amp;EOMONTH(A42,0))+COUNTIFS(猫统计!AB:AB,"&gt;="&amp;EOMONTH(A42,-1)+1,猫统计!AB:AB,"&lt;="&amp;EOMONTH(A42,0))+COUNTIFS(猫统计!AH:AH,"&gt;="&amp;EOMONTH(A42,-1)+1,猫统计!AH:AH,"&lt;="&amp;EOMONTH(A42,0))+COUNTIFS(猫统计!AN:AN,"&gt;="&amp;EOMONTH(A42,-1)+1,猫统计!AN:AN,"&lt;="&amp;EOMONTH(A42,0))+COUNTIFS(猫统计!AT:AT,"&gt;="&amp;EOMONTH(A42,-1)+1,猫统计!AT:AT,"&lt;="&amp;EOMONTH(A42,0))+COUNTIFS(猫统计!AZ:AZ,"&gt;="&amp;EOMONTH(A42,-1)+1,猫统计!AZ:AZ,"&lt;="&amp;EOMONTH(A42,0))+COUNTIFS(猫统计!BF:BF,"&gt;="&amp;EOMONTH(A42,-1)+1,猫统计!BF:BF,"&lt;="&amp;EOMONTH(A42,0))+COUNTIFS(猫统计!BL:BL,"&gt;="&amp;EOMONTH(A42,-1)+1,猫统计!BL:BL,"&lt;="&amp;EOMONTH(A42,0))</f>
        <v>2</v>
      </c>
      <c r="C42" s="2">
        <f t="shared" si="3"/>
        <v>8</v>
      </c>
      <c r="D42" s="2">
        <f>SUMIFS(猫统计!L:L,猫统计!J:J,"&gt;="&amp;EOMONTH(A42,-1)+1,猫统计!J:J,"&lt;="&amp;EOMONTH(A42,0))+SUMIFS(猫统计!R:R,猫统计!P:P,"&gt;="&amp;EOMONTH(A42,-1)+1,猫统计!P:P,"&lt;="&amp;EOMONTH(A42,0))+SUMIFS(猫统计!X:X,猫统计!V:V,"&gt;="&amp;EOMONTH(A42,-1)+1,猫统计!V:V,"&lt;="&amp;EOMONTH(A42,0))+SUMIFS(猫统计!AD:AD,猫统计!AB:AB,"&gt;="&amp;EOMONTH(A42,-1)+1,猫统计!AB:AB,"&lt;="&amp;EOMONTH(A42,0))+SUMIFS(猫统计!AJ:AJ,猫统计!AH:AH,"&gt;="&amp;EOMONTH(A42,-1)+1,猫统计!AH:AH,"&lt;="&amp;EOMONTH(A42,0))+SUMIFS(猫统计!AP:AP,猫统计!AN:AN,"&gt;="&amp;EOMONTH(A42,-1)+1,猫统计!AN:AN,"&lt;="&amp;EOMONTH(A42,0))+SUMIFS(猫统计!AV:AV,猫统计!AT:AT,"&gt;="&amp;EOMONTH(A42,-1)+1,猫统计!AT:AT,"&lt;="&amp;EOMONTH(A42,0))+SUMIFS(猫统计!BB:BB,猫统计!AZ:AZ,"&gt;="&amp;EOMONTH(A42,-1)+1,猫统计!AZ:AZ,"&lt;="&amp;EOMONTH(A42,0))+SUMIFS(猫统计!BH:BH,猫统计!BF:BF,"&gt;="&amp;EOMONTH(A42,-1)+1,猫统计!BF:BF,"&lt;="&amp;EOMONTH(A42,0))+SUMIFS(猫统计!BN:BN,猫统计!BL:BL,"&gt;="&amp;EOMONTH(A42,-1)+1,猫统计!BL:BL,"&lt;="&amp;EOMONTH(A42,0))</f>
        <v>0</v>
      </c>
      <c r="E42" s="2">
        <f>SUMIFS(猫统计!M:M,猫统计!J:J,"&gt;="&amp;EOMONTH(A42,-1)+1,猫统计!J:J,"&lt;="&amp;EOMONTH(A42,0))+SUMIFS(猫统计!S:S,猫统计!P:P,"&gt;="&amp;EOMONTH(A42,-1)+1,猫统计!P:P,"&lt;="&amp;EOMONTH(A42,0))+SUMIFS(猫统计!Y:Y,猫统计!V:V,"&gt;="&amp;EOMONTH(A42,-1)+1,猫统计!V:V,"&lt;="&amp;EOMONTH(A42,0))+SUMIFS(猫统计!AE:AE,猫统计!AB:AB,"&gt;="&amp;EOMONTH(A42,-1)+1,猫统计!AB:AB,"&lt;="&amp;EOMONTH(A42,0))+SUMIFS(猫统计!AK:AK,猫统计!AH:AH,"&gt;="&amp;EOMONTH(A42,-1)+1,猫统计!AH:AH,"&lt;="&amp;EOMONTH(A42,0))+SUMIFS(猫统计!AQ:AQ,猫统计!AN:AN,"&gt;="&amp;EOMONTH(A42,-1)+1,猫统计!AN:AN,"&lt;="&amp;EOMONTH(A42,0))+SUMIFS(猫统计!AW:AW,猫统计!AT:AT,"&gt;="&amp;EOMONTH(A42,-1)+1,猫统计!AT:AT,"&lt;="&amp;EOMONTH(A42,0))+SUMIFS(猫统计!BC:BC,猫统计!AZ:AZ,"&gt;="&amp;EOMONTH(A42,-1)+1,猫统计!AZ:AZ,"&lt;="&amp;EOMONTH(A42,0))+SUMIFS(猫统计!BI:BI,猫统计!BF:BF,"&gt;="&amp;EOMONTH(A42,-1)+1,猫统计!BF:BF,"&lt;="&amp;EOMONTH(A42,0))+SUMIFS(猫统计!BO:BO,猫统计!BL:BL,"&gt;="&amp;EOMONTH(A42,-1)+1,猫统计!BL:BL,"&lt;="&amp;EOMONTH(A42,0))</f>
        <v>8</v>
      </c>
      <c r="F42" s="5"/>
      <c r="G42" s="5"/>
    </row>
    <row r="43" spans="1:7" ht="16.5" thickTop="1" thickBot="1">
      <c r="A43" s="3">
        <v>45261</v>
      </c>
      <c r="B43" s="6">
        <f>COUNTIFS(猫统计!J:J,"&gt;="&amp;EOMONTH(A43,-1)+1,猫统计!J:J,"&lt;="&amp;EOMONTH(A43,0))+COUNTIFS(猫统计!P:P,"&gt;="&amp;EOMONTH(A43,-1)+1,猫统计!P:P,"&lt;="&amp;EOMONTH(A43,0))+COUNTIFS(猫统计!V:V,"&gt;="&amp;EOMONTH(A43,-1)+1,猫统计!V:V,"&lt;="&amp;EOMONTH(A43,0))+COUNTIFS(猫统计!AB:AB,"&gt;="&amp;EOMONTH(A43,-1)+1,猫统计!AB:AB,"&lt;="&amp;EOMONTH(A43,0))+COUNTIFS(猫统计!AH:AH,"&gt;="&amp;EOMONTH(A43,-1)+1,猫统计!AH:AH,"&lt;="&amp;EOMONTH(A43,0))+COUNTIFS(猫统计!AN:AN,"&gt;="&amp;EOMONTH(A43,-1)+1,猫统计!AN:AN,"&lt;="&amp;EOMONTH(A43,0))+COUNTIFS(猫统计!AT:AT,"&gt;="&amp;EOMONTH(A43,-1)+1,猫统计!AT:AT,"&lt;="&amp;EOMONTH(A43,0))+COUNTIFS(猫统计!AZ:AZ,"&gt;="&amp;EOMONTH(A43,-1)+1,猫统计!AZ:AZ,"&lt;="&amp;EOMONTH(A43,0))+COUNTIFS(猫统计!BF:BF,"&gt;="&amp;EOMONTH(A43,-1)+1,猫统计!BF:BF,"&lt;="&amp;EOMONTH(A43,0))+COUNTIFS(猫统计!BL:BL,"&gt;="&amp;EOMONTH(A43,-1)+1,猫统计!BL:BL,"&lt;="&amp;EOMONTH(A43,0))</f>
        <v>1</v>
      </c>
      <c r="C43" s="2">
        <f t="shared" si="3"/>
        <v>2</v>
      </c>
      <c r="D43" s="2">
        <f>SUMIFS(猫统计!L:L,猫统计!J:J,"&gt;="&amp;EOMONTH(A43,-1)+1,猫统计!J:J,"&lt;="&amp;EOMONTH(A43,0))+SUMIFS(猫统计!R:R,猫统计!P:P,"&gt;="&amp;EOMONTH(A43,-1)+1,猫统计!P:P,"&lt;="&amp;EOMONTH(A43,0))+SUMIFS(猫统计!X:X,猫统计!V:V,"&gt;="&amp;EOMONTH(A43,-1)+1,猫统计!V:V,"&lt;="&amp;EOMONTH(A43,0))+SUMIFS(猫统计!AD:AD,猫统计!AB:AB,"&gt;="&amp;EOMONTH(A43,-1)+1,猫统计!AB:AB,"&lt;="&amp;EOMONTH(A43,0))+SUMIFS(猫统计!AJ:AJ,猫统计!AH:AH,"&gt;="&amp;EOMONTH(A43,-1)+1,猫统计!AH:AH,"&lt;="&amp;EOMONTH(A43,0))+SUMIFS(猫统计!AP:AP,猫统计!AN:AN,"&gt;="&amp;EOMONTH(A43,-1)+1,猫统计!AN:AN,"&lt;="&amp;EOMONTH(A43,0))+SUMIFS(猫统计!AV:AV,猫统计!AT:AT,"&gt;="&amp;EOMONTH(A43,-1)+1,猫统计!AT:AT,"&lt;="&amp;EOMONTH(A43,0))+SUMIFS(猫统计!BB:BB,猫统计!AZ:AZ,"&gt;="&amp;EOMONTH(A43,-1)+1,猫统计!AZ:AZ,"&lt;="&amp;EOMONTH(A43,0))+SUMIFS(猫统计!BH:BH,猫统计!BF:BF,"&gt;="&amp;EOMONTH(A43,-1)+1,猫统计!BF:BF,"&lt;="&amp;EOMONTH(A43,0))+SUMIFS(猫统计!BN:BN,猫统计!BL:BL,"&gt;="&amp;EOMONTH(A43,-1)+1,猫统计!BL:BL,"&lt;="&amp;EOMONTH(A43,0))</f>
        <v>2</v>
      </c>
      <c r="E43" s="2">
        <f>SUMIFS(猫统计!M:M,猫统计!J:J,"&gt;="&amp;EOMONTH(A43,-1)+1,猫统计!J:J,"&lt;="&amp;EOMONTH(A43,0))+SUMIFS(猫统计!S:S,猫统计!P:P,"&gt;="&amp;EOMONTH(A43,-1)+1,猫统计!P:P,"&lt;="&amp;EOMONTH(A43,0))+SUMIFS(猫统计!Y:Y,猫统计!V:V,"&gt;="&amp;EOMONTH(A43,-1)+1,猫统计!V:V,"&lt;="&amp;EOMONTH(A43,0))+SUMIFS(猫统计!AE:AE,猫统计!AB:AB,"&gt;="&amp;EOMONTH(A43,-1)+1,猫统计!AB:AB,"&lt;="&amp;EOMONTH(A43,0))+SUMIFS(猫统计!AK:AK,猫统计!AH:AH,"&gt;="&amp;EOMONTH(A43,-1)+1,猫统计!AH:AH,"&lt;="&amp;EOMONTH(A43,0))+SUMIFS(猫统计!AQ:AQ,猫统计!AN:AN,"&gt;="&amp;EOMONTH(A43,-1)+1,猫统计!AN:AN,"&lt;="&amp;EOMONTH(A43,0))+SUMIFS(猫统计!AW:AW,猫统计!AT:AT,"&gt;="&amp;EOMONTH(A43,-1)+1,猫统计!AT:AT,"&lt;="&amp;EOMONTH(A43,0))+SUMIFS(猫统计!BC:BC,猫统计!AZ:AZ,"&gt;="&amp;EOMONTH(A43,-1)+1,猫统计!AZ:AZ,"&lt;="&amp;EOMONTH(A43,0))+SUMIFS(猫统计!BI:BI,猫统计!BF:BF,"&gt;="&amp;EOMONTH(A43,-1)+1,猫统计!BF:BF,"&lt;="&amp;EOMONTH(A43,0))+SUMIFS(猫统计!BO:BO,猫统计!BL:BL,"&gt;="&amp;EOMONTH(A43,-1)+1,猫统计!BL:BL,"&lt;="&amp;EOMONTH(A43,0))</f>
        <v>0</v>
      </c>
      <c r="F43" s="5">
        <f>(E41+E42+E43)/(C41+C42+C43)</f>
        <v>0.8</v>
      </c>
      <c r="G43" s="5">
        <f>(E41+E42+E43)/(B41+B42+B43)</f>
        <v>2.6666666666666665</v>
      </c>
    </row>
    <row r="44" spans="1:7" ht="16.5" thickTop="1" thickBot="1">
      <c r="A44" s="3">
        <v>45292</v>
      </c>
      <c r="B44" s="6">
        <f>COUNTIFS(猫统计!J:J,"&gt;="&amp;EOMONTH(A44,-1)+1,猫统计!J:J,"&lt;="&amp;EOMONTH(A44,0))+COUNTIFS(猫统计!P:P,"&gt;="&amp;EOMONTH(A44,-1)+1,猫统计!P:P,"&lt;="&amp;EOMONTH(A44,0))+COUNTIFS(猫统计!V:V,"&gt;="&amp;EOMONTH(A44,-1)+1,猫统计!V:V,"&lt;="&amp;EOMONTH(A44,0))+COUNTIFS(猫统计!AB:AB,"&gt;="&amp;EOMONTH(A44,-1)+1,猫统计!AB:AB,"&lt;="&amp;EOMONTH(A44,0))+COUNTIFS(猫统计!AH:AH,"&gt;="&amp;EOMONTH(A44,-1)+1,猫统计!AH:AH,"&lt;="&amp;EOMONTH(A44,0))+COUNTIFS(猫统计!AN:AN,"&gt;="&amp;EOMONTH(A44,-1)+1,猫统计!AN:AN,"&lt;="&amp;EOMONTH(A44,0))+COUNTIFS(猫统计!AT:AT,"&gt;="&amp;EOMONTH(A44,-1)+1,猫统计!AT:AT,"&lt;="&amp;EOMONTH(A44,0))+COUNTIFS(猫统计!AZ:AZ,"&gt;="&amp;EOMONTH(A44,-1)+1,猫统计!AZ:AZ,"&lt;="&amp;EOMONTH(A44,0))+COUNTIFS(猫统计!BF:BF,"&gt;="&amp;EOMONTH(A44,-1)+1,猫统计!BF:BF,"&lt;="&amp;EOMONTH(A44,0))+COUNTIFS(猫统计!BL:BL,"&gt;="&amp;EOMONTH(A44,-1)+1,猫统计!BL:BL,"&lt;="&amp;EOMONTH(A44,0))</f>
        <v>3</v>
      </c>
      <c r="C44" s="2">
        <f t="shared" si="3"/>
        <v>13</v>
      </c>
      <c r="D44" s="2">
        <f>SUMIFS(猫统计!L:L,猫统计!J:J,"&gt;="&amp;EOMONTH(A44,-1)+1,猫统计!J:J,"&lt;="&amp;EOMONTH(A44,0))+SUMIFS(猫统计!R:R,猫统计!P:P,"&gt;="&amp;EOMONTH(A44,-1)+1,猫统计!P:P,"&lt;="&amp;EOMONTH(A44,0))+SUMIFS(猫统计!X:X,猫统计!V:V,"&gt;="&amp;EOMONTH(A44,-1)+1,猫统计!V:V,"&lt;="&amp;EOMONTH(A44,0))+SUMIFS(猫统计!AD:AD,猫统计!AB:AB,"&gt;="&amp;EOMONTH(A44,-1)+1,猫统计!AB:AB,"&lt;="&amp;EOMONTH(A44,0))+SUMIFS(猫统计!AJ:AJ,猫统计!AH:AH,"&gt;="&amp;EOMONTH(A44,-1)+1,猫统计!AH:AH,"&lt;="&amp;EOMONTH(A44,0))+SUMIFS(猫统计!AP:AP,猫统计!AN:AN,"&gt;="&amp;EOMONTH(A44,-1)+1,猫统计!AN:AN,"&lt;="&amp;EOMONTH(A44,0))+SUMIFS(猫统计!AV:AV,猫统计!AT:AT,"&gt;="&amp;EOMONTH(A44,-1)+1,猫统计!AT:AT,"&lt;="&amp;EOMONTH(A44,0))+SUMIFS(猫统计!BB:BB,猫统计!AZ:AZ,"&gt;="&amp;EOMONTH(A44,-1)+1,猫统计!AZ:AZ,"&lt;="&amp;EOMONTH(A44,0))+SUMIFS(猫统计!BH:BH,猫统计!BF:BF,"&gt;="&amp;EOMONTH(A44,-1)+1,猫统计!BF:BF,"&lt;="&amp;EOMONTH(A44,0))+SUMIFS(猫统计!BN:BN,猫统计!BL:BL,"&gt;="&amp;EOMONTH(A44,-1)+1,猫统计!BL:BL,"&lt;="&amp;EOMONTH(A44,0))</f>
        <v>1</v>
      </c>
      <c r="E44" s="2">
        <f>SUMIFS(猫统计!M:M,猫统计!J:J,"&gt;="&amp;EOMONTH(A44,-1)+1,猫统计!J:J,"&lt;="&amp;EOMONTH(A44,0))+SUMIFS(猫统计!S:S,猫统计!P:P,"&gt;="&amp;EOMONTH(A44,-1)+1,猫统计!P:P,"&lt;="&amp;EOMONTH(A44,0))+SUMIFS(猫统计!Y:Y,猫统计!V:V,"&gt;="&amp;EOMONTH(A44,-1)+1,猫统计!V:V,"&lt;="&amp;EOMONTH(A44,0))+SUMIFS(猫统计!AE:AE,猫统计!AB:AB,"&gt;="&amp;EOMONTH(A44,-1)+1,猫统计!AB:AB,"&lt;="&amp;EOMONTH(A44,0))+SUMIFS(猫统计!AK:AK,猫统计!AH:AH,"&gt;="&amp;EOMONTH(A44,-1)+1,猫统计!AH:AH,"&lt;="&amp;EOMONTH(A44,0))+SUMIFS(猫统计!AQ:AQ,猫统计!AN:AN,"&gt;="&amp;EOMONTH(A44,-1)+1,猫统计!AN:AN,"&lt;="&amp;EOMONTH(A44,0))+SUMIFS(猫统计!AW:AW,猫统计!AT:AT,"&gt;="&amp;EOMONTH(A44,-1)+1,猫统计!AT:AT,"&lt;="&amp;EOMONTH(A44,0))+SUMIFS(猫统计!BC:BC,猫统计!AZ:AZ,"&gt;="&amp;EOMONTH(A44,-1)+1,猫统计!AZ:AZ,"&lt;="&amp;EOMONTH(A44,0))+SUMIFS(猫统计!BI:BI,猫统计!BF:BF,"&gt;="&amp;EOMONTH(A44,-1)+1,猫统计!BF:BF,"&lt;="&amp;EOMONTH(A44,0))+SUMIFS(猫统计!BO:BO,猫统计!BL:BL,"&gt;="&amp;EOMONTH(A44,-1)+1,猫统计!BL:BL,"&lt;="&amp;EOMONTH(A44,0))</f>
        <v>12</v>
      </c>
      <c r="F44" s="5"/>
      <c r="G44" s="5"/>
    </row>
    <row r="45" spans="1:7" ht="16.5" thickTop="1" thickBot="1">
      <c r="A45" s="3">
        <v>45323</v>
      </c>
      <c r="B45" s="6">
        <f>COUNTIFS(猫统计!J:J,"&gt;="&amp;EOMONTH(A45,-1)+1,猫统计!J:J,"&lt;="&amp;EOMONTH(A45,0))+COUNTIFS(猫统计!P:P,"&gt;="&amp;EOMONTH(A45,-1)+1,猫统计!P:P,"&lt;="&amp;EOMONTH(A45,0))+COUNTIFS(猫统计!V:V,"&gt;="&amp;EOMONTH(A45,-1)+1,猫统计!V:V,"&lt;="&amp;EOMONTH(A45,0))+COUNTIFS(猫统计!AB:AB,"&gt;="&amp;EOMONTH(A45,-1)+1,猫统计!AB:AB,"&lt;="&amp;EOMONTH(A45,0))+COUNTIFS(猫统计!AH:AH,"&gt;="&amp;EOMONTH(A45,-1)+1,猫统计!AH:AH,"&lt;="&amp;EOMONTH(A45,0))+COUNTIFS(猫统计!AN:AN,"&gt;="&amp;EOMONTH(A45,-1)+1,猫统计!AN:AN,"&lt;="&amp;EOMONTH(A45,0))+COUNTIFS(猫统计!AT:AT,"&gt;="&amp;EOMONTH(A45,-1)+1,猫统计!AT:AT,"&lt;="&amp;EOMONTH(A45,0))+COUNTIFS(猫统计!AZ:AZ,"&gt;="&amp;EOMONTH(A45,-1)+1,猫统计!AZ:AZ,"&lt;="&amp;EOMONTH(A45,0))+COUNTIFS(猫统计!BF:BF,"&gt;="&amp;EOMONTH(A45,-1)+1,猫统计!BF:BF,"&lt;="&amp;EOMONTH(A45,0))+COUNTIFS(猫统计!BL:BL,"&gt;="&amp;EOMONTH(A45,-1)+1,猫统计!BL:BL,"&lt;="&amp;EOMONTH(A45,0))</f>
        <v>1</v>
      </c>
      <c r="C45" s="2">
        <f t="shared" si="3"/>
        <v>3</v>
      </c>
      <c r="D45" s="2">
        <f>SUMIFS(猫统计!L:L,猫统计!J:J,"&gt;="&amp;EOMONTH(A45,-1)+1,猫统计!J:J,"&lt;="&amp;EOMONTH(A45,0))+SUMIFS(猫统计!R:R,猫统计!P:P,"&gt;="&amp;EOMONTH(A45,-1)+1,猫统计!P:P,"&lt;="&amp;EOMONTH(A45,0))+SUMIFS(猫统计!X:X,猫统计!V:V,"&gt;="&amp;EOMONTH(A45,-1)+1,猫统计!V:V,"&lt;="&amp;EOMONTH(A45,0))+SUMIFS(猫统计!AD:AD,猫统计!AB:AB,"&gt;="&amp;EOMONTH(A45,-1)+1,猫统计!AB:AB,"&lt;="&amp;EOMONTH(A45,0))+SUMIFS(猫统计!AJ:AJ,猫统计!AH:AH,"&gt;="&amp;EOMONTH(A45,-1)+1,猫统计!AH:AH,"&lt;="&amp;EOMONTH(A45,0))+SUMIFS(猫统计!AP:AP,猫统计!AN:AN,"&gt;="&amp;EOMONTH(A45,-1)+1,猫统计!AN:AN,"&lt;="&amp;EOMONTH(A45,0))+SUMIFS(猫统计!AV:AV,猫统计!AT:AT,"&gt;="&amp;EOMONTH(A45,-1)+1,猫统计!AT:AT,"&lt;="&amp;EOMONTH(A45,0))+SUMIFS(猫统计!BB:BB,猫统计!AZ:AZ,"&gt;="&amp;EOMONTH(A45,-1)+1,猫统计!AZ:AZ,"&lt;="&amp;EOMONTH(A45,0))+SUMIFS(猫统计!BH:BH,猫统计!BF:BF,"&gt;="&amp;EOMONTH(A45,-1)+1,猫统计!BF:BF,"&lt;="&amp;EOMONTH(A45,0))+SUMIFS(猫统计!BN:BN,猫统计!BL:BL,"&gt;="&amp;EOMONTH(A45,-1)+1,猫统计!BL:BL,"&lt;="&amp;EOMONTH(A45,0))</f>
        <v>1</v>
      </c>
      <c r="E45" s="2">
        <f>SUMIFS(猫统计!M:M,猫统计!J:J,"&gt;="&amp;EOMONTH(A45,-1)+1,猫统计!J:J,"&lt;="&amp;EOMONTH(A45,0))+SUMIFS(猫统计!S:S,猫统计!P:P,"&gt;="&amp;EOMONTH(A45,-1)+1,猫统计!P:P,"&lt;="&amp;EOMONTH(A45,0))+SUMIFS(猫统计!Y:Y,猫统计!V:V,"&gt;="&amp;EOMONTH(A45,-1)+1,猫统计!V:V,"&lt;="&amp;EOMONTH(A45,0))+SUMIFS(猫统计!AE:AE,猫统计!AB:AB,"&gt;="&amp;EOMONTH(A45,-1)+1,猫统计!AB:AB,"&lt;="&amp;EOMONTH(A45,0))+SUMIFS(猫统计!AK:AK,猫统计!AH:AH,"&gt;="&amp;EOMONTH(A45,-1)+1,猫统计!AH:AH,"&lt;="&amp;EOMONTH(A45,0))+SUMIFS(猫统计!AQ:AQ,猫统计!AN:AN,"&gt;="&amp;EOMONTH(A45,-1)+1,猫统计!AN:AN,"&lt;="&amp;EOMONTH(A45,0))+SUMIFS(猫统计!AW:AW,猫统计!AT:AT,"&gt;="&amp;EOMONTH(A45,-1)+1,猫统计!AT:AT,"&lt;="&amp;EOMONTH(A45,0))+SUMIFS(猫统计!BC:BC,猫统计!AZ:AZ,"&gt;="&amp;EOMONTH(A45,-1)+1,猫统计!AZ:AZ,"&lt;="&amp;EOMONTH(A45,0))+SUMIFS(猫统计!BI:BI,猫统计!BF:BF,"&gt;="&amp;EOMONTH(A45,-1)+1,猫统计!BF:BF,"&lt;="&amp;EOMONTH(A45,0))+SUMIFS(猫统计!BO:BO,猫统计!BL:BL,"&gt;="&amp;EOMONTH(A45,-1)+1,猫统计!BL:BL,"&lt;="&amp;EOMONTH(A45,0))</f>
        <v>2</v>
      </c>
      <c r="F45" s="5"/>
      <c r="G45" s="5"/>
    </row>
    <row r="46" spans="1:7" ht="16.5" thickTop="1" thickBot="1">
      <c r="A46" s="3">
        <v>45352</v>
      </c>
      <c r="B46" s="6">
        <f>COUNTIFS(猫统计!J:J,"&gt;="&amp;EOMONTH(A46,-1)+1,猫统计!J:J,"&lt;="&amp;EOMONTH(A46,0))+COUNTIFS(猫统计!P:P,"&gt;="&amp;EOMONTH(A46,-1)+1,猫统计!P:P,"&lt;="&amp;EOMONTH(A46,0))+COUNTIFS(猫统计!V:V,"&gt;="&amp;EOMONTH(A46,-1)+1,猫统计!V:V,"&lt;="&amp;EOMONTH(A46,0))+COUNTIFS(猫统计!AB:AB,"&gt;="&amp;EOMONTH(A46,-1)+1,猫统计!AB:AB,"&lt;="&amp;EOMONTH(A46,0))+COUNTIFS(猫统计!AH:AH,"&gt;="&amp;EOMONTH(A46,-1)+1,猫统计!AH:AH,"&lt;="&amp;EOMONTH(A46,0))+COUNTIFS(猫统计!AN:AN,"&gt;="&amp;EOMONTH(A46,-1)+1,猫统计!AN:AN,"&lt;="&amp;EOMONTH(A46,0))+COUNTIFS(猫统计!AT:AT,"&gt;="&amp;EOMONTH(A46,-1)+1,猫统计!AT:AT,"&lt;="&amp;EOMONTH(A46,0))+COUNTIFS(猫统计!AZ:AZ,"&gt;="&amp;EOMONTH(A46,-1)+1,猫统计!AZ:AZ,"&lt;="&amp;EOMONTH(A46,0))+COUNTIFS(猫统计!BF:BF,"&gt;="&amp;EOMONTH(A46,-1)+1,猫统计!BF:BF,"&lt;="&amp;EOMONTH(A46,0))+COUNTIFS(猫统计!BL:BL,"&gt;="&amp;EOMONTH(A46,-1)+1,猫统计!BL:BL,"&lt;="&amp;EOMONTH(A46,0))</f>
        <v>0</v>
      </c>
      <c r="C46" s="2">
        <f t="shared" si="3"/>
        <v>0</v>
      </c>
      <c r="D46" s="2">
        <f>SUMIFS(猫统计!L:L,猫统计!J:J,"&gt;="&amp;EOMONTH(A46,-1)+1,猫统计!J:J,"&lt;="&amp;EOMONTH(A46,0))+SUMIFS(猫统计!R:R,猫统计!P:P,"&gt;="&amp;EOMONTH(A46,-1)+1,猫统计!P:P,"&lt;="&amp;EOMONTH(A46,0))+SUMIFS(猫统计!X:X,猫统计!V:V,"&gt;="&amp;EOMONTH(A46,-1)+1,猫统计!V:V,"&lt;="&amp;EOMONTH(A46,0))+SUMIFS(猫统计!AD:AD,猫统计!AB:AB,"&gt;="&amp;EOMONTH(A46,-1)+1,猫统计!AB:AB,"&lt;="&amp;EOMONTH(A46,0))+SUMIFS(猫统计!AJ:AJ,猫统计!AH:AH,"&gt;="&amp;EOMONTH(A46,-1)+1,猫统计!AH:AH,"&lt;="&amp;EOMONTH(A46,0))+SUMIFS(猫统计!AP:AP,猫统计!AN:AN,"&gt;="&amp;EOMONTH(A46,-1)+1,猫统计!AN:AN,"&lt;="&amp;EOMONTH(A46,0))+SUMIFS(猫统计!AV:AV,猫统计!AT:AT,"&gt;="&amp;EOMONTH(A46,-1)+1,猫统计!AT:AT,"&lt;="&amp;EOMONTH(A46,0))+SUMIFS(猫统计!BB:BB,猫统计!AZ:AZ,"&gt;="&amp;EOMONTH(A46,-1)+1,猫统计!AZ:AZ,"&lt;="&amp;EOMONTH(A46,0))+SUMIFS(猫统计!BH:BH,猫统计!BF:BF,"&gt;="&amp;EOMONTH(A46,-1)+1,猫统计!BF:BF,"&lt;="&amp;EOMONTH(A46,0))+SUMIFS(猫统计!BN:BN,猫统计!BL:BL,"&gt;="&amp;EOMONTH(A46,-1)+1,猫统计!BL:BL,"&lt;="&amp;EOMONTH(A46,0))</f>
        <v>0</v>
      </c>
      <c r="E46" s="2">
        <f>SUMIFS(猫统计!M:M,猫统计!J:J,"&gt;="&amp;EOMONTH(A46,-1)+1,猫统计!J:J,"&lt;="&amp;EOMONTH(A46,0))+SUMIFS(猫统计!S:S,猫统计!P:P,"&gt;="&amp;EOMONTH(A46,-1)+1,猫统计!P:P,"&lt;="&amp;EOMONTH(A46,0))+SUMIFS(猫统计!Y:Y,猫统计!V:V,"&gt;="&amp;EOMONTH(A46,-1)+1,猫统计!V:V,"&lt;="&amp;EOMONTH(A46,0))+SUMIFS(猫统计!AE:AE,猫统计!AB:AB,"&gt;="&amp;EOMONTH(A46,-1)+1,猫统计!AB:AB,"&lt;="&amp;EOMONTH(A46,0))+SUMIFS(猫统计!AK:AK,猫统计!AH:AH,"&gt;="&amp;EOMONTH(A46,-1)+1,猫统计!AH:AH,"&lt;="&amp;EOMONTH(A46,0))+SUMIFS(猫统计!AQ:AQ,猫统计!AN:AN,"&gt;="&amp;EOMONTH(A46,-1)+1,猫统计!AN:AN,"&lt;="&amp;EOMONTH(A46,0))+SUMIFS(猫统计!AW:AW,猫统计!AT:AT,"&gt;="&amp;EOMONTH(A46,-1)+1,猫统计!AT:AT,"&lt;="&amp;EOMONTH(A46,0))+SUMIFS(猫统计!BC:BC,猫统计!AZ:AZ,"&gt;="&amp;EOMONTH(A46,-1)+1,猫统计!AZ:AZ,"&lt;="&amp;EOMONTH(A46,0))+SUMIFS(猫统计!BI:BI,猫统计!BF:BF,"&gt;="&amp;EOMONTH(A46,-1)+1,猫统计!BF:BF,"&lt;="&amp;EOMONTH(A46,0))+SUMIFS(猫统计!BO:BO,猫统计!BL:BL,"&gt;="&amp;EOMONTH(A46,-1)+1,猫统计!BL:BL,"&lt;="&amp;EOMONTH(A46,0))</f>
        <v>0</v>
      </c>
      <c r="F46" s="5">
        <f>(E44+E45+E46)/(C44+C45+C46)</f>
        <v>0.875</v>
      </c>
      <c r="G46" s="5">
        <f>(E44+E45+E46)/(B44+B45+B46)</f>
        <v>3.5</v>
      </c>
    </row>
    <row r="47" spans="1:7" ht="16.5" thickTop="1" thickBot="1">
      <c r="A47" s="3">
        <v>45383</v>
      </c>
      <c r="B47" s="6">
        <f>COUNTIFS(猫统计!J:J,"&gt;="&amp;EOMONTH(A47,-1)+1,猫统计!J:J,"&lt;="&amp;EOMONTH(A47,0))+COUNTIFS(猫统计!P:P,"&gt;="&amp;EOMONTH(A47,-1)+1,猫统计!P:P,"&lt;="&amp;EOMONTH(A47,0))+COUNTIFS(猫统计!V:V,"&gt;="&amp;EOMONTH(A47,-1)+1,猫统计!V:V,"&lt;="&amp;EOMONTH(A47,0))+COUNTIFS(猫统计!AB:AB,"&gt;="&amp;EOMONTH(A47,-1)+1,猫统计!AB:AB,"&lt;="&amp;EOMONTH(A47,0))+COUNTIFS(猫统计!AH:AH,"&gt;="&amp;EOMONTH(A47,-1)+1,猫统计!AH:AH,"&lt;="&amp;EOMONTH(A47,0))+COUNTIFS(猫统计!AN:AN,"&gt;="&amp;EOMONTH(A47,-1)+1,猫统计!AN:AN,"&lt;="&amp;EOMONTH(A47,0))+COUNTIFS(猫统计!AT:AT,"&gt;="&amp;EOMONTH(A47,-1)+1,猫统计!AT:AT,"&lt;="&amp;EOMONTH(A47,0))+COUNTIFS(猫统计!AZ:AZ,"&gt;="&amp;EOMONTH(A47,-1)+1,猫统计!AZ:AZ,"&lt;="&amp;EOMONTH(A47,0))+COUNTIFS(猫统计!BF:BF,"&gt;="&amp;EOMONTH(A47,-1)+1,猫统计!BF:BF,"&lt;="&amp;EOMONTH(A47,0))+COUNTIFS(猫统计!BL:BL,"&gt;="&amp;EOMONTH(A47,-1)+1,猫统计!BL:BL,"&lt;="&amp;EOMONTH(A47,0))</f>
        <v>1</v>
      </c>
      <c r="C47" s="2">
        <f t="shared" ref="C47:C49" si="4">D47+E47</f>
        <v>1</v>
      </c>
      <c r="D47" s="2">
        <f>SUMIFS(猫统计!L:L,猫统计!J:J,"&gt;="&amp;EOMONTH(A47,-1)+1,猫统计!J:J,"&lt;="&amp;EOMONTH(A47,0))+SUMIFS(猫统计!R:R,猫统计!P:P,"&gt;="&amp;EOMONTH(A47,-1)+1,猫统计!P:P,"&lt;="&amp;EOMONTH(A47,0))+SUMIFS(猫统计!X:X,猫统计!V:V,"&gt;="&amp;EOMONTH(A47,-1)+1,猫统计!V:V,"&lt;="&amp;EOMONTH(A47,0))+SUMIFS(猫统计!AD:AD,猫统计!AB:AB,"&gt;="&amp;EOMONTH(A47,-1)+1,猫统计!AB:AB,"&lt;="&amp;EOMONTH(A47,0))+SUMIFS(猫统计!AJ:AJ,猫统计!AH:AH,"&gt;="&amp;EOMONTH(A47,-1)+1,猫统计!AH:AH,"&lt;="&amp;EOMONTH(A47,0))+SUMIFS(猫统计!AP:AP,猫统计!AN:AN,"&gt;="&amp;EOMONTH(A47,-1)+1,猫统计!AN:AN,"&lt;="&amp;EOMONTH(A47,0))+SUMIFS(猫统计!AV:AV,猫统计!AT:AT,"&gt;="&amp;EOMONTH(A47,-1)+1,猫统计!AT:AT,"&lt;="&amp;EOMONTH(A47,0))+SUMIFS(猫统计!BB:BB,猫统计!AZ:AZ,"&gt;="&amp;EOMONTH(A47,-1)+1,猫统计!AZ:AZ,"&lt;="&amp;EOMONTH(A47,0))+SUMIFS(猫统计!BH:BH,猫统计!BF:BF,"&gt;="&amp;EOMONTH(A47,-1)+1,猫统计!BF:BF,"&lt;="&amp;EOMONTH(A47,0))+SUMIFS(猫统计!BN:BN,猫统计!BL:BL,"&gt;="&amp;EOMONTH(A47,-1)+1,猫统计!BL:BL,"&lt;="&amp;EOMONTH(A47,0))</f>
        <v>0</v>
      </c>
      <c r="E47" s="2">
        <f>SUMIFS(猫统计!M:M,猫统计!J:J,"&gt;="&amp;EOMONTH(A47,-1)+1,猫统计!J:J,"&lt;="&amp;EOMONTH(A47,0))+SUMIFS(猫统计!S:S,猫统计!P:P,"&gt;="&amp;EOMONTH(A47,-1)+1,猫统计!P:P,"&lt;="&amp;EOMONTH(A47,0))+SUMIFS(猫统计!Y:Y,猫统计!V:V,"&gt;="&amp;EOMONTH(A47,-1)+1,猫统计!V:V,"&lt;="&amp;EOMONTH(A47,0))+SUMIFS(猫统计!AE:AE,猫统计!AB:AB,"&gt;="&amp;EOMONTH(A47,-1)+1,猫统计!AB:AB,"&lt;="&amp;EOMONTH(A47,0))+SUMIFS(猫统计!AK:AK,猫统计!AH:AH,"&gt;="&amp;EOMONTH(A47,-1)+1,猫统计!AH:AH,"&lt;="&amp;EOMONTH(A47,0))+SUMIFS(猫统计!AQ:AQ,猫统计!AN:AN,"&gt;="&amp;EOMONTH(A47,-1)+1,猫统计!AN:AN,"&lt;="&amp;EOMONTH(A47,0))+SUMIFS(猫统计!AW:AW,猫统计!AT:AT,"&gt;="&amp;EOMONTH(A47,-1)+1,猫统计!AT:AT,"&lt;="&amp;EOMONTH(A47,0))+SUMIFS(猫统计!BC:BC,猫统计!AZ:AZ,"&gt;="&amp;EOMONTH(A47,-1)+1,猫统计!AZ:AZ,"&lt;="&amp;EOMONTH(A47,0))+SUMIFS(猫统计!BI:BI,猫统计!BF:BF,"&gt;="&amp;EOMONTH(A47,-1)+1,猫统计!BF:BF,"&lt;="&amp;EOMONTH(A47,0))+SUMIFS(猫统计!BO:BO,猫统计!BL:BL,"&gt;="&amp;EOMONTH(A47,-1)+1,猫统计!BL:BL,"&lt;="&amp;EOMONTH(A47,0))</f>
        <v>1</v>
      </c>
      <c r="F47" s="5"/>
      <c r="G47" s="5"/>
    </row>
    <row r="48" spans="1:7" ht="16.5" thickTop="1" thickBot="1">
      <c r="A48" s="3">
        <v>45413</v>
      </c>
      <c r="B48" s="6">
        <f>COUNTIFS(猫统计!J:J,"&gt;="&amp;EOMONTH(A48,-1)+1,猫统计!J:J,"&lt;="&amp;EOMONTH(A48,0))+COUNTIFS(猫统计!P:P,"&gt;="&amp;EOMONTH(A48,-1)+1,猫统计!P:P,"&lt;="&amp;EOMONTH(A48,0))+COUNTIFS(猫统计!V:V,"&gt;="&amp;EOMONTH(A48,-1)+1,猫统计!V:V,"&lt;="&amp;EOMONTH(A48,0))+COUNTIFS(猫统计!AB:AB,"&gt;="&amp;EOMONTH(A48,-1)+1,猫统计!AB:AB,"&lt;="&amp;EOMONTH(A48,0))+COUNTIFS(猫统计!AH:AH,"&gt;="&amp;EOMONTH(A48,-1)+1,猫统计!AH:AH,"&lt;="&amp;EOMONTH(A48,0))+COUNTIFS(猫统计!AN:AN,"&gt;="&amp;EOMONTH(A48,-1)+1,猫统计!AN:AN,"&lt;="&amp;EOMONTH(A48,0))+COUNTIFS(猫统计!AT:AT,"&gt;="&amp;EOMONTH(A48,-1)+1,猫统计!AT:AT,"&lt;="&amp;EOMONTH(A48,0))+COUNTIFS(猫统计!AZ:AZ,"&gt;="&amp;EOMONTH(A48,-1)+1,猫统计!AZ:AZ,"&lt;="&amp;EOMONTH(A48,0))+COUNTIFS(猫统计!BF:BF,"&gt;="&amp;EOMONTH(A48,-1)+1,猫统计!BF:BF,"&lt;="&amp;EOMONTH(A48,0))+COUNTIFS(猫统计!BL:BL,"&gt;="&amp;EOMONTH(A48,-1)+1,猫统计!BL:BL,"&lt;="&amp;EOMONTH(A48,0))</f>
        <v>6</v>
      </c>
      <c r="C48" s="2">
        <f t="shared" si="4"/>
        <v>17</v>
      </c>
      <c r="D48" s="2">
        <f>SUMIFS(猫统计!L:L,猫统计!J:J,"&gt;="&amp;EOMONTH(A48,-1)+1,猫统计!J:J,"&lt;="&amp;EOMONTH(A48,0))+SUMIFS(猫统计!R:R,猫统计!P:P,"&gt;="&amp;EOMONTH(A48,-1)+1,猫统计!P:P,"&lt;="&amp;EOMONTH(A48,0))+SUMIFS(猫统计!X:X,猫统计!V:V,"&gt;="&amp;EOMONTH(A48,-1)+1,猫统计!V:V,"&lt;="&amp;EOMONTH(A48,0))+SUMIFS(猫统计!AD:AD,猫统计!AB:AB,"&gt;="&amp;EOMONTH(A48,-1)+1,猫统计!AB:AB,"&lt;="&amp;EOMONTH(A48,0))+SUMIFS(猫统计!AJ:AJ,猫统计!AH:AH,"&gt;="&amp;EOMONTH(A48,-1)+1,猫统计!AH:AH,"&lt;="&amp;EOMONTH(A48,0))+SUMIFS(猫统计!AP:AP,猫统计!AN:AN,"&gt;="&amp;EOMONTH(A48,-1)+1,猫统计!AN:AN,"&lt;="&amp;EOMONTH(A48,0))+SUMIFS(猫统计!AV:AV,猫统计!AT:AT,"&gt;="&amp;EOMONTH(A48,-1)+1,猫统计!AT:AT,"&lt;="&amp;EOMONTH(A48,0))+SUMIFS(猫统计!BB:BB,猫统计!AZ:AZ,"&gt;="&amp;EOMONTH(A48,-1)+1,猫统计!AZ:AZ,"&lt;="&amp;EOMONTH(A48,0))+SUMIFS(猫统计!BH:BH,猫统计!BF:BF,"&gt;="&amp;EOMONTH(A48,-1)+1,猫统计!BF:BF,"&lt;="&amp;EOMONTH(A48,0))+SUMIFS(猫统计!BN:BN,猫统计!BL:BL,"&gt;="&amp;EOMONTH(A48,-1)+1,猫统计!BL:BL,"&lt;="&amp;EOMONTH(A48,0))</f>
        <v>9</v>
      </c>
      <c r="E48" s="2">
        <f>SUMIFS(猫统计!M:M,猫统计!J:J,"&gt;="&amp;EOMONTH(A48,-1)+1,猫统计!J:J,"&lt;="&amp;EOMONTH(A48,0))+SUMIFS(猫统计!S:S,猫统计!P:P,"&gt;="&amp;EOMONTH(A48,-1)+1,猫统计!P:P,"&lt;="&amp;EOMONTH(A48,0))+SUMIFS(猫统计!Y:Y,猫统计!V:V,"&gt;="&amp;EOMONTH(A48,-1)+1,猫统计!V:V,"&lt;="&amp;EOMONTH(A48,0))+SUMIFS(猫统计!AE:AE,猫统计!AB:AB,"&gt;="&amp;EOMONTH(A48,-1)+1,猫统计!AB:AB,"&lt;="&amp;EOMONTH(A48,0))+SUMIFS(猫统计!AK:AK,猫统计!AH:AH,"&gt;="&amp;EOMONTH(A48,-1)+1,猫统计!AH:AH,"&lt;="&amp;EOMONTH(A48,0))+SUMIFS(猫统计!AQ:AQ,猫统计!AN:AN,"&gt;="&amp;EOMONTH(A48,-1)+1,猫统计!AN:AN,"&lt;="&amp;EOMONTH(A48,0))+SUMIFS(猫统计!AW:AW,猫统计!AT:AT,"&gt;="&amp;EOMONTH(A48,-1)+1,猫统计!AT:AT,"&lt;="&amp;EOMONTH(A48,0))+SUMIFS(猫统计!BC:BC,猫统计!AZ:AZ,"&gt;="&amp;EOMONTH(A48,-1)+1,猫统计!AZ:AZ,"&lt;="&amp;EOMONTH(A48,0))+SUMIFS(猫统计!BI:BI,猫统计!BF:BF,"&gt;="&amp;EOMONTH(A48,-1)+1,猫统计!BF:BF,"&lt;="&amp;EOMONTH(A48,0))+SUMIFS(猫统计!BO:BO,猫统计!BL:BL,"&gt;="&amp;EOMONTH(A48,-1)+1,猫统计!BL:BL,"&lt;="&amp;EOMONTH(A48,0))</f>
        <v>8</v>
      </c>
      <c r="F48" s="5"/>
      <c r="G48" s="5"/>
    </row>
    <row r="49" spans="1:7" ht="16.5" thickTop="1" thickBot="1">
      <c r="A49" s="3">
        <v>45444</v>
      </c>
      <c r="B49" s="6">
        <f>COUNTIFS(猫统计!J:J,"&gt;="&amp;EOMONTH(A49,-1)+1,猫统计!J:J,"&lt;="&amp;EOMONTH(A49,0))+COUNTIFS(猫统计!P:P,"&gt;="&amp;EOMONTH(A49,-1)+1,猫统计!P:P,"&lt;="&amp;EOMONTH(A49,0))+COUNTIFS(猫统计!V:V,"&gt;="&amp;EOMONTH(A49,-1)+1,猫统计!V:V,"&lt;="&amp;EOMONTH(A49,0))+COUNTIFS(猫统计!AB:AB,"&gt;="&amp;EOMONTH(A49,-1)+1,猫统计!AB:AB,"&lt;="&amp;EOMONTH(A49,0))+COUNTIFS(猫统计!AH:AH,"&gt;="&amp;EOMONTH(A49,-1)+1,猫统计!AH:AH,"&lt;="&amp;EOMONTH(A49,0))+COUNTIFS(猫统计!AN:AN,"&gt;="&amp;EOMONTH(A49,-1)+1,猫统计!AN:AN,"&lt;="&amp;EOMONTH(A49,0))+COUNTIFS(猫统计!AT:AT,"&gt;="&amp;EOMONTH(A49,-1)+1,猫统计!AT:AT,"&lt;="&amp;EOMONTH(A49,0))+COUNTIFS(猫统计!AZ:AZ,"&gt;="&amp;EOMONTH(A49,-1)+1,猫统计!AZ:AZ,"&lt;="&amp;EOMONTH(A49,0))+COUNTIFS(猫统计!BF:BF,"&gt;="&amp;EOMONTH(A49,-1)+1,猫统计!BF:BF,"&lt;="&amp;EOMONTH(A49,0))+COUNTIFS(猫统计!BL:BL,"&gt;="&amp;EOMONTH(A49,-1)+1,猫统计!BL:BL,"&lt;="&amp;EOMONTH(A49,0))</f>
        <v>2</v>
      </c>
      <c r="C49" s="2">
        <f t="shared" si="4"/>
        <v>7</v>
      </c>
      <c r="D49" s="2">
        <f>SUMIFS(猫统计!L:L,猫统计!J:J,"&gt;="&amp;EOMONTH(A49,-1)+1,猫统计!J:J,"&lt;="&amp;EOMONTH(A49,0))+SUMIFS(猫统计!R:R,猫统计!P:P,"&gt;="&amp;EOMONTH(A49,-1)+1,猫统计!P:P,"&lt;="&amp;EOMONTH(A49,0))+SUMIFS(猫统计!X:X,猫统计!V:V,"&gt;="&amp;EOMONTH(A49,-1)+1,猫统计!V:V,"&lt;="&amp;EOMONTH(A49,0))+SUMIFS(猫统计!AD:AD,猫统计!AB:AB,"&gt;="&amp;EOMONTH(A49,-1)+1,猫统计!AB:AB,"&lt;="&amp;EOMONTH(A49,0))+SUMIFS(猫统计!AJ:AJ,猫统计!AH:AH,"&gt;="&amp;EOMONTH(A49,-1)+1,猫统计!AH:AH,"&lt;="&amp;EOMONTH(A49,0))+SUMIFS(猫统计!AP:AP,猫统计!AN:AN,"&gt;="&amp;EOMONTH(A49,-1)+1,猫统计!AN:AN,"&lt;="&amp;EOMONTH(A49,0))+SUMIFS(猫统计!AV:AV,猫统计!AT:AT,"&gt;="&amp;EOMONTH(A49,-1)+1,猫统计!AT:AT,"&lt;="&amp;EOMONTH(A49,0))+SUMIFS(猫统计!BB:BB,猫统计!AZ:AZ,"&gt;="&amp;EOMONTH(A49,-1)+1,猫统计!AZ:AZ,"&lt;="&amp;EOMONTH(A49,0))+SUMIFS(猫统计!BH:BH,猫统计!BF:BF,"&gt;="&amp;EOMONTH(A49,-1)+1,猫统计!BF:BF,"&lt;="&amp;EOMONTH(A49,0))+SUMIFS(猫统计!BN:BN,猫统计!BL:BL,"&gt;="&amp;EOMONTH(A49,-1)+1,猫统计!BL:BL,"&lt;="&amp;EOMONTH(A49,0))</f>
        <v>0</v>
      </c>
      <c r="E49" s="2">
        <f>SUMIFS(猫统计!M:M,猫统计!J:J,"&gt;="&amp;EOMONTH(A49,-1)+1,猫统计!J:J,"&lt;="&amp;EOMONTH(A49,0))+SUMIFS(猫统计!S:S,猫统计!P:P,"&gt;="&amp;EOMONTH(A49,-1)+1,猫统计!P:P,"&lt;="&amp;EOMONTH(A49,0))+SUMIFS(猫统计!Y:Y,猫统计!V:V,"&gt;="&amp;EOMONTH(A49,-1)+1,猫统计!V:V,"&lt;="&amp;EOMONTH(A49,0))+SUMIFS(猫统计!AE:AE,猫统计!AB:AB,"&gt;="&amp;EOMONTH(A49,-1)+1,猫统计!AB:AB,"&lt;="&amp;EOMONTH(A49,0))+SUMIFS(猫统计!AK:AK,猫统计!AH:AH,"&gt;="&amp;EOMONTH(A49,-1)+1,猫统计!AH:AH,"&lt;="&amp;EOMONTH(A49,0))+SUMIFS(猫统计!AQ:AQ,猫统计!AN:AN,"&gt;="&amp;EOMONTH(A49,-1)+1,猫统计!AN:AN,"&lt;="&amp;EOMONTH(A49,0))+SUMIFS(猫统计!AW:AW,猫统计!AT:AT,"&gt;="&amp;EOMONTH(A49,-1)+1,猫统计!AT:AT,"&lt;="&amp;EOMONTH(A49,0))+SUMIFS(猫统计!BC:BC,猫统计!AZ:AZ,"&gt;="&amp;EOMONTH(A49,-1)+1,猫统计!AZ:AZ,"&lt;="&amp;EOMONTH(A49,0))+SUMIFS(猫统计!BI:BI,猫统计!BF:BF,"&gt;="&amp;EOMONTH(A49,-1)+1,猫统计!BF:BF,"&lt;="&amp;EOMONTH(A49,0))+SUMIFS(猫统计!BO:BO,猫统计!BL:BL,"&gt;="&amp;EOMONTH(A49,-1)+1,猫统计!BL:BL,"&lt;="&amp;EOMONTH(A49,0))</f>
        <v>7</v>
      </c>
      <c r="F49" s="5">
        <f>(E47+E48+E49)/(C47+C48+C49)</f>
        <v>0.64</v>
      </c>
      <c r="G49" s="5">
        <f>(E47+E48+E49)/(B47+B48+B49)</f>
        <v>1.7777777777777777</v>
      </c>
    </row>
    <row r="50" spans="1:7" ht="16.5" thickTop="1" thickBot="1">
      <c r="A50" s="3">
        <v>45474</v>
      </c>
      <c r="B50" s="6">
        <f>COUNTIFS(猫统计!J:J,"&gt;="&amp;EOMONTH(A50,-1)+1,猫统计!J:J,"&lt;="&amp;EOMONTH(A50,0))+COUNTIFS(猫统计!P:P,"&gt;="&amp;EOMONTH(A50,-1)+1,猫统计!P:P,"&lt;="&amp;EOMONTH(A50,0))+COUNTIFS(猫统计!V:V,"&gt;="&amp;EOMONTH(A50,-1)+1,猫统计!V:V,"&lt;="&amp;EOMONTH(A50,0))+COUNTIFS(猫统计!AB:AB,"&gt;="&amp;EOMONTH(A50,-1)+1,猫统计!AB:AB,"&lt;="&amp;EOMONTH(A50,0))+COUNTIFS(猫统计!AH:AH,"&gt;="&amp;EOMONTH(A50,-1)+1,猫统计!AH:AH,"&lt;="&amp;EOMONTH(A50,0))+COUNTIFS(猫统计!AN:AN,"&gt;="&amp;EOMONTH(A50,-1)+1,猫统计!AN:AN,"&lt;="&amp;EOMONTH(A50,0))+COUNTIFS(猫统计!AT:AT,"&gt;="&amp;EOMONTH(A50,-1)+1,猫统计!AT:AT,"&lt;="&amp;EOMONTH(A50,0))+COUNTIFS(猫统计!AZ:AZ,"&gt;="&amp;EOMONTH(A50,-1)+1,猫统计!AZ:AZ,"&lt;="&amp;EOMONTH(A50,0))+COUNTIFS(猫统计!BF:BF,"&gt;="&amp;EOMONTH(A50,-1)+1,猫统计!BF:BF,"&lt;="&amp;EOMONTH(A50,0))+COUNTIFS(猫统计!BL:BL,"&gt;="&amp;EOMONTH(A50,-1)+1,猫统计!BL:BL,"&lt;="&amp;EOMONTH(A50,0))</f>
        <v>0</v>
      </c>
      <c r="C50" s="2">
        <f t="shared" ref="C50:C52" si="5">D50+E50</f>
        <v>0</v>
      </c>
      <c r="D50" s="2">
        <f>SUMIFS(猫统计!L:L,猫统计!J:J,"&gt;="&amp;EOMONTH(A50,-1)+1,猫统计!J:J,"&lt;="&amp;EOMONTH(A50,0))+SUMIFS(猫统计!R:R,猫统计!P:P,"&gt;="&amp;EOMONTH(A50,-1)+1,猫统计!P:P,"&lt;="&amp;EOMONTH(A50,0))+SUMIFS(猫统计!X:X,猫统计!V:V,"&gt;="&amp;EOMONTH(A50,-1)+1,猫统计!V:V,"&lt;="&amp;EOMONTH(A50,0))+SUMIFS(猫统计!AD:AD,猫统计!AB:AB,"&gt;="&amp;EOMONTH(A50,-1)+1,猫统计!AB:AB,"&lt;="&amp;EOMONTH(A50,0))+SUMIFS(猫统计!AJ:AJ,猫统计!AH:AH,"&gt;="&amp;EOMONTH(A50,-1)+1,猫统计!AH:AH,"&lt;="&amp;EOMONTH(A50,0))+SUMIFS(猫统计!AP:AP,猫统计!AN:AN,"&gt;="&amp;EOMONTH(A50,-1)+1,猫统计!AN:AN,"&lt;="&amp;EOMONTH(A50,0))+SUMIFS(猫统计!AV:AV,猫统计!AT:AT,"&gt;="&amp;EOMONTH(A50,-1)+1,猫统计!AT:AT,"&lt;="&amp;EOMONTH(A50,0))+SUMIFS(猫统计!BB:BB,猫统计!AZ:AZ,"&gt;="&amp;EOMONTH(A50,-1)+1,猫统计!AZ:AZ,"&lt;="&amp;EOMONTH(A50,0))+SUMIFS(猫统计!BH:BH,猫统计!BF:BF,"&gt;="&amp;EOMONTH(A50,-1)+1,猫统计!BF:BF,"&lt;="&amp;EOMONTH(A50,0))+SUMIFS(猫统计!BN:BN,猫统计!BL:BL,"&gt;="&amp;EOMONTH(A50,-1)+1,猫统计!BL:BL,"&lt;="&amp;EOMONTH(A50,0))</f>
        <v>0</v>
      </c>
      <c r="E50" s="2">
        <f>SUMIFS(猫统计!M:M,猫统计!J:J,"&gt;="&amp;EOMONTH(A50,-1)+1,猫统计!J:J,"&lt;="&amp;EOMONTH(A50,0))+SUMIFS(猫统计!S:S,猫统计!P:P,"&gt;="&amp;EOMONTH(A50,-1)+1,猫统计!P:P,"&lt;="&amp;EOMONTH(A50,0))+SUMIFS(猫统计!Y:Y,猫统计!V:V,"&gt;="&amp;EOMONTH(A50,-1)+1,猫统计!V:V,"&lt;="&amp;EOMONTH(A50,0))+SUMIFS(猫统计!AE:AE,猫统计!AB:AB,"&gt;="&amp;EOMONTH(A50,-1)+1,猫统计!AB:AB,"&lt;="&amp;EOMONTH(A50,0))+SUMIFS(猫统计!AK:AK,猫统计!AH:AH,"&gt;="&amp;EOMONTH(A50,-1)+1,猫统计!AH:AH,"&lt;="&amp;EOMONTH(A50,0))+SUMIFS(猫统计!AQ:AQ,猫统计!AN:AN,"&gt;="&amp;EOMONTH(A50,-1)+1,猫统计!AN:AN,"&lt;="&amp;EOMONTH(A50,0))+SUMIFS(猫统计!AW:AW,猫统计!AT:AT,"&gt;="&amp;EOMONTH(A50,-1)+1,猫统计!AT:AT,"&lt;="&amp;EOMONTH(A50,0))+SUMIFS(猫统计!BC:BC,猫统计!AZ:AZ,"&gt;="&amp;EOMONTH(A50,-1)+1,猫统计!AZ:AZ,"&lt;="&amp;EOMONTH(A50,0))+SUMIFS(猫统计!BI:BI,猫统计!BF:BF,"&gt;="&amp;EOMONTH(A50,-1)+1,猫统计!BF:BF,"&lt;="&amp;EOMONTH(A50,0))+SUMIFS(猫统计!BO:BO,猫统计!BL:BL,"&gt;="&amp;EOMONTH(A50,-1)+1,猫统计!BL:BL,"&lt;="&amp;EOMONTH(A50,0))</f>
        <v>0</v>
      </c>
      <c r="F50" s="5"/>
      <c r="G50" s="5"/>
    </row>
    <row r="51" spans="1:7" ht="16.5" thickTop="1" thickBot="1">
      <c r="A51" s="3">
        <v>45505</v>
      </c>
      <c r="B51" s="6">
        <f>COUNTIFS(猫统计!J:J,"&gt;="&amp;EOMONTH(A51,-1)+1,猫统计!J:J,"&lt;="&amp;EOMONTH(A51,0))+COUNTIFS(猫统计!P:P,"&gt;="&amp;EOMONTH(A51,-1)+1,猫统计!P:P,"&lt;="&amp;EOMONTH(A51,0))+COUNTIFS(猫统计!V:V,"&gt;="&amp;EOMONTH(A51,-1)+1,猫统计!V:V,"&lt;="&amp;EOMONTH(A51,0))+COUNTIFS(猫统计!AB:AB,"&gt;="&amp;EOMONTH(A51,-1)+1,猫统计!AB:AB,"&lt;="&amp;EOMONTH(A51,0))+COUNTIFS(猫统计!AH:AH,"&gt;="&amp;EOMONTH(A51,-1)+1,猫统计!AH:AH,"&lt;="&amp;EOMONTH(A51,0))+COUNTIFS(猫统计!AN:AN,"&gt;="&amp;EOMONTH(A51,-1)+1,猫统计!AN:AN,"&lt;="&amp;EOMONTH(A51,0))+COUNTIFS(猫统计!AT:AT,"&gt;="&amp;EOMONTH(A51,-1)+1,猫统计!AT:AT,"&lt;="&amp;EOMONTH(A51,0))+COUNTIFS(猫统计!AZ:AZ,"&gt;="&amp;EOMONTH(A51,-1)+1,猫统计!AZ:AZ,"&lt;="&amp;EOMONTH(A51,0))+COUNTIFS(猫统计!BF:BF,"&gt;="&amp;EOMONTH(A51,-1)+1,猫统计!BF:BF,"&lt;="&amp;EOMONTH(A51,0))+COUNTIFS(猫统计!BL:BL,"&gt;="&amp;EOMONTH(A51,-1)+1,猫统计!BL:BL,"&lt;="&amp;EOMONTH(A51,0))</f>
        <v>2</v>
      </c>
      <c r="C51" s="2">
        <f t="shared" si="5"/>
        <v>7</v>
      </c>
      <c r="D51" s="2">
        <f>SUMIFS(猫统计!L:L,猫统计!J:J,"&gt;="&amp;EOMONTH(A51,-1)+1,猫统计!J:J,"&lt;="&amp;EOMONTH(A51,0))+SUMIFS(猫统计!R:R,猫统计!P:P,"&gt;="&amp;EOMONTH(A51,-1)+1,猫统计!P:P,"&lt;="&amp;EOMONTH(A51,0))+SUMIFS(猫统计!X:X,猫统计!V:V,"&gt;="&amp;EOMONTH(A51,-1)+1,猫统计!V:V,"&lt;="&amp;EOMONTH(A51,0))+SUMIFS(猫统计!AD:AD,猫统计!AB:AB,"&gt;="&amp;EOMONTH(A51,-1)+1,猫统计!AB:AB,"&lt;="&amp;EOMONTH(A51,0))+SUMIFS(猫统计!AJ:AJ,猫统计!AH:AH,"&gt;="&amp;EOMONTH(A51,-1)+1,猫统计!AH:AH,"&lt;="&amp;EOMONTH(A51,0))+SUMIFS(猫统计!AP:AP,猫统计!AN:AN,"&gt;="&amp;EOMONTH(A51,-1)+1,猫统计!AN:AN,"&lt;="&amp;EOMONTH(A51,0))+SUMIFS(猫统计!AV:AV,猫统计!AT:AT,"&gt;="&amp;EOMONTH(A51,-1)+1,猫统计!AT:AT,"&lt;="&amp;EOMONTH(A51,0))+SUMIFS(猫统计!BB:BB,猫统计!AZ:AZ,"&gt;="&amp;EOMONTH(A51,-1)+1,猫统计!AZ:AZ,"&lt;="&amp;EOMONTH(A51,0))+SUMIFS(猫统计!BH:BH,猫统计!BF:BF,"&gt;="&amp;EOMONTH(A51,-1)+1,猫统计!BF:BF,"&lt;="&amp;EOMONTH(A51,0))+SUMIFS(猫统计!BN:BN,猫统计!BL:BL,"&gt;="&amp;EOMONTH(A51,-1)+1,猫统计!BL:BL,"&lt;="&amp;EOMONTH(A51,0))</f>
        <v>3</v>
      </c>
      <c r="E51" s="2">
        <f>SUMIFS(猫统计!M:M,猫统计!J:J,"&gt;="&amp;EOMONTH(A51,-1)+1,猫统计!J:J,"&lt;="&amp;EOMONTH(A51,0))+SUMIFS(猫统计!S:S,猫统计!P:P,"&gt;="&amp;EOMONTH(A51,-1)+1,猫统计!P:P,"&lt;="&amp;EOMONTH(A51,0))+SUMIFS(猫统计!Y:Y,猫统计!V:V,"&gt;="&amp;EOMONTH(A51,-1)+1,猫统计!V:V,"&lt;="&amp;EOMONTH(A51,0))+SUMIFS(猫统计!AE:AE,猫统计!AB:AB,"&gt;="&amp;EOMONTH(A51,-1)+1,猫统计!AB:AB,"&lt;="&amp;EOMONTH(A51,0))+SUMIFS(猫统计!AK:AK,猫统计!AH:AH,"&gt;="&amp;EOMONTH(A51,-1)+1,猫统计!AH:AH,"&lt;="&amp;EOMONTH(A51,0))+SUMIFS(猫统计!AQ:AQ,猫统计!AN:AN,"&gt;="&amp;EOMONTH(A51,-1)+1,猫统计!AN:AN,"&lt;="&amp;EOMONTH(A51,0))+SUMIFS(猫统计!AW:AW,猫统计!AT:AT,"&gt;="&amp;EOMONTH(A51,-1)+1,猫统计!AT:AT,"&lt;="&amp;EOMONTH(A51,0))+SUMIFS(猫统计!BC:BC,猫统计!AZ:AZ,"&gt;="&amp;EOMONTH(A51,-1)+1,猫统计!AZ:AZ,"&lt;="&amp;EOMONTH(A51,0))+SUMIFS(猫统计!BI:BI,猫统计!BF:BF,"&gt;="&amp;EOMONTH(A51,-1)+1,猫统计!BF:BF,"&lt;="&amp;EOMONTH(A51,0))+SUMIFS(猫统计!BO:BO,猫统计!BL:BL,"&gt;="&amp;EOMONTH(A51,-1)+1,猫统计!BL:BL,"&lt;="&amp;EOMONTH(A51,0))</f>
        <v>4</v>
      </c>
      <c r="F51" s="5"/>
      <c r="G51" s="5"/>
    </row>
    <row r="52" spans="1:7" ht="16.5" thickTop="1" thickBot="1">
      <c r="A52" s="3">
        <v>45536</v>
      </c>
      <c r="B52" s="6">
        <f>COUNTIFS(猫统计!J:J,"&gt;="&amp;EOMONTH(A52,-1)+1,猫统计!J:J,"&lt;="&amp;EOMONTH(A52,0))+COUNTIFS(猫统计!P:P,"&gt;="&amp;EOMONTH(A52,-1)+1,猫统计!P:P,"&lt;="&amp;EOMONTH(A52,0))+COUNTIFS(猫统计!V:V,"&gt;="&amp;EOMONTH(A52,-1)+1,猫统计!V:V,"&lt;="&amp;EOMONTH(A52,0))+COUNTIFS(猫统计!AB:AB,"&gt;="&amp;EOMONTH(A52,-1)+1,猫统计!AB:AB,"&lt;="&amp;EOMONTH(A52,0))+COUNTIFS(猫统计!AH:AH,"&gt;="&amp;EOMONTH(A52,-1)+1,猫统计!AH:AH,"&lt;="&amp;EOMONTH(A52,0))+COUNTIFS(猫统计!AN:AN,"&gt;="&amp;EOMONTH(A52,-1)+1,猫统计!AN:AN,"&lt;="&amp;EOMONTH(A52,0))+COUNTIFS(猫统计!AT:AT,"&gt;="&amp;EOMONTH(A52,-1)+1,猫统计!AT:AT,"&lt;="&amp;EOMONTH(A52,0))+COUNTIFS(猫统计!AZ:AZ,"&gt;="&amp;EOMONTH(A52,-1)+1,猫统计!AZ:AZ,"&lt;="&amp;EOMONTH(A52,0))+COUNTIFS(猫统计!BF:BF,"&gt;="&amp;EOMONTH(A52,-1)+1,猫统计!BF:BF,"&lt;="&amp;EOMONTH(A52,0))+COUNTIFS(猫统计!BL:BL,"&gt;="&amp;EOMONTH(A52,-1)+1,猫统计!BL:BL,"&lt;="&amp;EOMONTH(A52,0))</f>
        <v>2</v>
      </c>
      <c r="C52" s="2">
        <f t="shared" si="5"/>
        <v>6</v>
      </c>
      <c r="D52" s="2">
        <f>SUMIFS(猫统计!L:L,猫统计!J:J,"&gt;="&amp;EOMONTH(A52,-1)+1,猫统计!J:J,"&lt;="&amp;EOMONTH(A52,0))+SUMIFS(猫统计!R:R,猫统计!P:P,"&gt;="&amp;EOMONTH(A52,-1)+1,猫统计!P:P,"&lt;="&amp;EOMONTH(A52,0))+SUMIFS(猫统计!X:X,猫统计!V:V,"&gt;="&amp;EOMONTH(A52,-1)+1,猫统计!V:V,"&lt;="&amp;EOMONTH(A52,0))+SUMIFS(猫统计!AD:AD,猫统计!AB:AB,"&gt;="&amp;EOMONTH(A52,-1)+1,猫统计!AB:AB,"&lt;="&amp;EOMONTH(A52,0))+SUMIFS(猫统计!AJ:AJ,猫统计!AH:AH,"&gt;="&amp;EOMONTH(A52,-1)+1,猫统计!AH:AH,"&lt;="&amp;EOMONTH(A52,0))+SUMIFS(猫统计!AP:AP,猫统计!AN:AN,"&gt;="&amp;EOMONTH(A52,-1)+1,猫统计!AN:AN,"&lt;="&amp;EOMONTH(A52,0))+SUMIFS(猫统计!AV:AV,猫统计!AT:AT,"&gt;="&amp;EOMONTH(A52,-1)+1,猫统计!AT:AT,"&lt;="&amp;EOMONTH(A52,0))+SUMIFS(猫统计!BB:BB,猫统计!AZ:AZ,"&gt;="&amp;EOMONTH(A52,-1)+1,猫统计!AZ:AZ,"&lt;="&amp;EOMONTH(A52,0))+SUMIFS(猫统计!BH:BH,猫统计!BF:BF,"&gt;="&amp;EOMONTH(A52,-1)+1,猫统计!BF:BF,"&lt;="&amp;EOMONTH(A52,0))+SUMIFS(猫统计!BN:BN,猫统计!BL:BL,"&gt;="&amp;EOMONTH(A52,-1)+1,猫统计!BL:BL,"&lt;="&amp;EOMONTH(A52,0))</f>
        <v>2</v>
      </c>
      <c r="E52" s="2">
        <f>SUMIFS(猫统计!M:M,猫统计!J:J,"&gt;="&amp;EOMONTH(A52,-1)+1,猫统计!J:J,"&lt;="&amp;EOMONTH(A52,0))+SUMIFS(猫统计!S:S,猫统计!P:P,"&gt;="&amp;EOMONTH(A52,-1)+1,猫统计!P:P,"&lt;="&amp;EOMONTH(A52,0))+SUMIFS(猫统计!Y:Y,猫统计!V:V,"&gt;="&amp;EOMONTH(A52,-1)+1,猫统计!V:V,"&lt;="&amp;EOMONTH(A52,0))+SUMIFS(猫统计!AE:AE,猫统计!AB:AB,"&gt;="&amp;EOMONTH(A52,-1)+1,猫统计!AB:AB,"&lt;="&amp;EOMONTH(A52,0))+SUMIFS(猫统计!AK:AK,猫统计!AH:AH,"&gt;="&amp;EOMONTH(A52,-1)+1,猫统计!AH:AH,"&lt;="&amp;EOMONTH(A52,0))+SUMIFS(猫统计!AQ:AQ,猫统计!AN:AN,"&gt;="&amp;EOMONTH(A52,-1)+1,猫统计!AN:AN,"&lt;="&amp;EOMONTH(A52,0))+SUMIFS(猫统计!AW:AW,猫统计!AT:AT,"&gt;="&amp;EOMONTH(A52,-1)+1,猫统计!AT:AT,"&lt;="&amp;EOMONTH(A52,0))+SUMIFS(猫统计!BC:BC,猫统计!AZ:AZ,"&gt;="&amp;EOMONTH(A52,-1)+1,猫统计!AZ:AZ,"&lt;="&amp;EOMONTH(A52,0))+SUMIFS(猫统计!BI:BI,猫统计!BF:BF,"&gt;="&amp;EOMONTH(A52,-1)+1,猫统计!BF:BF,"&lt;="&amp;EOMONTH(A52,0))+SUMIFS(猫统计!BO:BO,猫统计!BL:BL,"&gt;="&amp;EOMONTH(A52,-1)+1,猫统计!BL:BL,"&lt;="&amp;EOMONTH(A52,0))</f>
        <v>4</v>
      </c>
      <c r="F52" s="5">
        <f>(E50+E51+E52)/(C50+C51+C52)</f>
        <v>0.61538461538461542</v>
      </c>
      <c r="G52" s="5">
        <f>(E50+E51+E52)/(B50+B51+B52)</f>
        <v>2</v>
      </c>
    </row>
    <row r="53" spans="1:7" ht="16.5" thickTop="1" thickBot="1">
      <c r="A53" s="3">
        <v>45566</v>
      </c>
      <c r="B53" s="6">
        <f>COUNTIFS(猫统计!J:J,"&gt;="&amp;EOMONTH(A53,-1)+1,猫统计!J:J,"&lt;="&amp;EOMONTH(A53,0))+COUNTIFS(猫统计!P:P,"&gt;="&amp;EOMONTH(A53,-1)+1,猫统计!P:P,"&lt;="&amp;EOMONTH(A53,0))+COUNTIFS(猫统计!V:V,"&gt;="&amp;EOMONTH(A53,-1)+1,猫统计!V:V,"&lt;="&amp;EOMONTH(A53,0))+COUNTIFS(猫统计!AB:AB,"&gt;="&amp;EOMONTH(A53,-1)+1,猫统计!AB:AB,"&lt;="&amp;EOMONTH(A53,0))+COUNTIFS(猫统计!AH:AH,"&gt;="&amp;EOMONTH(A53,-1)+1,猫统计!AH:AH,"&lt;="&amp;EOMONTH(A53,0))+COUNTIFS(猫统计!AN:AN,"&gt;="&amp;EOMONTH(A53,-1)+1,猫统计!AN:AN,"&lt;="&amp;EOMONTH(A53,0))+COUNTIFS(猫统计!AT:AT,"&gt;="&amp;EOMONTH(A53,-1)+1,猫统计!AT:AT,"&lt;="&amp;EOMONTH(A53,0))+COUNTIFS(猫统计!AZ:AZ,"&gt;="&amp;EOMONTH(A53,-1)+1,猫统计!AZ:AZ,"&lt;="&amp;EOMONTH(A53,0))+COUNTIFS(猫统计!BF:BF,"&gt;="&amp;EOMONTH(A53,-1)+1,猫统计!BF:BF,"&lt;="&amp;EOMONTH(A53,0))+COUNTIFS(猫统计!BL:BL,"&gt;="&amp;EOMONTH(A53,-1)+1,猫统计!BL:BL,"&lt;="&amp;EOMONTH(A53,0))</f>
        <v>1</v>
      </c>
      <c r="C53" s="2">
        <f t="shared" ref="C53:C55" si="6">D53+E53</f>
        <v>4</v>
      </c>
      <c r="D53" s="2">
        <f>SUMIFS(猫统计!L:L,猫统计!J:J,"&gt;="&amp;EOMONTH(A53,-1)+1,猫统计!J:J,"&lt;="&amp;EOMONTH(A53,0))+SUMIFS(猫统计!R:R,猫统计!P:P,"&gt;="&amp;EOMONTH(A53,-1)+1,猫统计!P:P,"&lt;="&amp;EOMONTH(A53,0))+SUMIFS(猫统计!X:X,猫统计!V:V,"&gt;="&amp;EOMONTH(A53,-1)+1,猫统计!V:V,"&lt;="&amp;EOMONTH(A53,0))+SUMIFS(猫统计!AD:AD,猫统计!AB:AB,"&gt;="&amp;EOMONTH(A53,-1)+1,猫统计!AB:AB,"&lt;="&amp;EOMONTH(A53,0))+SUMIFS(猫统计!AJ:AJ,猫统计!AH:AH,"&gt;="&amp;EOMONTH(A53,-1)+1,猫统计!AH:AH,"&lt;="&amp;EOMONTH(A53,0))+SUMIFS(猫统计!AP:AP,猫统计!AN:AN,"&gt;="&amp;EOMONTH(A53,-1)+1,猫统计!AN:AN,"&lt;="&amp;EOMONTH(A53,0))+SUMIFS(猫统计!AV:AV,猫统计!AT:AT,"&gt;="&amp;EOMONTH(A53,-1)+1,猫统计!AT:AT,"&lt;="&amp;EOMONTH(A53,0))+SUMIFS(猫统计!BB:BB,猫统计!AZ:AZ,"&gt;="&amp;EOMONTH(A53,-1)+1,猫统计!AZ:AZ,"&lt;="&amp;EOMONTH(A53,0))+SUMIFS(猫统计!BH:BH,猫统计!BF:BF,"&gt;="&amp;EOMONTH(A53,-1)+1,猫统计!BF:BF,"&lt;="&amp;EOMONTH(A53,0))+SUMIFS(猫统计!BN:BN,猫统计!BL:BL,"&gt;="&amp;EOMONTH(A53,-1)+1,猫统计!BL:BL,"&lt;="&amp;EOMONTH(A53,0))</f>
        <v>1</v>
      </c>
      <c r="E53" s="2">
        <f>SUMIFS(猫统计!M:M,猫统计!J:J,"&gt;="&amp;EOMONTH(A53,-1)+1,猫统计!J:J,"&lt;="&amp;EOMONTH(A53,0))+SUMIFS(猫统计!S:S,猫统计!P:P,"&gt;="&amp;EOMONTH(A53,-1)+1,猫统计!P:P,"&lt;="&amp;EOMONTH(A53,0))+SUMIFS(猫统计!Y:Y,猫统计!V:V,"&gt;="&amp;EOMONTH(A53,-1)+1,猫统计!V:V,"&lt;="&amp;EOMONTH(A53,0))+SUMIFS(猫统计!AE:AE,猫统计!AB:AB,"&gt;="&amp;EOMONTH(A53,-1)+1,猫统计!AB:AB,"&lt;="&amp;EOMONTH(A53,0))+SUMIFS(猫统计!AK:AK,猫统计!AH:AH,"&gt;="&amp;EOMONTH(A53,-1)+1,猫统计!AH:AH,"&lt;="&amp;EOMONTH(A53,0))+SUMIFS(猫统计!AQ:AQ,猫统计!AN:AN,"&gt;="&amp;EOMONTH(A53,-1)+1,猫统计!AN:AN,"&lt;="&amp;EOMONTH(A53,0))+SUMIFS(猫统计!AW:AW,猫统计!AT:AT,"&gt;="&amp;EOMONTH(A53,-1)+1,猫统计!AT:AT,"&lt;="&amp;EOMONTH(A53,0))+SUMIFS(猫统计!BC:BC,猫统计!AZ:AZ,"&gt;="&amp;EOMONTH(A53,-1)+1,猫统计!AZ:AZ,"&lt;="&amp;EOMONTH(A53,0))+SUMIFS(猫统计!BI:BI,猫统计!BF:BF,"&gt;="&amp;EOMONTH(A53,-1)+1,猫统计!BF:BF,"&lt;="&amp;EOMONTH(A53,0))+SUMIFS(猫统计!BO:BO,猫统计!BL:BL,"&gt;="&amp;EOMONTH(A53,-1)+1,猫统计!BL:BL,"&lt;="&amp;EOMONTH(A53,0))</f>
        <v>3</v>
      </c>
      <c r="F53" s="5"/>
      <c r="G53" s="5"/>
    </row>
    <row r="54" spans="1:7" ht="16.5" thickTop="1" thickBot="1">
      <c r="A54" s="3">
        <v>45597</v>
      </c>
      <c r="B54" s="6">
        <f>COUNTIFS(猫统计!J:J,"&gt;="&amp;EOMONTH(A54,-1)+1,猫统计!J:J,"&lt;="&amp;EOMONTH(A54,0))+COUNTIFS(猫统计!P:P,"&gt;="&amp;EOMONTH(A54,-1)+1,猫统计!P:P,"&lt;="&amp;EOMONTH(A54,0))+COUNTIFS(猫统计!V:V,"&gt;="&amp;EOMONTH(A54,-1)+1,猫统计!V:V,"&lt;="&amp;EOMONTH(A54,0))+COUNTIFS(猫统计!AB:AB,"&gt;="&amp;EOMONTH(A54,-1)+1,猫统计!AB:AB,"&lt;="&amp;EOMONTH(A54,0))+COUNTIFS(猫统计!AH:AH,"&gt;="&amp;EOMONTH(A54,-1)+1,猫统计!AH:AH,"&lt;="&amp;EOMONTH(A54,0))+COUNTIFS(猫统计!AN:AN,"&gt;="&amp;EOMONTH(A54,-1)+1,猫统计!AN:AN,"&lt;="&amp;EOMONTH(A54,0))+COUNTIFS(猫统计!AT:AT,"&gt;="&amp;EOMONTH(A54,-1)+1,猫统计!AT:AT,"&lt;="&amp;EOMONTH(A54,0))+COUNTIFS(猫统计!AZ:AZ,"&gt;="&amp;EOMONTH(A54,-1)+1,猫统计!AZ:AZ,"&lt;="&amp;EOMONTH(A54,0))+COUNTIFS(猫统计!BF:BF,"&gt;="&amp;EOMONTH(A54,-1)+1,猫统计!BF:BF,"&lt;="&amp;EOMONTH(A54,0))+COUNTIFS(猫统计!BL:BL,"&gt;="&amp;EOMONTH(A54,-1)+1,猫统计!BL:BL,"&lt;="&amp;EOMONTH(A54,0))</f>
        <v>0</v>
      </c>
      <c r="C54" s="2">
        <f t="shared" si="6"/>
        <v>0</v>
      </c>
      <c r="D54" s="2">
        <f>SUMIFS(猫统计!L:L,猫统计!J:J,"&gt;="&amp;EOMONTH(A54,-1)+1,猫统计!J:J,"&lt;="&amp;EOMONTH(A54,0))+SUMIFS(猫统计!R:R,猫统计!P:P,"&gt;="&amp;EOMONTH(A54,-1)+1,猫统计!P:P,"&lt;="&amp;EOMONTH(A54,0))+SUMIFS(猫统计!X:X,猫统计!V:V,"&gt;="&amp;EOMONTH(A54,-1)+1,猫统计!V:V,"&lt;="&amp;EOMONTH(A54,0))+SUMIFS(猫统计!AD:AD,猫统计!AB:AB,"&gt;="&amp;EOMONTH(A54,-1)+1,猫统计!AB:AB,"&lt;="&amp;EOMONTH(A54,0))+SUMIFS(猫统计!AJ:AJ,猫统计!AH:AH,"&gt;="&amp;EOMONTH(A54,-1)+1,猫统计!AH:AH,"&lt;="&amp;EOMONTH(A54,0))+SUMIFS(猫统计!AP:AP,猫统计!AN:AN,"&gt;="&amp;EOMONTH(A54,-1)+1,猫统计!AN:AN,"&lt;="&amp;EOMONTH(A54,0))+SUMIFS(猫统计!AV:AV,猫统计!AT:AT,"&gt;="&amp;EOMONTH(A54,-1)+1,猫统计!AT:AT,"&lt;="&amp;EOMONTH(A54,0))+SUMIFS(猫统计!BB:BB,猫统计!AZ:AZ,"&gt;="&amp;EOMONTH(A54,-1)+1,猫统计!AZ:AZ,"&lt;="&amp;EOMONTH(A54,0))+SUMIFS(猫统计!BH:BH,猫统计!BF:BF,"&gt;="&amp;EOMONTH(A54,-1)+1,猫统计!BF:BF,"&lt;="&amp;EOMONTH(A54,0))+SUMIFS(猫统计!BN:BN,猫统计!BL:BL,"&gt;="&amp;EOMONTH(A54,-1)+1,猫统计!BL:BL,"&lt;="&amp;EOMONTH(A54,0))</f>
        <v>0</v>
      </c>
      <c r="E54" s="2">
        <f>SUMIFS(猫统计!M:M,猫统计!J:J,"&gt;="&amp;EOMONTH(A54,-1)+1,猫统计!J:J,"&lt;="&amp;EOMONTH(A54,0))+SUMIFS(猫统计!S:S,猫统计!P:P,"&gt;="&amp;EOMONTH(A54,-1)+1,猫统计!P:P,"&lt;="&amp;EOMONTH(A54,0))+SUMIFS(猫统计!Y:Y,猫统计!V:V,"&gt;="&amp;EOMONTH(A54,-1)+1,猫统计!V:V,"&lt;="&amp;EOMONTH(A54,0))+SUMIFS(猫统计!AE:AE,猫统计!AB:AB,"&gt;="&amp;EOMONTH(A54,-1)+1,猫统计!AB:AB,"&lt;="&amp;EOMONTH(A54,0))+SUMIFS(猫统计!AK:AK,猫统计!AH:AH,"&gt;="&amp;EOMONTH(A54,-1)+1,猫统计!AH:AH,"&lt;="&amp;EOMONTH(A54,0))+SUMIFS(猫统计!AQ:AQ,猫统计!AN:AN,"&gt;="&amp;EOMONTH(A54,-1)+1,猫统计!AN:AN,"&lt;="&amp;EOMONTH(A54,0))+SUMIFS(猫统计!AW:AW,猫统计!AT:AT,"&gt;="&amp;EOMONTH(A54,-1)+1,猫统计!AT:AT,"&lt;="&amp;EOMONTH(A54,0))+SUMIFS(猫统计!BC:BC,猫统计!AZ:AZ,"&gt;="&amp;EOMONTH(A54,-1)+1,猫统计!AZ:AZ,"&lt;="&amp;EOMONTH(A54,0))+SUMIFS(猫统计!BI:BI,猫统计!BF:BF,"&gt;="&amp;EOMONTH(A54,-1)+1,猫统计!BF:BF,"&lt;="&amp;EOMONTH(A54,0))+SUMIFS(猫统计!BO:BO,猫统计!BL:BL,"&gt;="&amp;EOMONTH(A54,-1)+1,猫统计!BL:BL,"&lt;="&amp;EOMONTH(A54,0))</f>
        <v>0</v>
      </c>
      <c r="F54" s="5"/>
      <c r="G54" s="5"/>
    </row>
    <row r="55" spans="1:7" ht="16.5" thickTop="1" thickBot="1">
      <c r="A55" s="3">
        <v>45627</v>
      </c>
      <c r="B55" s="6">
        <f>COUNTIFS(猫统计!J:J,"&gt;="&amp;EOMONTH(A55,-1)+1,猫统计!J:J,"&lt;="&amp;EOMONTH(A55,0))+COUNTIFS(猫统计!P:P,"&gt;="&amp;EOMONTH(A55,-1)+1,猫统计!P:P,"&lt;="&amp;EOMONTH(A55,0))+COUNTIFS(猫统计!V:V,"&gt;="&amp;EOMONTH(A55,-1)+1,猫统计!V:V,"&lt;="&amp;EOMONTH(A55,0))+COUNTIFS(猫统计!AB:AB,"&gt;="&amp;EOMONTH(A55,-1)+1,猫统计!AB:AB,"&lt;="&amp;EOMONTH(A55,0))+COUNTIFS(猫统计!AH:AH,"&gt;="&amp;EOMONTH(A55,-1)+1,猫统计!AH:AH,"&lt;="&amp;EOMONTH(A55,0))+COUNTIFS(猫统计!AN:AN,"&gt;="&amp;EOMONTH(A55,-1)+1,猫统计!AN:AN,"&lt;="&amp;EOMONTH(A55,0))+COUNTIFS(猫统计!AT:AT,"&gt;="&amp;EOMONTH(A55,-1)+1,猫统计!AT:AT,"&lt;="&amp;EOMONTH(A55,0))+COUNTIFS(猫统计!AZ:AZ,"&gt;="&amp;EOMONTH(A55,-1)+1,猫统计!AZ:AZ,"&lt;="&amp;EOMONTH(A55,0))+COUNTIFS(猫统计!BF:BF,"&gt;="&amp;EOMONTH(A55,-1)+1,猫统计!BF:BF,"&lt;="&amp;EOMONTH(A55,0))+COUNTIFS(猫统计!BL:BL,"&gt;="&amp;EOMONTH(A55,-1)+1,猫统计!BL:BL,"&lt;="&amp;EOMONTH(A55,0))</f>
        <v>0</v>
      </c>
      <c r="C55" s="2">
        <f t="shared" si="6"/>
        <v>0</v>
      </c>
      <c r="D55" s="2">
        <f>SUMIFS(猫统计!L:L,猫统计!J:J,"&gt;="&amp;EOMONTH(A55,-1)+1,猫统计!J:J,"&lt;="&amp;EOMONTH(A55,0))+SUMIFS(猫统计!R:R,猫统计!P:P,"&gt;="&amp;EOMONTH(A55,-1)+1,猫统计!P:P,"&lt;="&amp;EOMONTH(A55,0))+SUMIFS(猫统计!X:X,猫统计!V:V,"&gt;="&amp;EOMONTH(A55,-1)+1,猫统计!V:V,"&lt;="&amp;EOMONTH(A55,0))+SUMIFS(猫统计!AD:AD,猫统计!AB:AB,"&gt;="&amp;EOMONTH(A55,-1)+1,猫统计!AB:AB,"&lt;="&amp;EOMONTH(A55,0))+SUMIFS(猫统计!AJ:AJ,猫统计!AH:AH,"&gt;="&amp;EOMONTH(A55,-1)+1,猫统计!AH:AH,"&lt;="&amp;EOMONTH(A55,0))+SUMIFS(猫统计!AP:AP,猫统计!AN:AN,"&gt;="&amp;EOMONTH(A55,-1)+1,猫统计!AN:AN,"&lt;="&amp;EOMONTH(A55,0))+SUMIFS(猫统计!AV:AV,猫统计!AT:AT,"&gt;="&amp;EOMONTH(A55,-1)+1,猫统计!AT:AT,"&lt;="&amp;EOMONTH(A55,0))+SUMIFS(猫统计!BB:BB,猫统计!AZ:AZ,"&gt;="&amp;EOMONTH(A55,-1)+1,猫统计!AZ:AZ,"&lt;="&amp;EOMONTH(A55,0))+SUMIFS(猫统计!BH:BH,猫统计!BF:BF,"&gt;="&amp;EOMONTH(A55,-1)+1,猫统计!BF:BF,"&lt;="&amp;EOMONTH(A55,0))+SUMIFS(猫统计!BN:BN,猫统计!BL:BL,"&gt;="&amp;EOMONTH(A55,-1)+1,猫统计!BL:BL,"&lt;="&amp;EOMONTH(A55,0))</f>
        <v>0</v>
      </c>
      <c r="E55" s="2">
        <f>SUMIFS(猫统计!M:M,猫统计!J:J,"&gt;="&amp;EOMONTH(A55,-1)+1,猫统计!J:J,"&lt;="&amp;EOMONTH(A55,0))+SUMIFS(猫统计!S:S,猫统计!P:P,"&gt;="&amp;EOMONTH(A55,-1)+1,猫统计!P:P,"&lt;="&amp;EOMONTH(A55,0))+SUMIFS(猫统计!Y:Y,猫统计!V:V,"&gt;="&amp;EOMONTH(A55,-1)+1,猫统计!V:V,"&lt;="&amp;EOMONTH(A55,0))+SUMIFS(猫统计!AE:AE,猫统计!AB:AB,"&gt;="&amp;EOMONTH(A55,-1)+1,猫统计!AB:AB,"&lt;="&amp;EOMONTH(A55,0))+SUMIFS(猫统计!AK:AK,猫统计!AH:AH,"&gt;="&amp;EOMONTH(A55,-1)+1,猫统计!AH:AH,"&lt;="&amp;EOMONTH(A55,0))+SUMIFS(猫统计!AQ:AQ,猫统计!AN:AN,"&gt;="&amp;EOMONTH(A55,-1)+1,猫统计!AN:AN,"&lt;="&amp;EOMONTH(A55,0))+SUMIFS(猫统计!AW:AW,猫统计!AT:AT,"&gt;="&amp;EOMONTH(A55,-1)+1,猫统计!AT:AT,"&lt;="&amp;EOMONTH(A55,0))+SUMIFS(猫统计!BC:BC,猫统计!AZ:AZ,"&gt;="&amp;EOMONTH(A55,-1)+1,猫统计!AZ:AZ,"&lt;="&amp;EOMONTH(A55,0))+SUMIFS(猫统计!BI:BI,猫统计!BF:BF,"&gt;="&amp;EOMONTH(A55,-1)+1,猫统计!BF:BF,"&lt;="&amp;EOMONTH(A55,0))+SUMIFS(猫统计!BO:BO,猫统计!BL:BL,"&gt;="&amp;EOMONTH(A55,-1)+1,猫统计!BL:BL,"&lt;="&amp;EOMONTH(A55,0))</f>
        <v>0</v>
      </c>
      <c r="F55" s="5">
        <f>(E53+E54+E55)/(C53+C54+C55)</f>
        <v>0.75</v>
      </c>
      <c r="G55" s="5">
        <f>(E53+E54+E55)/(B53+B54+B55)</f>
        <v>3</v>
      </c>
    </row>
    <row r="56" spans="1:7" ht="15.75" thickTop="1"/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BJ71"/>
  <sheetViews>
    <sheetView zoomScale="90" zoomScaleNormal="90" workbookViewId="0">
      <pane ySplit="1" topLeftCell="A4" activePane="bottomLeft" state="frozen"/>
      <selection pane="bottomLeft" activeCell="AG42" sqref="AG42"/>
    </sheetView>
  </sheetViews>
  <sheetFormatPr defaultColWidth="9.140625" defaultRowHeight="15"/>
  <cols>
    <col min="1" max="12" width="9.42578125" style="4" customWidth="1"/>
    <col min="13" max="13" width="9.5703125" style="4" bestFit="1" customWidth="1"/>
    <col min="14" max="16" width="10.42578125" style="4" customWidth="1"/>
    <col min="17" max="17" width="9.140625" style="4" customWidth="1"/>
    <col min="18" max="18" width="17.140625" style="4" customWidth="1"/>
    <col min="19" max="19" width="10.42578125" style="4" customWidth="1"/>
    <col min="20" max="32" width="9.140625" style="4"/>
    <col min="33" max="33" width="9.140625" style="37"/>
    <col min="34" max="34" width="11.7109375" style="37" bestFit="1" customWidth="1"/>
    <col min="35" max="16384" width="9.140625" style="4"/>
  </cols>
  <sheetData>
    <row r="1" spans="1:62" ht="16.5" thickTop="1" thickBo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745</v>
      </c>
      <c r="F1" s="13" t="s">
        <v>375</v>
      </c>
      <c r="G1" s="13" t="s">
        <v>743</v>
      </c>
      <c r="H1" s="13" t="s">
        <v>746</v>
      </c>
      <c r="I1" s="13" t="s">
        <v>744</v>
      </c>
      <c r="J1" s="13" t="s">
        <v>444</v>
      </c>
      <c r="K1" s="13" t="s">
        <v>6</v>
      </c>
      <c r="L1" s="13" t="s">
        <v>5</v>
      </c>
      <c r="M1" s="13" t="s">
        <v>847</v>
      </c>
      <c r="N1" s="13" t="s">
        <v>555</v>
      </c>
      <c r="O1" s="13" t="s">
        <v>152</v>
      </c>
      <c r="P1" s="13" t="s">
        <v>153</v>
      </c>
      <c r="R1" s="13"/>
      <c r="S1" s="13" t="s">
        <v>160</v>
      </c>
      <c r="T1" s="13" t="s">
        <v>2</v>
      </c>
      <c r="U1" s="13" t="s">
        <v>3</v>
      </c>
      <c r="V1" s="13" t="s">
        <v>745</v>
      </c>
      <c r="W1" s="13" t="s">
        <v>375</v>
      </c>
      <c r="X1" s="13" t="s">
        <v>743</v>
      </c>
      <c r="Y1" s="13" t="s">
        <v>746</v>
      </c>
      <c r="Z1" s="13" t="s">
        <v>744</v>
      </c>
      <c r="AA1" s="13" t="s">
        <v>444</v>
      </c>
      <c r="AB1" s="13" t="s">
        <v>232</v>
      </c>
      <c r="AC1" s="13" t="s">
        <v>233</v>
      </c>
      <c r="AD1" s="13" t="s">
        <v>408</v>
      </c>
      <c r="AE1" s="13" t="s">
        <v>555</v>
      </c>
      <c r="AF1" s="13" t="s">
        <v>590</v>
      </c>
      <c r="AG1" s="36" t="s">
        <v>1041</v>
      </c>
      <c r="AH1" s="36" t="s">
        <v>1042</v>
      </c>
    </row>
    <row r="2" spans="1:62" ht="16.5" thickTop="1" thickBot="1">
      <c r="A2" s="14">
        <v>43556</v>
      </c>
      <c r="B2" s="15">
        <v>366</v>
      </c>
      <c r="C2" s="15">
        <v>226</v>
      </c>
      <c r="D2" s="15">
        <v>171</v>
      </c>
      <c r="E2" s="15">
        <v>0</v>
      </c>
      <c r="F2" s="15">
        <v>0</v>
      </c>
      <c r="G2" s="15">
        <v>525</v>
      </c>
      <c r="H2" s="15">
        <v>0</v>
      </c>
      <c r="I2" s="15">
        <v>0</v>
      </c>
      <c r="J2" s="15">
        <v>0</v>
      </c>
      <c r="K2" s="15">
        <v>0</v>
      </c>
      <c r="L2" s="15">
        <v>3094</v>
      </c>
      <c r="M2" s="15">
        <f>SUM(B2:L2)*-1</f>
        <v>-4382</v>
      </c>
      <c r="N2" s="15">
        <v>0</v>
      </c>
      <c r="O2" s="15">
        <f>(N2+M2)</f>
        <v>-4382</v>
      </c>
      <c r="P2" s="15">
        <v>-4382</v>
      </c>
      <c r="R2" s="13" t="s">
        <v>404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f>AE2+AD2</f>
        <v>0</v>
      </c>
      <c r="AG2" s="36"/>
      <c r="AH2" s="36"/>
      <c r="BJ2" s="4" t="s">
        <v>848</v>
      </c>
    </row>
    <row r="3" spans="1:62" ht="16.5" thickTop="1" thickBot="1">
      <c r="A3" s="14">
        <v>43586</v>
      </c>
      <c r="B3" s="15">
        <v>57</v>
      </c>
      <c r="C3" s="15">
        <v>0</v>
      </c>
      <c r="D3" s="15">
        <v>262</v>
      </c>
      <c r="E3" s="15">
        <v>0</v>
      </c>
      <c r="F3" s="15">
        <v>0</v>
      </c>
      <c r="G3" s="15">
        <v>264</v>
      </c>
      <c r="H3" s="15">
        <v>0</v>
      </c>
      <c r="I3" s="15">
        <v>0</v>
      </c>
      <c r="J3" s="15">
        <v>0</v>
      </c>
      <c r="K3" s="15">
        <v>0</v>
      </c>
      <c r="L3" s="15">
        <v>2306</v>
      </c>
      <c r="M3" s="15">
        <f t="shared" ref="M3:M37" si="0">SUM(B3:L3)*-1</f>
        <v>-2889</v>
      </c>
      <c r="N3" s="15">
        <v>0</v>
      </c>
      <c r="O3" s="15">
        <f t="shared" ref="O3:O37" si="1">(N3+M3)</f>
        <v>-2889</v>
      </c>
      <c r="P3" s="15">
        <f>P2+O3</f>
        <v>-7271</v>
      </c>
      <c r="R3" s="13" t="s">
        <v>405</v>
      </c>
      <c r="S3" s="13">
        <f t="shared" ref="S3:AE3" si="2">SUM(B2:B4)</f>
        <v>423</v>
      </c>
      <c r="T3" s="13">
        <f t="shared" si="2"/>
        <v>226</v>
      </c>
      <c r="U3" s="13">
        <f t="shared" si="2"/>
        <v>648</v>
      </c>
      <c r="V3" s="13">
        <f t="shared" si="2"/>
        <v>0</v>
      </c>
      <c r="W3" s="13">
        <f t="shared" si="2"/>
        <v>0</v>
      </c>
      <c r="X3" s="13">
        <f t="shared" si="2"/>
        <v>1014</v>
      </c>
      <c r="Y3" s="13">
        <f t="shared" si="2"/>
        <v>0</v>
      </c>
      <c r="Z3" s="13">
        <f t="shared" si="2"/>
        <v>0</v>
      </c>
      <c r="AA3" s="13">
        <f t="shared" si="2"/>
        <v>0</v>
      </c>
      <c r="AB3" s="13">
        <f t="shared" si="2"/>
        <v>0</v>
      </c>
      <c r="AC3" s="13">
        <f t="shared" si="2"/>
        <v>15537</v>
      </c>
      <c r="AD3" s="13">
        <f t="shared" si="2"/>
        <v>-17848</v>
      </c>
      <c r="AE3" s="13">
        <f t="shared" si="2"/>
        <v>0</v>
      </c>
      <c r="AF3" s="13">
        <f t="shared" ref="AF3:AF14" si="3">AE3+AD3</f>
        <v>-17848</v>
      </c>
      <c r="AG3" s="36"/>
      <c r="AH3" s="36"/>
    </row>
    <row r="4" spans="1:62" ht="16.5" thickTop="1" thickBot="1">
      <c r="A4" s="14">
        <v>43617</v>
      </c>
      <c r="B4" s="15">
        <v>0</v>
      </c>
      <c r="C4" s="15">
        <v>0</v>
      </c>
      <c r="D4" s="15">
        <v>215</v>
      </c>
      <c r="E4" s="15">
        <v>0</v>
      </c>
      <c r="F4" s="15">
        <v>0</v>
      </c>
      <c r="G4" s="15">
        <v>225</v>
      </c>
      <c r="H4" s="15">
        <v>0</v>
      </c>
      <c r="I4" s="15">
        <v>0</v>
      </c>
      <c r="J4" s="15">
        <v>0</v>
      </c>
      <c r="K4" s="15">
        <v>0</v>
      </c>
      <c r="L4" s="15">
        <v>10137</v>
      </c>
      <c r="M4" s="15">
        <f t="shared" si="0"/>
        <v>-10577</v>
      </c>
      <c r="N4" s="15">
        <v>0</v>
      </c>
      <c r="O4" s="15">
        <f t="shared" si="1"/>
        <v>-10577</v>
      </c>
      <c r="P4" s="15">
        <f>P3+O4</f>
        <v>-17848</v>
      </c>
      <c r="R4" s="13" t="s">
        <v>406</v>
      </c>
      <c r="S4" s="13">
        <f t="shared" ref="S4:AE4" si="4">SUM(B5:B7)</f>
        <v>2172</v>
      </c>
      <c r="T4" s="13">
        <f t="shared" si="4"/>
        <v>710</v>
      </c>
      <c r="U4" s="13">
        <f t="shared" si="4"/>
        <v>285</v>
      </c>
      <c r="V4" s="13">
        <f t="shared" si="4"/>
        <v>0</v>
      </c>
      <c r="W4" s="13">
        <f t="shared" si="4"/>
        <v>0</v>
      </c>
      <c r="X4" s="13">
        <f t="shared" si="4"/>
        <v>4908</v>
      </c>
      <c r="Y4" s="13">
        <f t="shared" si="4"/>
        <v>0</v>
      </c>
      <c r="Z4" s="13">
        <f t="shared" si="4"/>
        <v>0</v>
      </c>
      <c r="AA4" s="13">
        <f t="shared" si="4"/>
        <v>0</v>
      </c>
      <c r="AB4" s="13">
        <f t="shared" si="4"/>
        <v>0</v>
      </c>
      <c r="AC4" s="13">
        <f t="shared" si="4"/>
        <v>22980</v>
      </c>
      <c r="AD4" s="13">
        <f t="shared" si="4"/>
        <v>-31055</v>
      </c>
      <c r="AE4" s="13">
        <f t="shared" si="4"/>
        <v>6600</v>
      </c>
      <c r="AF4" s="13">
        <f t="shared" si="3"/>
        <v>-24455</v>
      </c>
      <c r="AG4" s="36"/>
      <c r="AH4" s="36"/>
    </row>
    <row r="5" spans="1:62" ht="16.5" thickTop="1" thickBot="1">
      <c r="A5" s="14">
        <v>43647</v>
      </c>
      <c r="B5" s="15">
        <v>1323</v>
      </c>
      <c r="C5" s="15">
        <v>328</v>
      </c>
      <c r="D5" s="15">
        <v>137</v>
      </c>
      <c r="E5" s="15">
        <v>0</v>
      </c>
      <c r="F5" s="15">
        <v>0</v>
      </c>
      <c r="G5" s="15">
        <v>1177</v>
      </c>
      <c r="H5" s="15">
        <v>0</v>
      </c>
      <c r="I5" s="15">
        <v>0</v>
      </c>
      <c r="J5" s="15">
        <v>0</v>
      </c>
      <c r="K5" s="15">
        <v>0</v>
      </c>
      <c r="L5" s="15">
        <v>3302</v>
      </c>
      <c r="M5" s="15">
        <f t="shared" si="0"/>
        <v>-6267</v>
      </c>
      <c r="N5" s="15">
        <v>0</v>
      </c>
      <c r="O5" s="15">
        <f t="shared" si="1"/>
        <v>-6267</v>
      </c>
      <c r="P5" s="15">
        <f t="shared" ref="P5:P40" si="5">P4+O5</f>
        <v>-24115</v>
      </c>
      <c r="R5" s="13" t="s">
        <v>407</v>
      </c>
      <c r="S5" s="13">
        <f t="shared" ref="S5:AE5" si="6">SUM(B8:B10)</f>
        <v>4971</v>
      </c>
      <c r="T5" s="13">
        <f t="shared" si="6"/>
        <v>708</v>
      </c>
      <c r="U5" s="13">
        <f t="shared" si="6"/>
        <v>295</v>
      </c>
      <c r="V5" s="13">
        <f t="shared" si="6"/>
        <v>0</v>
      </c>
      <c r="W5" s="13">
        <f t="shared" si="6"/>
        <v>0</v>
      </c>
      <c r="X5" s="13">
        <f t="shared" si="6"/>
        <v>6046</v>
      </c>
      <c r="Y5" s="13">
        <f t="shared" si="6"/>
        <v>0</v>
      </c>
      <c r="Z5" s="13">
        <f t="shared" si="6"/>
        <v>0</v>
      </c>
      <c r="AA5" s="13">
        <f t="shared" si="6"/>
        <v>0</v>
      </c>
      <c r="AB5" s="13">
        <f t="shared" si="6"/>
        <v>10400</v>
      </c>
      <c r="AC5" s="13">
        <f t="shared" si="6"/>
        <v>20408</v>
      </c>
      <c r="AD5" s="13">
        <f t="shared" si="6"/>
        <v>-42828</v>
      </c>
      <c r="AE5" s="13">
        <f t="shared" si="6"/>
        <v>9000</v>
      </c>
      <c r="AF5" s="13">
        <f t="shared" si="3"/>
        <v>-33828</v>
      </c>
      <c r="AG5" s="36"/>
      <c r="AH5" s="36"/>
    </row>
    <row r="6" spans="1:62" ht="16.5" thickTop="1" thickBot="1">
      <c r="A6" s="14">
        <v>43678</v>
      </c>
      <c r="B6" s="15">
        <v>690</v>
      </c>
      <c r="C6" s="15">
        <v>332</v>
      </c>
      <c r="D6" s="15">
        <v>148</v>
      </c>
      <c r="E6" s="15">
        <v>0</v>
      </c>
      <c r="F6" s="15">
        <v>0</v>
      </c>
      <c r="G6" s="15">
        <v>892</v>
      </c>
      <c r="H6" s="15">
        <v>0</v>
      </c>
      <c r="I6" s="15">
        <v>0</v>
      </c>
      <c r="J6" s="15">
        <v>0</v>
      </c>
      <c r="K6" s="15">
        <v>0</v>
      </c>
      <c r="L6" s="15">
        <v>4016</v>
      </c>
      <c r="M6" s="15">
        <f t="shared" si="0"/>
        <v>-6078</v>
      </c>
      <c r="N6" s="15">
        <v>0</v>
      </c>
      <c r="O6" s="15">
        <f t="shared" si="1"/>
        <v>-6078</v>
      </c>
      <c r="P6" s="15">
        <f t="shared" si="5"/>
        <v>-30193</v>
      </c>
      <c r="R6" s="13" t="s">
        <v>157</v>
      </c>
      <c r="S6" s="13">
        <f t="shared" ref="S6:AE6" si="7">SUM(B11:B13)</f>
        <v>3325</v>
      </c>
      <c r="T6" s="13">
        <f t="shared" si="7"/>
        <v>894</v>
      </c>
      <c r="U6" s="13">
        <f t="shared" si="7"/>
        <v>2150</v>
      </c>
      <c r="V6" s="13">
        <f t="shared" si="7"/>
        <v>0</v>
      </c>
      <c r="W6" s="13">
        <f t="shared" si="7"/>
        <v>0</v>
      </c>
      <c r="X6" s="13">
        <f t="shared" si="7"/>
        <v>5082</v>
      </c>
      <c r="Y6" s="13">
        <f t="shared" si="7"/>
        <v>0</v>
      </c>
      <c r="Z6" s="13">
        <f t="shared" si="7"/>
        <v>0</v>
      </c>
      <c r="AA6" s="13">
        <f t="shared" si="7"/>
        <v>0</v>
      </c>
      <c r="AB6" s="13">
        <f t="shared" si="7"/>
        <v>38900</v>
      </c>
      <c r="AC6" s="13">
        <f t="shared" si="7"/>
        <v>9837</v>
      </c>
      <c r="AD6" s="13">
        <f t="shared" si="7"/>
        <v>-60188</v>
      </c>
      <c r="AE6" s="13">
        <f t="shared" si="7"/>
        <v>37400</v>
      </c>
      <c r="AF6" s="13">
        <f t="shared" si="3"/>
        <v>-22788</v>
      </c>
      <c r="AG6" s="36"/>
      <c r="AH6" s="36"/>
    </row>
    <row r="7" spans="1:62" ht="16.5" thickTop="1" thickBot="1">
      <c r="A7" s="14">
        <v>43709</v>
      </c>
      <c r="B7" s="15">
        <v>159</v>
      </c>
      <c r="C7" s="15">
        <v>50</v>
      </c>
      <c r="D7" s="15">
        <v>0</v>
      </c>
      <c r="E7" s="15">
        <v>0</v>
      </c>
      <c r="F7" s="15">
        <v>0</v>
      </c>
      <c r="G7" s="15">
        <v>2839</v>
      </c>
      <c r="H7" s="15">
        <v>0</v>
      </c>
      <c r="I7" s="15">
        <v>0</v>
      </c>
      <c r="J7" s="15">
        <v>0</v>
      </c>
      <c r="K7" s="15">
        <v>0</v>
      </c>
      <c r="L7" s="15">
        <v>15662</v>
      </c>
      <c r="M7" s="15">
        <f t="shared" si="0"/>
        <v>-18710</v>
      </c>
      <c r="N7" s="15">
        <f>卖猫!M2</f>
        <v>6600</v>
      </c>
      <c r="O7" s="15">
        <f t="shared" si="1"/>
        <v>-12110</v>
      </c>
      <c r="P7" s="15">
        <f t="shared" si="5"/>
        <v>-42303</v>
      </c>
      <c r="R7" s="13" t="s">
        <v>156</v>
      </c>
      <c r="S7" s="13">
        <f t="shared" ref="S7:AE7" si="8">SUM(B14:B16)</f>
        <v>4287</v>
      </c>
      <c r="T7" s="13">
        <f t="shared" si="8"/>
        <v>2784</v>
      </c>
      <c r="U7" s="13">
        <f t="shared" si="8"/>
        <v>1788</v>
      </c>
      <c r="V7" s="13">
        <f t="shared" si="8"/>
        <v>514</v>
      </c>
      <c r="W7" s="13">
        <f t="shared" si="8"/>
        <v>0</v>
      </c>
      <c r="X7" s="13">
        <f t="shared" si="8"/>
        <v>8628</v>
      </c>
      <c r="Y7" s="13">
        <f t="shared" si="8"/>
        <v>0</v>
      </c>
      <c r="Z7" s="13">
        <f t="shared" si="8"/>
        <v>0</v>
      </c>
      <c r="AA7" s="13">
        <f t="shared" si="8"/>
        <v>0</v>
      </c>
      <c r="AB7" s="13">
        <f t="shared" si="8"/>
        <v>42912</v>
      </c>
      <c r="AC7" s="13">
        <f t="shared" si="8"/>
        <v>9084</v>
      </c>
      <c r="AD7" s="13">
        <f t="shared" si="8"/>
        <v>-69997</v>
      </c>
      <c r="AE7" s="13">
        <f t="shared" si="8"/>
        <v>46800</v>
      </c>
      <c r="AF7" s="13">
        <f t="shared" si="3"/>
        <v>-23197</v>
      </c>
      <c r="AG7" s="36"/>
      <c r="AH7" s="36"/>
    </row>
    <row r="8" spans="1:62" ht="16.5" thickTop="1" thickBot="1">
      <c r="A8" s="14">
        <v>43739</v>
      </c>
      <c r="B8" s="15">
        <v>1496</v>
      </c>
      <c r="C8" s="15">
        <v>189</v>
      </c>
      <c r="D8" s="15">
        <v>0</v>
      </c>
      <c r="E8" s="15">
        <v>0</v>
      </c>
      <c r="F8" s="15">
        <v>0</v>
      </c>
      <c r="G8" s="15">
        <v>1303</v>
      </c>
      <c r="H8" s="15">
        <v>0</v>
      </c>
      <c r="I8" s="15">
        <v>0</v>
      </c>
      <c r="J8" s="15">
        <v>0</v>
      </c>
      <c r="K8" s="15">
        <v>0</v>
      </c>
      <c r="L8" s="15">
        <v>6783</v>
      </c>
      <c r="M8" s="15">
        <f t="shared" si="0"/>
        <v>-9771</v>
      </c>
      <c r="N8" s="15">
        <f>卖猫!M3</f>
        <v>500</v>
      </c>
      <c r="O8" s="15">
        <f t="shared" si="1"/>
        <v>-9271</v>
      </c>
      <c r="P8" s="15">
        <f t="shared" si="5"/>
        <v>-51574</v>
      </c>
      <c r="R8" s="13" t="s">
        <v>158</v>
      </c>
      <c r="S8" s="13">
        <f t="shared" ref="S8:AE8" si="9">SUM(B17:B19)</f>
        <v>1526</v>
      </c>
      <c r="T8" s="13">
        <f t="shared" si="9"/>
        <v>1352</v>
      </c>
      <c r="U8" s="13">
        <f t="shared" si="9"/>
        <v>1641</v>
      </c>
      <c r="V8" s="13">
        <f t="shared" si="9"/>
        <v>1252</v>
      </c>
      <c r="W8" s="13">
        <f t="shared" si="9"/>
        <v>100</v>
      </c>
      <c r="X8" s="13">
        <f t="shared" si="9"/>
        <v>712</v>
      </c>
      <c r="Y8" s="13">
        <f t="shared" si="9"/>
        <v>3500</v>
      </c>
      <c r="Z8" s="13">
        <f t="shared" si="9"/>
        <v>1697</v>
      </c>
      <c r="AA8" s="13">
        <f t="shared" si="9"/>
        <v>660</v>
      </c>
      <c r="AB8" s="13">
        <f t="shared" si="9"/>
        <v>23100</v>
      </c>
      <c r="AC8" s="13">
        <f t="shared" si="9"/>
        <v>10792</v>
      </c>
      <c r="AD8" s="13">
        <f t="shared" si="9"/>
        <v>-46332</v>
      </c>
      <c r="AE8" s="13">
        <f t="shared" si="9"/>
        <v>21000</v>
      </c>
      <c r="AF8" s="13">
        <f t="shared" si="3"/>
        <v>-25332</v>
      </c>
      <c r="AG8" s="36"/>
      <c r="AH8" s="36"/>
    </row>
    <row r="9" spans="1:62" ht="16.5" thickTop="1" thickBot="1">
      <c r="A9" s="14">
        <v>43770</v>
      </c>
      <c r="B9" s="15">
        <v>802</v>
      </c>
      <c r="C9" s="15">
        <v>390</v>
      </c>
      <c r="D9" s="15">
        <v>28</v>
      </c>
      <c r="E9" s="15">
        <v>0</v>
      </c>
      <c r="F9" s="15">
        <v>0</v>
      </c>
      <c r="G9" s="15">
        <v>1018</v>
      </c>
      <c r="H9" s="15">
        <v>0</v>
      </c>
      <c r="I9" s="15">
        <v>0</v>
      </c>
      <c r="J9" s="15">
        <v>0</v>
      </c>
      <c r="K9" s="15">
        <v>0</v>
      </c>
      <c r="L9" s="15">
        <v>7686</v>
      </c>
      <c r="M9" s="15">
        <f t="shared" si="0"/>
        <v>-9924</v>
      </c>
      <c r="N9" s="15">
        <f>卖猫!M4</f>
        <v>4900</v>
      </c>
      <c r="O9" s="15">
        <f t="shared" si="1"/>
        <v>-5024</v>
      </c>
      <c r="P9" s="15">
        <f t="shared" si="5"/>
        <v>-56598</v>
      </c>
      <c r="R9" s="13" t="s">
        <v>159</v>
      </c>
      <c r="S9" s="13">
        <f t="shared" ref="S9:AE9" si="10">SUM(B20:B22)</f>
        <v>6107</v>
      </c>
      <c r="T9" s="13">
        <f t="shared" si="10"/>
        <v>2214</v>
      </c>
      <c r="U9" s="13">
        <f t="shared" si="10"/>
        <v>313</v>
      </c>
      <c r="V9" s="13">
        <f t="shared" si="10"/>
        <v>1517</v>
      </c>
      <c r="W9" s="13">
        <f t="shared" si="10"/>
        <v>3085</v>
      </c>
      <c r="X9" s="13">
        <f t="shared" si="10"/>
        <v>1854</v>
      </c>
      <c r="Y9" s="13">
        <f t="shared" si="10"/>
        <v>0</v>
      </c>
      <c r="Z9" s="13">
        <f t="shared" si="10"/>
        <v>591</v>
      </c>
      <c r="AA9" s="13">
        <f t="shared" si="10"/>
        <v>400</v>
      </c>
      <c r="AB9" s="13">
        <f t="shared" si="10"/>
        <v>4100</v>
      </c>
      <c r="AC9" s="13">
        <f t="shared" si="10"/>
        <v>6755</v>
      </c>
      <c r="AD9" s="13">
        <f t="shared" si="10"/>
        <v>-26936</v>
      </c>
      <c r="AE9" s="13">
        <f t="shared" si="10"/>
        <v>10500</v>
      </c>
      <c r="AF9" s="13">
        <f t="shared" si="3"/>
        <v>-16436</v>
      </c>
      <c r="AG9" s="36"/>
      <c r="AH9" s="36"/>
    </row>
    <row r="10" spans="1:62" ht="16.5" thickTop="1" thickBot="1">
      <c r="A10" s="14">
        <v>43800</v>
      </c>
      <c r="B10" s="15">
        <v>2673</v>
      </c>
      <c r="C10" s="15">
        <v>129</v>
      </c>
      <c r="D10" s="15">
        <v>267</v>
      </c>
      <c r="E10" s="15">
        <v>0</v>
      </c>
      <c r="F10" s="15">
        <v>0</v>
      </c>
      <c r="G10" s="15">
        <v>3725</v>
      </c>
      <c r="H10" s="15">
        <v>0</v>
      </c>
      <c r="I10" s="15">
        <v>0</v>
      </c>
      <c r="J10" s="15">
        <v>0</v>
      </c>
      <c r="K10" s="15">
        <v>10400</v>
      </c>
      <c r="L10" s="15">
        <v>5939</v>
      </c>
      <c r="M10" s="15">
        <f t="shared" si="0"/>
        <v>-23133</v>
      </c>
      <c r="N10" s="15">
        <f>卖猫!M5</f>
        <v>3600</v>
      </c>
      <c r="O10" s="15">
        <f t="shared" si="1"/>
        <v>-19533</v>
      </c>
      <c r="P10" s="15">
        <f t="shared" si="5"/>
        <v>-76131</v>
      </c>
      <c r="R10" s="13" t="s">
        <v>296</v>
      </c>
      <c r="S10" s="13">
        <f t="shared" ref="S10:AE10" si="11">SUM(B23:B25)</f>
        <v>4546</v>
      </c>
      <c r="T10" s="13">
        <f t="shared" si="11"/>
        <v>1530</v>
      </c>
      <c r="U10" s="13">
        <f t="shared" si="11"/>
        <v>726</v>
      </c>
      <c r="V10" s="13">
        <f t="shared" si="11"/>
        <v>2001</v>
      </c>
      <c r="W10" s="13">
        <f t="shared" si="11"/>
        <v>2019</v>
      </c>
      <c r="X10" s="13">
        <f t="shared" si="11"/>
        <v>2655</v>
      </c>
      <c r="Y10" s="13">
        <f t="shared" si="11"/>
        <v>1400</v>
      </c>
      <c r="Z10" s="13">
        <f t="shared" si="11"/>
        <v>540</v>
      </c>
      <c r="AA10" s="13">
        <f t="shared" si="11"/>
        <v>1881</v>
      </c>
      <c r="AB10" s="13">
        <f t="shared" si="11"/>
        <v>1000</v>
      </c>
      <c r="AC10" s="13">
        <f t="shared" si="11"/>
        <v>6202</v>
      </c>
      <c r="AD10" s="13">
        <f t="shared" si="11"/>
        <v>-24500</v>
      </c>
      <c r="AE10" s="13">
        <f t="shared" si="11"/>
        <v>24400</v>
      </c>
      <c r="AF10" s="13">
        <f t="shared" si="3"/>
        <v>-100</v>
      </c>
      <c r="AG10" s="36"/>
      <c r="AH10" s="36"/>
    </row>
    <row r="11" spans="1:62" ht="16.5" thickTop="1" thickBot="1">
      <c r="A11" s="14">
        <v>43831</v>
      </c>
      <c r="B11" s="15">
        <v>1070</v>
      </c>
      <c r="C11" s="15">
        <v>32</v>
      </c>
      <c r="D11" s="15">
        <v>708</v>
      </c>
      <c r="E11" s="15">
        <v>0</v>
      </c>
      <c r="F11" s="15">
        <v>0</v>
      </c>
      <c r="G11" s="15">
        <v>2752</v>
      </c>
      <c r="H11" s="15">
        <v>0</v>
      </c>
      <c r="I11" s="15">
        <v>0</v>
      </c>
      <c r="J11" s="15">
        <v>0</v>
      </c>
      <c r="K11" s="15">
        <v>3900</v>
      </c>
      <c r="L11" s="15">
        <v>1319</v>
      </c>
      <c r="M11" s="15">
        <f t="shared" si="0"/>
        <v>-9781</v>
      </c>
      <c r="N11" s="15">
        <f>卖猫!M6</f>
        <v>2500</v>
      </c>
      <c r="O11" s="15">
        <f t="shared" si="1"/>
        <v>-7281</v>
      </c>
      <c r="P11" s="15">
        <f t="shared" si="5"/>
        <v>-83412</v>
      </c>
      <c r="R11" s="13" t="s">
        <v>297</v>
      </c>
      <c r="S11" s="13">
        <f t="shared" ref="S11:AE11" si="12">SUM(B26:B28)</f>
        <v>12003</v>
      </c>
      <c r="T11" s="13">
        <f t="shared" si="12"/>
        <v>2163</v>
      </c>
      <c r="U11" s="13">
        <f t="shared" si="12"/>
        <v>679</v>
      </c>
      <c r="V11" s="13">
        <f t="shared" si="12"/>
        <v>2306</v>
      </c>
      <c r="W11" s="13">
        <f t="shared" si="12"/>
        <v>2040</v>
      </c>
      <c r="X11" s="13">
        <f t="shared" si="12"/>
        <v>1759</v>
      </c>
      <c r="Y11" s="13">
        <f t="shared" si="12"/>
        <v>1110</v>
      </c>
      <c r="Z11" s="13">
        <f t="shared" si="12"/>
        <v>835</v>
      </c>
      <c r="AA11" s="13">
        <f t="shared" si="12"/>
        <v>887</v>
      </c>
      <c r="AB11" s="13">
        <f t="shared" si="12"/>
        <v>2800</v>
      </c>
      <c r="AC11" s="13">
        <f t="shared" si="12"/>
        <v>37792</v>
      </c>
      <c r="AD11" s="13">
        <f t="shared" si="12"/>
        <v>-64374</v>
      </c>
      <c r="AE11" s="13">
        <f t="shared" si="12"/>
        <v>41195</v>
      </c>
      <c r="AF11" s="13">
        <f t="shared" si="3"/>
        <v>-23179</v>
      </c>
      <c r="AG11" s="36"/>
      <c r="AH11" s="36"/>
    </row>
    <row r="12" spans="1:62" ht="16.5" thickTop="1" thickBot="1">
      <c r="A12" s="14">
        <v>43862</v>
      </c>
      <c r="B12" s="15">
        <v>0</v>
      </c>
      <c r="C12" s="15">
        <v>693</v>
      </c>
      <c r="D12" s="15">
        <v>893</v>
      </c>
      <c r="E12" s="15">
        <v>0</v>
      </c>
      <c r="F12" s="15">
        <v>0</v>
      </c>
      <c r="G12" s="15">
        <v>1120</v>
      </c>
      <c r="H12" s="15">
        <v>0</v>
      </c>
      <c r="I12" s="15">
        <v>0</v>
      </c>
      <c r="J12" s="15">
        <v>0</v>
      </c>
      <c r="K12" s="15">
        <v>4000</v>
      </c>
      <c r="L12" s="15">
        <v>1985</v>
      </c>
      <c r="M12" s="15">
        <f t="shared" si="0"/>
        <v>-8691</v>
      </c>
      <c r="N12" s="15">
        <f>卖猫!M7</f>
        <v>8800</v>
      </c>
      <c r="O12" s="15">
        <f t="shared" si="1"/>
        <v>109</v>
      </c>
      <c r="P12" s="15">
        <f t="shared" si="5"/>
        <v>-83303</v>
      </c>
      <c r="R12" s="13" t="s">
        <v>298</v>
      </c>
      <c r="S12" s="13">
        <f t="shared" ref="S12:AE12" si="13">SUM(B29:B31)</f>
        <v>6271</v>
      </c>
      <c r="T12" s="13">
        <f t="shared" si="13"/>
        <v>2901</v>
      </c>
      <c r="U12" s="13">
        <f t="shared" si="13"/>
        <v>804</v>
      </c>
      <c r="V12" s="13">
        <f t="shared" si="13"/>
        <v>1251</v>
      </c>
      <c r="W12" s="13">
        <f t="shared" si="13"/>
        <v>1163</v>
      </c>
      <c r="X12" s="13">
        <f t="shared" si="13"/>
        <v>2688</v>
      </c>
      <c r="Y12" s="13">
        <f t="shared" si="13"/>
        <v>490</v>
      </c>
      <c r="Z12" s="13">
        <f t="shared" si="13"/>
        <v>5535</v>
      </c>
      <c r="AA12" s="13">
        <f t="shared" si="13"/>
        <v>452</v>
      </c>
      <c r="AB12" s="13">
        <f t="shared" si="13"/>
        <v>0</v>
      </c>
      <c r="AC12" s="13">
        <f t="shared" si="13"/>
        <v>795</v>
      </c>
      <c r="AD12" s="13">
        <f t="shared" si="13"/>
        <v>-22350</v>
      </c>
      <c r="AE12" s="13">
        <f t="shared" si="13"/>
        <v>33845</v>
      </c>
      <c r="AF12" s="13">
        <f t="shared" si="3"/>
        <v>11495</v>
      </c>
      <c r="AG12" s="36"/>
      <c r="AH12" s="36"/>
    </row>
    <row r="13" spans="1:62" ht="16.5" thickTop="1" thickBot="1">
      <c r="A13" s="14">
        <v>43891</v>
      </c>
      <c r="B13" s="15">
        <v>2255</v>
      </c>
      <c r="C13" s="15">
        <v>169</v>
      </c>
      <c r="D13" s="15">
        <v>549</v>
      </c>
      <c r="E13" s="15">
        <v>0</v>
      </c>
      <c r="F13" s="15">
        <v>0</v>
      </c>
      <c r="G13" s="15">
        <v>1210</v>
      </c>
      <c r="H13" s="15">
        <v>0</v>
      </c>
      <c r="I13" s="15">
        <v>0</v>
      </c>
      <c r="J13" s="15">
        <v>0</v>
      </c>
      <c r="K13" s="15">
        <v>31000</v>
      </c>
      <c r="L13" s="15">
        <v>6533</v>
      </c>
      <c r="M13" s="15">
        <f t="shared" si="0"/>
        <v>-41716</v>
      </c>
      <c r="N13" s="15">
        <f>卖猫!M8</f>
        <v>26100</v>
      </c>
      <c r="O13" s="15">
        <f t="shared" si="1"/>
        <v>-15616</v>
      </c>
      <c r="P13" s="15">
        <f t="shared" si="5"/>
        <v>-98919</v>
      </c>
      <c r="R13" s="13" t="s">
        <v>299</v>
      </c>
      <c r="S13" s="13">
        <f t="shared" ref="S13:AE13" si="14">SUM(B32:B34)</f>
        <v>10268</v>
      </c>
      <c r="T13" s="13">
        <f t="shared" si="14"/>
        <v>4174</v>
      </c>
      <c r="U13" s="13">
        <f t="shared" si="14"/>
        <v>1536</v>
      </c>
      <c r="V13" s="13">
        <f t="shared" si="14"/>
        <v>1897</v>
      </c>
      <c r="W13" s="13">
        <f t="shared" si="14"/>
        <v>3781</v>
      </c>
      <c r="X13" s="13">
        <f t="shared" si="14"/>
        <v>1388</v>
      </c>
      <c r="Y13" s="13">
        <f t="shared" si="14"/>
        <v>1724</v>
      </c>
      <c r="Z13" s="13">
        <f t="shared" si="14"/>
        <v>2820</v>
      </c>
      <c r="AA13" s="13">
        <f t="shared" si="14"/>
        <v>641</v>
      </c>
      <c r="AB13" s="13">
        <f t="shared" si="14"/>
        <v>800</v>
      </c>
      <c r="AC13" s="13">
        <f t="shared" si="14"/>
        <v>3425</v>
      </c>
      <c r="AD13" s="13">
        <f t="shared" si="14"/>
        <v>-32454</v>
      </c>
      <c r="AE13" s="13">
        <f t="shared" si="14"/>
        <v>45195</v>
      </c>
      <c r="AF13" s="13">
        <f t="shared" si="3"/>
        <v>12741</v>
      </c>
      <c r="AG13" s="36">
        <f>(数量统计!K2+数量统计!K3+数量统计!K4)/3</f>
        <v>100.33333333333333</v>
      </c>
      <c r="AH13" s="36">
        <f t="shared" ref="AH13:AH22" si="15">((AD13+AB13)/AG13*-1)/3</f>
        <v>105.16279069767442</v>
      </c>
    </row>
    <row r="14" spans="1:62" ht="16.5" thickTop="1" thickBot="1">
      <c r="A14" s="14">
        <v>43922</v>
      </c>
      <c r="B14" s="15">
        <v>0</v>
      </c>
      <c r="C14" s="15">
        <v>536</v>
      </c>
      <c r="D14" s="15">
        <v>285</v>
      </c>
      <c r="E14" s="15">
        <v>0</v>
      </c>
      <c r="F14" s="15">
        <v>0</v>
      </c>
      <c r="G14" s="15">
        <v>6446</v>
      </c>
      <c r="H14" s="15">
        <v>0</v>
      </c>
      <c r="I14" s="15">
        <v>0</v>
      </c>
      <c r="J14" s="15">
        <v>0</v>
      </c>
      <c r="K14" s="15">
        <v>26932</v>
      </c>
      <c r="L14" s="15">
        <v>2028</v>
      </c>
      <c r="M14" s="15">
        <f t="shared" si="0"/>
        <v>-36227</v>
      </c>
      <c r="N14" s="15">
        <f>卖猫!M9</f>
        <v>18800</v>
      </c>
      <c r="O14" s="15">
        <f t="shared" si="1"/>
        <v>-17427</v>
      </c>
      <c r="P14" s="15">
        <f t="shared" si="5"/>
        <v>-116346</v>
      </c>
      <c r="R14" s="13" t="s">
        <v>300</v>
      </c>
      <c r="S14" s="13">
        <f t="shared" ref="S14:AE14" si="16">SUM(B35:B37)</f>
        <v>6551</v>
      </c>
      <c r="T14" s="13">
        <f t="shared" si="16"/>
        <v>1420</v>
      </c>
      <c r="U14" s="13">
        <f t="shared" si="16"/>
        <v>751</v>
      </c>
      <c r="V14" s="13">
        <f t="shared" si="16"/>
        <v>1605</v>
      </c>
      <c r="W14" s="13">
        <f t="shared" si="16"/>
        <v>4129</v>
      </c>
      <c r="X14" s="13">
        <f t="shared" si="16"/>
        <v>2088</v>
      </c>
      <c r="Y14" s="13">
        <f t="shared" si="16"/>
        <v>450</v>
      </c>
      <c r="Z14" s="13">
        <f t="shared" si="16"/>
        <v>1438</v>
      </c>
      <c r="AA14" s="13">
        <f t="shared" si="16"/>
        <v>845</v>
      </c>
      <c r="AB14" s="13">
        <f t="shared" si="16"/>
        <v>0</v>
      </c>
      <c r="AC14" s="13">
        <f t="shared" si="16"/>
        <v>7835</v>
      </c>
      <c r="AD14" s="13">
        <f t="shared" si="16"/>
        <v>-27112</v>
      </c>
      <c r="AE14" s="13">
        <f t="shared" si="16"/>
        <v>21045</v>
      </c>
      <c r="AF14" s="13">
        <f t="shared" si="3"/>
        <v>-6067</v>
      </c>
      <c r="AG14" s="36">
        <f>(数量统计!K5+数量统计!K6+数量统计!K7)/3</f>
        <v>72.666666666666671</v>
      </c>
      <c r="AH14" s="36">
        <f t="shared" si="15"/>
        <v>124.36697247706421</v>
      </c>
    </row>
    <row r="15" spans="1:62" ht="16.5" thickTop="1" thickBot="1">
      <c r="A15" s="14">
        <v>43952</v>
      </c>
      <c r="B15" s="15">
        <v>0</v>
      </c>
      <c r="C15" s="15">
        <v>898</v>
      </c>
      <c r="D15" s="15">
        <v>588</v>
      </c>
      <c r="E15" s="15">
        <v>403</v>
      </c>
      <c r="F15" s="15">
        <v>0</v>
      </c>
      <c r="G15" s="15">
        <v>931</v>
      </c>
      <c r="H15" s="15">
        <v>0</v>
      </c>
      <c r="I15" s="15">
        <v>0</v>
      </c>
      <c r="J15" s="15">
        <v>0</v>
      </c>
      <c r="K15" s="15">
        <v>7000</v>
      </c>
      <c r="L15" s="15">
        <v>1270</v>
      </c>
      <c r="M15" s="15">
        <f t="shared" si="0"/>
        <v>-11090</v>
      </c>
      <c r="N15" s="15">
        <f>卖猫!M10</f>
        <v>9300</v>
      </c>
      <c r="O15" s="15">
        <f t="shared" si="1"/>
        <v>-1790</v>
      </c>
      <c r="P15" s="15">
        <f t="shared" si="5"/>
        <v>-118136</v>
      </c>
      <c r="R15" s="13" t="s">
        <v>301</v>
      </c>
      <c r="S15" s="13">
        <f>SUM(B38:B40)</f>
        <v>4551</v>
      </c>
      <c r="T15" s="13">
        <f t="shared" ref="T15:AC15" si="17">SUM(C38:C40)</f>
        <v>4267</v>
      </c>
      <c r="U15" s="13">
        <f t="shared" si="17"/>
        <v>1283</v>
      </c>
      <c r="V15" s="13">
        <f t="shared" si="17"/>
        <v>1390</v>
      </c>
      <c r="W15" s="13">
        <f t="shared" si="17"/>
        <v>1496</v>
      </c>
      <c r="X15" s="13">
        <f t="shared" si="17"/>
        <v>867</v>
      </c>
      <c r="Y15" s="13">
        <f t="shared" si="17"/>
        <v>416</v>
      </c>
      <c r="Z15" s="13">
        <f t="shared" si="17"/>
        <v>472</v>
      </c>
      <c r="AA15" s="13">
        <f t="shared" si="17"/>
        <v>543</v>
      </c>
      <c r="AB15" s="13">
        <f t="shared" si="17"/>
        <v>2500</v>
      </c>
      <c r="AC15" s="13">
        <f t="shared" si="17"/>
        <v>524</v>
      </c>
      <c r="AD15" s="13">
        <f>SUM(M38:M40)</f>
        <v>-18309</v>
      </c>
      <c r="AE15" s="13">
        <f>SUM(N38:N40)</f>
        <v>32009</v>
      </c>
      <c r="AF15" s="13">
        <f t="shared" ref="AF15:AF22" si="18">AE15+AD15</f>
        <v>13700</v>
      </c>
      <c r="AG15" s="36">
        <f>(数量统计!K8+数量统计!K9+数量统计!K10)/3</f>
        <v>68.666666666666671</v>
      </c>
      <c r="AH15" s="36">
        <f t="shared" si="15"/>
        <v>76.742718446601927</v>
      </c>
    </row>
    <row r="16" spans="1:62" ht="16.5" thickTop="1" thickBot="1">
      <c r="A16" s="14">
        <v>43983</v>
      </c>
      <c r="B16" s="15">
        <v>4287</v>
      </c>
      <c r="C16" s="15">
        <v>1350</v>
      </c>
      <c r="D16" s="15">
        <v>915</v>
      </c>
      <c r="E16" s="15">
        <v>111</v>
      </c>
      <c r="F16" s="15">
        <v>0</v>
      </c>
      <c r="G16" s="15">
        <v>1251</v>
      </c>
      <c r="H16" s="15">
        <v>0</v>
      </c>
      <c r="I16" s="15">
        <v>0</v>
      </c>
      <c r="J16" s="15">
        <v>0</v>
      </c>
      <c r="K16" s="15">
        <v>8980</v>
      </c>
      <c r="L16" s="15">
        <v>5786</v>
      </c>
      <c r="M16" s="15">
        <f t="shared" si="0"/>
        <v>-22680</v>
      </c>
      <c r="N16" s="15">
        <f>卖猫!M11</f>
        <v>18700</v>
      </c>
      <c r="O16" s="15">
        <f t="shared" si="1"/>
        <v>-3980</v>
      </c>
      <c r="P16" s="15">
        <f t="shared" si="5"/>
        <v>-122116</v>
      </c>
      <c r="R16" s="13" t="s">
        <v>302</v>
      </c>
      <c r="S16" s="13">
        <f>SUM(B41:B43)</f>
        <v>7201</v>
      </c>
      <c r="T16" s="13">
        <f t="shared" ref="T16:AE16" si="19">SUM(C41:C43)</f>
        <v>3291</v>
      </c>
      <c r="U16" s="13">
        <f t="shared" si="19"/>
        <v>2193</v>
      </c>
      <c r="V16" s="13">
        <f t="shared" si="19"/>
        <v>669</v>
      </c>
      <c r="W16" s="13">
        <f t="shared" si="19"/>
        <v>2652</v>
      </c>
      <c r="X16" s="13">
        <f t="shared" si="19"/>
        <v>1474</v>
      </c>
      <c r="Y16" s="13">
        <f t="shared" si="19"/>
        <v>0</v>
      </c>
      <c r="Z16" s="13">
        <f t="shared" si="19"/>
        <v>2732</v>
      </c>
      <c r="AA16" s="13">
        <f t="shared" si="19"/>
        <v>184</v>
      </c>
      <c r="AB16" s="13">
        <f t="shared" si="19"/>
        <v>0</v>
      </c>
      <c r="AC16" s="13">
        <f t="shared" si="19"/>
        <v>6591</v>
      </c>
      <c r="AD16" s="13">
        <f t="shared" si="19"/>
        <v>-26987</v>
      </c>
      <c r="AE16" s="13">
        <f t="shared" si="19"/>
        <v>17699</v>
      </c>
      <c r="AF16" s="13">
        <f t="shared" si="18"/>
        <v>-9288</v>
      </c>
      <c r="AG16" s="36">
        <f>(数量统计!K11+数量统计!K12+数量统计!K13)/3</f>
        <v>66.666666666666671</v>
      </c>
      <c r="AH16" s="36">
        <f t="shared" si="15"/>
        <v>134.93499999999997</v>
      </c>
    </row>
    <row r="17" spans="1:34" ht="16.5" thickTop="1" thickBot="1">
      <c r="A17" s="14">
        <v>44013</v>
      </c>
      <c r="B17" s="15">
        <f>'2020-07'!F2</f>
        <v>927</v>
      </c>
      <c r="C17" s="15">
        <f>'2020-07'!F3</f>
        <v>224</v>
      </c>
      <c r="D17" s="15">
        <f>'2020-07'!F4</f>
        <v>563</v>
      </c>
      <c r="E17" s="15">
        <f>'2020-07'!F5</f>
        <v>151</v>
      </c>
      <c r="F17" s="15">
        <f>'2020-07'!F6</f>
        <v>0</v>
      </c>
      <c r="G17" s="15">
        <f>'2020-07'!F7</f>
        <v>207</v>
      </c>
      <c r="H17" s="15">
        <f>'2020-07'!F8</f>
        <v>0</v>
      </c>
      <c r="I17" s="15">
        <f>'2020-07'!F9</f>
        <v>0</v>
      </c>
      <c r="J17" s="15">
        <f>'2020-07'!F10</f>
        <v>300</v>
      </c>
      <c r="K17" s="15">
        <f>'2020-07'!F11</f>
        <v>12600</v>
      </c>
      <c r="L17" s="15">
        <f>'2020-07'!F12</f>
        <v>2626</v>
      </c>
      <c r="M17" s="15">
        <f t="shared" si="0"/>
        <v>-17598</v>
      </c>
      <c r="N17" s="15">
        <f>卖猫!M12</f>
        <v>5700</v>
      </c>
      <c r="O17" s="15">
        <f t="shared" si="1"/>
        <v>-11898</v>
      </c>
      <c r="P17" s="15">
        <f t="shared" si="5"/>
        <v>-134014</v>
      </c>
      <c r="R17" s="13" t="s">
        <v>303</v>
      </c>
      <c r="S17" s="13">
        <f>SUM(B44:B46)</f>
        <v>4938</v>
      </c>
      <c r="T17" s="13">
        <f t="shared" ref="T17:AB17" si="20">SUM(C44:C46)</f>
        <v>2139</v>
      </c>
      <c r="U17" s="13">
        <f t="shared" si="20"/>
        <v>512</v>
      </c>
      <c r="V17" s="13">
        <f t="shared" si="20"/>
        <v>1031</v>
      </c>
      <c r="W17" s="13">
        <f t="shared" si="20"/>
        <v>0</v>
      </c>
      <c r="X17" s="13">
        <f t="shared" si="20"/>
        <v>735</v>
      </c>
      <c r="Y17" s="13">
        <f t="shared" si="20"/>
        <v>0</v>
      </c>
      <c r="Z17" s="13">
        <f t="shared" si="20"/>
        <v>500</v>
      </c>
      <c r="AA17" s="13">
        <f t="shared" si="20"/>
        <v>28</v>
      </c>
      <c r="AB17" s="13">
        <f t="shared" si="20"/>
        <v>5417</v>
      </c>
      <c r="AC17" s="13">
        <f>SUM(L44:L46)</f>
        <v>8095</v>
      </c>
      <c r="AD17" s="13">
        <f>SUM(M44:M46)</f>
        <v>-23395</v>
      </c>
      <c r="AE17" s="13">
        <f>SUM(N44:N46)</f>
        <v>17648</v>
      </c>
      <c r="AF17" s="13">
        <f t="shared" si="18"/>
        <v>-5747</v>
      </c>
      <c r="AG17" s="36">
        <f>(数量统计!K14+数量统计!K15+数量统计!K16)/3</f>
        <v>41.333333333333336</v>
      </c>
      <c r="AH17" s="36">
        <f t="shared" si="15"/>
        <v>144.98387096774192</v>
      </c>
    </row>
    <row r="18" spans="1:34" ht="16.5" thickTop="1" thickBot="1">
      <c r="A18" s="14">
        <v>44044</v>
      </c>
      <c r="B18" s="15">
        <f>'2020-08'!F2</f>
        <v>461</v>
      </c>
      <c r="C18" s="15">
        <f>'2020-08'!F3</f>
        <v>18</v>
      </c>
      <c r="D18" s="15">
        <f>'2020-08'!F4</f>
        <v>0</v>
      </c>
      <c r="E18" s="15">
        <f>'2020-08'!F5</f>
        <v>849</v>
      </c>
      <c r="F18" s="15">
        <f>'2020-08'!F6</f>
        <v>0</v>
      </c>
      <c r="G18" s="15">
        <f>'2020-08'!F7</f>
        <v>260</v>
      </c>
      <c r="H18" s="15">
        <f>'2020-08'!F8</f>
        <v>3500</v>
      </c>
      <c r="I18" s="15">
        <f>'2020-08'!F9</f>
        <v>1697</v>
      </c>
      <c r="J18" s="15">
        <f>'2020-08'!F10</f>
        <v>0</v>
      </c>
      <c r="K18" s="15">
        <f>'2020-08'!F11</f>
        <v>3700</v>
      </c>
      <c r="L18" s="15">
        <f>'2020-08'!F12</f>
        <v>2787</v>
      </c>
      <c r="M18" s="15">
        <f t="shared" si="0"/>
        <v>-13272</v>
      </c>
      <c r="N18" s="15">
        <f>卖猫!M13</f>
        <v>6100</v>
      </c>
      <c r="O18" s="15">
        <f t="shared" si="1"/>
        <v>-7172</v>
      </c>
      <c r="P18" s="15">
        <f t="shared" si="5"/>
        <v>-141186</v>
      </c>
      <c r="R18" s="13" t="s">
        <v>1033</v>
      </c>
      <c r="S18" s="13">
        <f>SUM(B47:B49)</f>
        <v>3332</v>
      </c>
      <c r="T18" s="13">
        <f t="shared" ref="T18:AC18" si="21">SUM(C47:C49)</f>
        <v>1592</v>
      </c>
      <c r="U18" s="13">
        <f t="shared" si="21"/>
        <v>0</v>
      </c>
      <c r="V18" s="13">
        <f t="shared" si="21"/>
        <v>1539</v>
      </c>
      <c r="W18" s="13">
        <f t="shared" si="21"/>
        <v>501</v>
      </c>
      <c r="X18" s="13">
        <f t="shared" si="21"/>
        <v>1206</v>
      </c>
      <c r="Y18" s="13">
        <f t="shared" si="21"/>
        <v>2290</v>
      </c>
      <c r="Z18" s="13">
        <f t="shared" si="21"/>
        <v>1360</v>
      </c>
      <c r="AA18" s="13">
        <f t="shared" si="21"/>
        <v>125</v>
      </c>
      <c r="AB18" s="13">
        <f t="shared" si="21"/>
        <v>2400</v>
      </c>
      <c r="AC18" s="13">
        <f t="shared" si="21"/>
        <v>5615</v>
      </c>
      <c r="AD18" s="13">
        <f>SUM(M47:M49)</f>
        <v>-19960</v>
      </c>
      <c r="AE18" s="13">
        <f>SUM(N47:N49)</f>
        <v>19400</v>
      </c>
      <c r="AF18" s="13">
        <f t="shared" si="18"/>
        <v>-560</v>
      </c>
      <c r="AG18" s="36">
        <f>(数量统计!K17+数量统计!K18+数量统计!K19)/3</f>
        <v>45.666666666666664</v>
      </c>
      <c r="AH18" s="36">
        <f t="shared" si="15"/>
        <v>128.17518248175182</v>
      </c>
    </row>
    <row r="19" spans="1:34" ht="16.5" thickTop="1" thickBot="1">
      <c r="A19" s="14">
        <v>44075</v>
      </c>
      <c r="B19" s="15">
        <f>'2020-09'!F2</f>
        <v>138</v>
      </c>
      <c r="C19" s="15">
        <f>'2020-09'!F3</f>
        <v>1110</v>
      </c>
      <c r="D19" s="15">
        <f>'2020-09'!F4</f>
        <v>1078</v>
      </c>
      <c r="E19" s="15">
        <f>'2020-09'!F5</f>
        <v>252</v>
      </c>
      <c r="F19" s="15">
        <f>'2020-09'!F6</f>
        <v>100</v>
      </c>
      <c r="G19" s="15">
        <f>'2020-09'!F7</f>
        <v>245</v>
      </c>
      <c r="H19" s="15">
        <f>'2020-09'!F8</f>
        <v>0</v>
      </c>
      <c r="I19" s="15">
        <f>'2020-09'!F9</f>
        <v>0</v>
      </c>
      <c r="J19" s="15">
        <f>'2020-09'!F10</f>
        <v>360</v>
      </c>
      <c r="K19" s="15">
        <f>'2020-09'!F11</f>
        <v>6800</v>
      </c>
      <c r="L19" s="15">
        <f>'2020-09'!F12</f>
        <v>5379</v>
      </c>
      <c r="M19" s="15">
        <f t="shared" si="0"/>
        <v>-15462</v>
      </c>
      <c r="N19" s="15">
        <f>卖猫!M14</f>
        <v>9200</v>
      </c>
      <c r="O19" s="15">
        <f t="shared" si="1"/>
        <v>-6262</v>
      </c>
      <c r="P19" s="15">
        <f t="shared" si="5"/>
        <v>-147448</v>
      </c>
      <c r="R19" s="13" t="s">
        <v>1034</v>
      </c>
      <c r="S19" s="13">
        <f>SUM(B50:B52)</f>
        <v>3707</v>
      </c>
      <c r="T19" s="13">
        <f t="shared" ref="T19:AD19" si="22">SUM(C50:C52)</f>
        <v>2610</v>
      </c>
      <c r="U19" s="13">
        <f t="shared" si="22"/>
        <v>1390</v>
      </c>
      <c r="V19" s="13">
        <f t="shared" si="22"/>
        <v>666</v>
      </c>
      <c r="W19" s="13">
        <f t="shared" si="22"/>
        <v>1022</v>
      </c>
      <c r="X19" s="13">
        <f t="shared" si="22"/>
        <v>2017</v>
      </c>
      <c r="Y19" s="13">
        <f t="shared" si="22"/>
        <v>230</v>
      </c>
      <c r="Z19" s="13">
        <f t="shared" si="22"/>
        <v>306</v>
      </c>
      <c r="AA19" s="13">
        <f t="shared" si="22"/>
        <v>313</v>
      </c>
      <c r="AB19" s="13">
        <f t="shared" si="22"/>
        <v>2500</v>
      </c>
      <c r="AC19" s="13">
        <f t="shared" si="22"/>
        <v>3406.3</v>
      </c>
      <c r="AD19" s="13">
        <f t="shared" si="22"/>
        <v>-18167.3</v>
      </c>
      <c r="AE19" s="13">
        <f>SUM(N50:N52)</f>
        <v>23800</v>
      </c>
      <c r="AF19" s="13">
        <f t="shared" si="18"/>
        <v>5632.7000000000007</v>
      </c>
      <c r="AG19" s="36">
        <f>(数量统计!K20+数量统计!K21+数量统计!K22)/3</f>
        <v>60.666666666666664</v>
      </c>
      <c r="AH19" s="36">
        <f t="shared" si="15"/>
        <v>86.084065934065947</v>
      </c>
    </row>
    <row r="20" spans="1:34" ht="16.5" thickTop="1" thickBot="1">
      <c r="A20" s="14">
        <v>44105</v>
      </c>
      <c r="B20" s="15">
        <f>'2020-10'!F2</f>
        <v>1467</v>
      </c>
      <c r="C20" s="15">
        <f>'2020-10'!F3</f>
        <v>1280</v>
      </c>
      <c r="D20" s="15">
        <f>'2020-10'!F4</f>
        <v>75</v>
      </c>
      <c r="E20" s="15">
        <f>'2020-10'!F5</f>
        <v>285</v>
      </c>
      <c r="F20" s="15">
        <f>'2020-10'!F6</f>
        <v>0</v>
      </c>
      <c r="G20" s="15">
        <f>'2020-10'!F7</f>
        <v>532</v>
      </c>
      <c r="H20" s="15">
        <f>'2020-10'!F8</f>
        <v>0</v>
      </c>
      <c r="I20" s="15">
        <f>'2020-10'!F9</f>
        <v>0</v>
      </c>
      <c r="J20" s="15">
        <f>'2020-10'!F10</f>
        <v>300</v>
      </c>
      <c r="K20" s="15">
        <f>'2020-10'!F11</f>
        <v>3600</v>
      </c>
      <c r="L20" s="15">
        <f>'2020-10'!F12</f>
        <v>446</v>
      </c>
      <c r="M20" s="15">
        <f t="shared" si="0"/>
        <v>-7985</v>
      </c>
      <c r="N20" s="15">
        <f>卖猫!M15</f>
        <v>3800</v>
      </c>
      <c r="O20" s="15">
        <f t="shared" si="1"/>
        <v>-4185</v>
      </c>
      <c r="P20" s="15">
        <f t="shared" si="5"/>
        <v>-151633</v>
      </c>
      <c r="R20" s="13" t="s">
        <v>1035</v>
      </c>
      <c r="S20" s="13">
        <f>SUM(B53:B55)</f>
        <v>2625</v>
      </c>
      <c r="T20" s="13">
        <f t="shared" ref="T20:AC20" si="23">SUM(C53:C55)</f>
        <v>2835</v>
      </c>
      <c r="U20" s="13">
        <f t="shared" si="23"/>
        <v>1200</v>
      </c>
      <c r="V20" s="13">
        <f t="shared" si="23"/>
        <v>692</v>
      </c>
      <c r="W20" s="13">
        <f t="shared" si="23"/>
        <v>1056</v>
      </c>
      <c r="X20" s="13">
        <f t="shared" si="23"/>
        <v>732</v>
      </c>
      <c r="Y20" s="13">
        <f t="shared" si="23"/>
        <v>0</v>
      </c>
      <c r="Z20" s="13">
        <f t="shared" si="23"/>
        <v>0</v>
      </c>
      <c r="AA20" s="13">
        <f t="shared" si="23"/>
        <v>66</v>
      </c>
      <c r="AB20" s="13">
        <f t="shared" si="23"/>
        <v>0</v>
      </c>
      <c r="AC20" s="13">
        <f t="shared" si="23"/>
        <v>6849</v>
      </c>
      <c r="AD20" s="13">
        <f>SUM(M53:M55)</f>
        <v>-16055</v>
      </c>
      <c r="AE20" s="13">
        <f>SUM(N53:N55)</f>
        <v>12000</v>
      </c>
      <c r="AF20" s="13">
        <f t="shared" si="18"/>
        <v>-4055</v>
      </c>
      <c r="AG20" s="36">
        <f>(数量统计!K23+数量统计!K24+数量统计!K25)/3</f>
        <v>64.333333333333329</v>
      </c>
      <c r="AH20" s="36">
        <f t="shared" si="15"/>
        <v>83.186528497409327</v>
      </c>
    </row>
    <row r="21" spans="1:34" ht="16.5" thickTop="1" thickBot="1">
      <c r="A21" s="14">
        <v>44136</v>
      </c>
      <c r="B21" s="15">
        <f>'2020-11'!F2</f>
        <v>930</v>
      </c>
      <c r="C21" s="15">
        <f>'2020-11'!F3</f>
        <v>54</v>
      </c>
      <c r="D21" s="15">
        <f>'2020-11'!F4</f>
        <v>238</v>
      </c>
      <c r="E21" s="15">
        <f>'2020-11'!F5</f>
        <v>241</v>
      </c>
      <c r="F21" s="15">
        <f>'2020-11'!F6</f>
        <v>718</v>
      </c>
      <c r="G21" s="15">
        <f>'2020-11'!F7</f>
        <v>577</v>
      </c>
      <c r="H21" s="15">
        <f>'2020-11'!F8</f>
        <v>0</v>
      </c>
      <c r="I21" s="15">
        <f>'2020-11'!F9</f>
        <v>0</v>
      </c>
      <c r="J21" s="15">
        <f>'2020-11'!F10</f>
        <v>0</v>
      </c>
      <c r="K21" s="15">
        <f>'2020-11'!F11</f>
        <v>200</v>
      </c>
      <c r="L21" s="15">
        <f>'2020-11'!F12</f>
        <v>114</v>
      </c>
      <c r="M21" s="15">
        <f t="shared" si="0"/>
        <v>-3072</v>
      </c>
      <c r="N21" s="15">
        <f>卖猫!M16</f>
        <v>0</v>
      </c>
      <c r="O21" s="15">
        <f t="shared" si="1"/>
        <v>-3072</v>
      </c>
      <c r="P21" s="15">
        <f t="shared" si="5"/>
        <v>-154705</v>
      </c>
      <c r="R21" s="13" t="s">
        <v>1036</v>
      </c>
      <c r="S21" s="13">
        <f>SUM(B56:B58)</f>
        <v>5332</v>
      </c>
      <c r="T21" s="13">
        <f t="shared" ref="T21:AE21" si="24">SUM(C56:C58)</f>
        <v>1935</v>
      </c>
      <c r="U21" s="13">
        <f t="shared" si="24"/>
        <v>1183</v>
      </c>
      <c r="V21" s="13">
        <f t="shared" si="24"/>
        <v>1012</v>
      </c>
      <c r="W21" s="13">
        <f t="shared" si="24"/>
        <v>3500</v>
      </c>
      <c r="X21" s="13">
        <f t="shared" si="24"/>
        <v>537</v>
      </c>
      <c r="Y21" s="13">
        <f t="shared" si="24"/>
        <v>0</v>
      </c>
      <c r="Z21" s="13">
        <f t="shared" si="24"/>
        <v>360</v>
      </c>
      <c r="AA21" s="13">
        <f t="shared" si="24"/>
        <v>300</v>
      </c>
      <c r="AB21" s="13">
        <f t="shared" si="24"/>
        <v>2000</v>
      </c>
      <c r="AC21" s="13">
        <f t="shared" si="24"/>
        <v>7240</v>
      </c>
      <c r="AD21" s="13">
        <f t="shared" si="24"/>
        <v>-23399</v>
      </c>
      <c r="AE21" s="13">
        <f t="shared" si="24"/>
        <v>4500</v>
      </c>
      <c r="AF21" s="13">
        <f t="shared" si="18"/>
        <v>-18899</v>
      </c>
      <c r="AG21" s="36">
        <f>(数量统计!K26+数量统计!K27+数量统计!K28)/3</f>
        <v>52.666666666666664</v>
      </c>
      <c r="AH21" s="36">
        <f t="shared" si="15"/>
        <v>135.4367088607595</v>
      </c>
    </row>
    <row r="22" spans="1:34" ht="16.5" thickTop="1" thickBot="1">
      <c r="A22" s="14">
        <v>44166</v>
      </c>
      <c r="B22" s="15">
        <f>'2020-12'!F2</f>
        <v>3710</v>
      </c>
      <c r="C22" s="15">
        <f>'2020-12'!F3</f>
        <v>880</v>
      </c>
      <c r="D22" s="15">
        <f>'2020-12'!F4</f>
        <v>0</v>
      </c>
      <c r="E22" s="15">
        <f>'2020-12'!F5</f>
        <v>991</v>
      </c>
      <c r="F22" s="15">
        <f>'2020-12'!F6</f>
        <v>2367</v>
      </c>
      <c r="G22" s="15">
        <f>'2020-12'!F7</f>
        <v>745</v>
      </c>
      <c r="H22" s="15">
        <f>'2020-12'!F8</f>
        <v>0</v>
      </c>
      <c r="I22" s="15">
        <f>'2020-12'!F9</f>
        <v>591</v>
      </c>
      <c r="J22" s="15">
        <f>'2020-12'!F10</f>
        <v>100</v>
      </c>
      <c r="K22" s="15">
        <f>'2020-12'!F11</f>
        <v>300</v>
      </c>
      <c r="L22" s="15">
        <f>'2020-12'!F12</f>
        <v>6195</v>
      </c>
      <c r="M22" s="15">
        <f t="shared" si="0"/>
        <v>-15879</v>
      </c>
      <c r="N22" s="15">
        <f>卖猫!M17</f>
        <v>6700</v>
      </c>
      <c r="O22" s="15">
        <f t="shared" si="1"/>
        <v>-9179</v>
      </c>
      <c r="P22" s="15">
        <f t="shared" si="5"/>
        <v>-163884</v>
      </c>
      <c r="R22" s="13" t="s">
        <v>1194</v>
      </c>
      <c r="S22" s="13">
        <f>SUM(B59:B61)</f>
        <v>3426</v>
      </c>
      <c r="T22" s="13">
        <f t="shared" ref="T22:AE22" si="25">SUM(C59:C61)</f>
        <v>2520</v>
      </c>
      <c r="U22" s="13">
        <f t="shared" si="25"/>
        <v>556</v>
      </c>
      <c r="V22" s="13">
        <f t="shared" si="25"/>
        <v>809</v>
      </c>
      <c r="W22" s="13">
        <f t="shared" si="25"/>
        <v>0</v>
      </c>
      <c r="X22" s="13">
        <f t="shared" si="25"/>
        <v>954</v>
      </c>
      <c r="Y22" s="13">
        <f t="shared" si="25"/>
        <v>900</v>
      </c>
      <c r="Z22" s="13">
        <f t="shared" si="25"/>
        <v>0</v>
      </c>
      <c r="AA22" s="13">
        <f t="shared" si="25"/>
        <v>129</v>
      </c>
      <c r="AB22" s="13">
        <f t="shared" si="25"/>
        <v>0</v>
      </c>
      <c r="AC22" s="13">
        <f t="shared" si="25"/>
        <v>6409</v>
      </c>
      <c r="AD22" s="13">
        <f t="shared" si="25"/>
        <v>-15703</v>
      </c>
      <c r="AE22" s="13">
        <f t="shared" si="25"/>
        <v>14400</v>
      </c>
      <c r="AF22" s="13">
        <f t="shared" si="18"/>
        <v>-1303</v>
      </c>
      <c r="AG22" s="36">
        <f>(数量统计!K29+数量统计!K30+数量统计!K31)/3</f>
        <v>48.666666666666664</v>
      </c>
      <c r="AH22" s="36">
        <f t="shared" si="15"/>
        <v>107.55479452054794</v>
      </c>
    </row>
    <row r="23" spans="1:34" ht="16.5" thickTop="1" thickBot="1">
      <c r="A23" s="14">
        <v>44197</v>
      </c>
      <c r="B23" s="15">
        <f>'2021-01'!F2</f>
        <v>2256</v>
      </c>
      <c r="C23" s="15">
        <f>'2021-01'!F3</f>
        <v>0</v>
      </c>
      <c r="D23" s="15">
        <f>'2021-01'!F4</f>
        <v>164</v>
      </c>
      <c r="E23" s="15">
        <f>'2021-01'!F5</f>
        <v>478</v>
      </c>
      <c r="F23" s="15">
        <f>'2021-01'!F6</f>
        <v>1243</v>
      </c>
      <c r="G23" s="15">
        <f>'2021-01'!F7</f>
        <v>1585</v>
      </c>
      <c r="H23" s="15">
        <f>'2021-01'!F8</f>
        <v>1400</v>
      </c>
      <c r="I23" s="15">
        <f>'2021-01'!F9</f>
        <v>10</v>
      </c>
      <c r="J23" s="15">
        <f>'2021-01'!F10</f>
        <v>0</v>
      </c>
      <c r="K23" s="15">
        <f>'2021-01'!F11</f>
        <v>0</v>
      </c>
      <c r="L23" s="15">
        <f>'2021-01'!F12</f>
        <v>1245</v>
      </c>
      <c r="M23" s="15">
        <f t="shared" si="0"/>
        <v>-8381</v>
      </c>
      <c r="N23" s="15">
        <f>卖猫!M18</f>
        <v>16100</v>
      </c>
      <c r="O23" s="15">
        <f t="shared" si="1"/>
        <v>7719</v>
      </c>
      <c r="P23" s="15">
        <f t="shared" si="5"/>
        <v>-156165</v>
      </c>
      <c r="R23" s="13" t="s">
        <v>1195</v>
      </c>
      <c r="S23" s="13">
        <f>SUM(B62:B64)</f>
        <v>82</v>
      </c>
      <c r="T23" s="13">
        <f t="shared" ref="T23:AC23" si="26">SUM(C62:C64)</f>
        <v>1020</v>
      </c>
      <c r="U23" s="13">
        <f t="shared" si="26"/>
        <v>966</v>
      </c>
      <c r="V23" s="13">
        <f t="shared" si="26"/>
        <v>574</v>
      </c>
      <c r="W23" s="13">
        <f t="shared" si="26"/>
        <v>1458</v>
      </c>
      <c r="X23" s="13">
        <f t="shared" si="26"/>
        <v>752</v>
      </c>
      <c r="Y23" s="13">
        <f t="shared" si="26"/>
        <v>2960</v>
      </c>
      <c r="Z23" s="13">
        <f t="shared" si="26"/>
        <v>36</v>
      </c>
      <c r="AA23" s="13">
        <f t="shared" si="26"/>
        <v>136</v>
      </c>
      <c r="AB23" s="13">
        <f t="shared" si="26"/>
        <v>0</v>
      </c>
      <c r="AC23" s="13">
        <f t="shared" si="26"/>
        <v>246</v>
      </c>
      <c r="AD23" s="13">
        <f t="shared" ref="AD23" si="27">SUM(M62:M64)</f>
        <v>-8230</v>
      </c>
      <c r="AE23" s="13">
        <f t="shared" ref="AE23" si="28">SUM(N62:N64)</f>
        <v>19100</v>
      </c>
      <c r="AF23" s="13">
        <f t="shared" ref="AF23:AF25" si="29">AE23+AD23</f>
        <v>10870</v>
      </c>
      <c r="AG23" s="36">
        <f>(数量统计!K32+数量统计!K33+数量统计!K34)/3</f>
        <v>40.333333333333336</v>
      </c>
      <c r="AH23" s="36">
        <f t="shared" ref="AH23:AH25" si="30">((AD23+AB23)/AG23*-1)/3</f>
        <v>68.016528925619824</v>
      </c>
    </row>
    <row r="24" spans="1:34" ht="16.5" thickTop="1" thickBot="1">
      <c r="A24" s="14">
        <v>44228</v>
      </c>
      <c r="B24" s="15">
        <f>'2021-02'!F2</f>
        <v>180</v>
      </c>
      <c r="C24" s="15">
        <f>'2021-02'!F3</f>
        <v>880</v>
      </c>
      <c r="D24" s="15">
        <f>'2021-02'!F4</f>
        <v>180</v>
      </c>
      <c r="E24" s="15">
        <f>'2021-02'!F5</f>
        <v>639</v>
      </c>
      <c r="F24" s="15">
        <f>'2021-02'!F6</f>
        <v>0</v>
      </c>
      <c r="G24" s="15">
        <f>'2021-02'!F7</f>
        <v>865</v>
      </c>
      <c r="H24" s="15">
        <f>'2021-02'!F8</f>
        <v>0</v>
      </c>
      <c r="I24" s="15">
        <f>'2021-02'!F9</f>
        <v>298</v>
      </c>
      <c r="J24" s="15">
        <f>'2021-02'!F10</f>
        <v>93</v>
      </c>
      <c r="K24" s="15">
        <f>'2021-02'!F11</f>
        <v>1000</v>
      </c>
      <c r="L24" s="15">
        <f>'2021-02'!F12</f>
        <v>1768</v>
      </c>
      <c r="M24" s="15">
        <f t="shared" si="0"/>
        <v>-5903</v>
      </c>
      <c r="N24" s="15">
        <f>卖猫!M19</f>
        <v>4800</v>
      </c>
      <c r="O24" s="15">
        <f t="shared" si="1"/>
        <v>-1103</v>
      </c>
      <c r="P24" s="15">
        <f t="shared" si="5"/>
        <v>-157268</v>
      </c>
      <c r="R24" s="13" t="s">
        <v>1196</v>
      </c>
      <c r="S24" s="13">
        <f>SUM(B65:B67)</f>
        <v>4544</v>
      </c>
      <c r="T24" s="13">
        <f t="shared" ref="T24:AC24" si="31">SUM(C65:C67)</f>
        <v>1200</v>
      </c>
      <c r="U24" s="13">
        <f t="shared" si="31"/>
        <v>0</v>
      </c>
      <c r="V24" s="13">
        <f t="shared" si="31"/>
        <v>782</v>
      </c>
      <c r="W24" s="13">
        <f t="shared" si="31"/>
        <v>0</v>
      </c>
      <c r="X24" s="13">
        <f t="shared" si="31"/>
        <v>721</v>
      </c>
      <c r="Y24" s="13">
        <f t="shared" si="31"/>
        <v>0</v>
      </c>
      <c r="Z24" s="13">
        <f t="shared" si="31"/>
        <v>703</v>
      </c>
      <c r="AA24" s="13">
        <f t="shared" si="31"/>
        <v>284</v>
      </c>
      <c r="AB24" s="13">
        <f t="shared" si="31"/>
        <v>0</v>
      </c>
      <c r="AC24" s="13">
        <f t="shared" si="31"/>
        <v>103.5</v>
      </c>
      <c r="AD24" s="13">
        <f>SUM(M65:M67)</f>
        <v>-8337.5</v>
      </c>
      <c r="AE24" s="13">
        <f t="shared" ref="AE24" si="32">SUM(N65:N67)</f>
        <v>10666</v>
      </c>
      <c r="AF24" s="13">
        <f t="shared" si="29"/>
        <v>2328.5</v>
      </c>
      <c r="AG24" s="36">
        <f>(数量统计!K35+数量统计!K36+数量统计!K37)/3</f>
        <v>33.333333333333336</v>
      </c>
      <c r="AH24" s="36">
        <f t="shared" si="30"/>
        <v>83.374999999999986</v>
      </c>
    </row>
    <row r="25" spans="1:34" ht="16.5" thickTop="1" thickBot="1">
      <c r="A25" s="14">
        <v>44256</v>
      </c>
      <c r="B25" s="15">
        <f>'2021-03'!F2</f>
        <v>2110</v>
      </c>
      <c r="C25" s="15">
        <f>'2021-03'!F3</f>
        <v>650</v>
      </c>
      <c r="D25" s="15">
        <f>'2021-03'!F4</f>
        <v>382</v>
      </c>
      <c r="E25" s="15">
        <f>'2021-03'!F5</f>
        <v>884</v>
      </c>
      <c r="F25" s="15">
        <f>'2021-03'!F6</f>
        <v>776</v>
      </c>
      <c r="G25" s="15">
        <f>'2021-03'!F7</f>
        <v>205</v>
      </c>
      <c r="H25" s="15">
        <f>'2021-03'!F8</f>
        <v>0</v>
      </c>
      <c r="I25" s="15">
        <f>'2021-03'!F9</f>
        <v>232</v>
      </c>
      <c r="J25" s="15">
        <f>'2021-03'!F10</f>
        <v>1788</v>
      </c>
      <c r="K25" s="15">
        <f>'2021-03'!F11</f>
        <v>0</v>
      </c>
      <c r="L25" s="15">
        <f>'2021-03'!F12</f>
        <v>3189</v>
      </c>
      <c r="M25" s="15">
        <f t="shared" si="0"/>
        <v>-10216</v>
      </c>
      <c r="N25" s="15">
        <f>卖猫!M20</f>
        <v>3500</v>
      </c>
      <c r="O25" s="15">
        <f t="shared" si="1"/>
        <v>-6716</v>
      </c>
      <c r="P25" s="15">
        <f t="shared" si="5"/>
        <v>-163984</v>
      </c>
      <c r="R25" s="13" t="s">
        <v>1197</v>
      </c>
      <c r="S25" s="13">
        <f>SUM(B68:B70)</f>
        <v>0</v>
      </c>
      <c r="T25" s="13">
        <f t="shared" ref="T25:AE25" si="33">SUM(C68:C70)</f>
        <v>0</v>
      </c>
      <c r="U25" s="13">
        <f t="shared" si="33"/>
        <v>0</v>
      </c>
      <c r="V25" s="13">
        <f t="shared" si="33"/>
        <v>0</v>
      </c>
      <c r="W25" s="13">
        <f t="shared" si="33"/>
        <v>0</v>
      </c>
      <c r="X25" s="13">
        <f t="shared" si="33"/>
        <v>0</v>
      </c>
      <c r="Y25" s="13">
        <f t="shared" si="33"/>
        <v>0</v>
      </c>
      <c r="Z25" s="13">
        <f t="shared" si="33"/>
        <v>0</v>
      </c>
      <c r="AA25" s="13">
        <f t="shared" si="33"/>
        <v>0</v>
      </c>
      <c r="AB25" s="13">
        <f t="shared" si="33"/>
        <v>0</v>
      </c>
      <c r="AC25" s="13">
        <f t="shared" si="33"/>
        <v>0</v>
      </c>
      <c r="AD25" s="13">
        <f t="shared" si="33"/>
        <v>0</v>
      </c>
      <c r="AE25" s="13">
        <f t="shared" si="33"/>
        <v>0</v>
      </c>
      <c r="AF25" s="13">
        <f t="shared" ref="AF25" si="34">AE25+AD25</f>
        <v>0</v>
      </c>
      <c r="AG25" s="36">
        <f>(数量统计!K38+数量统计!K39+数量统计!K40)/3</f>
        <v>10.333333333333334</v>
      </c>
      <c r="AH25" s="36">
        <f t="shared" ref="AH25" si="35">((AD25+AB25)/AG25*-1)/3</f>
        <v>0</v>
      </c>
    </row>
    <row r="26" spans="1:34" ht="16.5" thickTop="1" thickBot="1">
      <c r="A26" s="14">
        <v>44287</v>
      </c>
      <c r="B26" s="15">
        <f>'2021-04'!F2</f>
        <v>2075</v>
      </c>
      <c r="C26" s="15">
        <f>'2021-04'!F3</f>
        <v>0</v>
      </c>
      <c r="D26" s="15">
        <f>'2021-04'!F4</f>
        <v>155</v>
      </c>
      <c r="E26" s="15">
        <f>'2021-04'!F5</f>
        <v>225</v>
      </c>
      <c r="F26" s="15">
        <f>'2021-04'!F6</f>
        <v>0</v>
      </c>
      <c r="G26" s="15">
        <f>'2021-04'!F7</f>
        <v>928</v>
      </c>
      <c r="H26" s="15">
        <f>'2021-04'!F8</f>
        <v>0</v>
      </c>
      <c r="I26" s="15">
        <f>'2021-04'!F9</f>
        <v>0</v>
      </c>
      <c r="J26" s="15">
        <f>'2021-04'!F10</f>
        <v>274</v>
      </c>
      <c r="K26" s="15">
        <f>'2021-04'!F11</f>
        <v>2800</v>
      </c>
      <c r="L26" s="15">
        <f>'2021-04'!F12</f>
        <v>35217</v>
      </c>
      <c r="M26" s="15">
        <f t="shared" si="0"/>
        <v>-41674</v>
      </c>
      <c r="N26" s="15">
        <f>卖猫!M21</f>
        <v>2900</v>
      </c>
      <c r="O26" s="15">
        <f t="shared" si="1"/>
        <v>-38774</v>
      </c>
      <c r="P26" s="15">
        <f t="shared" si="5"/>
        <v>-202758</v>
      </c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36"/>
      <c r="AH26" s="36"/>
    </row>
    <row r="27" spans="1:34" ht="16.5" thickTop="1" thickBot="1">
      <c r="A27" s="14">
        <v>44317</v>
      </c>
      <c r="B27" s="15">
        <f>'2021-05'!F2</f>
        <v>8049</v>
      </c>
      <c r="C27" s="15">
        <f>'2021-05'!F3</f>
        <v>1395</v>
      </c>
      <c r="D27" s="15">
        <f>'2021-05'!F4</f>
        <v>414</v>
      </c>
      <c r="E27" s="15">
        <f>'2021-05'!F5</f>
        <v>1001</v>
      </c>
      <c r="F27" s="15">
        <f>'2021-05'!F6</f>
        <v>0</v>
      </c>
      <c r="G27" s="15">
        <f>'2021-05'!F7</f>
        <v>225</v>
      </c>
      <c r="H27" s="15">
        <f>'2021-05'!F8</f>
        <v>0</v>
      </c>
      <c r="I27" s="15">
        <f>'2021-05'!F9</f>
        <v>235</v>
      </c>
      <c r="J27" s="15">
        <f>'2021-05'!F10</f>
        <v>160</v>
      </c>
      <c r="K27" s="15">
        <f>'2021-05'!F11</f>
        <v>0</v>
      </c>
      <c r="L27" s="15">
        <f>'2021-05'!F12</f>
        <v>2142</v>
      </c>
      <c r="M27" s="15">
        <f t="shared" si="0"/>
        <v>-13621</v>
      </c>
      <c r="N27" s="15">
        <f>卖猫!M22</f>
        <v>10550</v>
      </c>
      <c r="O27" s="15">
        <f t="shared" si="1"/>
        <v>-3071</v>
      </c>
      <c r="P27" s="15">
        <f t="shared" si="5"/>
        <v>-205829</v>
      </c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36"/>
      <c r="AH27" s="36"/>
    </row>
    <row r="28" spans="1:34" ht="16.5" thickTop="1" thickBot="1">
      <c r="A28" s="14">
        <v>44348</v>
      </c>
      <c r="B28" s="15">
        <f>'2021-06'!F2</f>
        <v>1879</v>
      </c>
      <c r="C28" s="15">
        <f>'2021-06'!F3</f>
        <v>768</v>
      </c>
      <c r="D28" s="15">
        <f>'2021-06'!F4</f>
        <v>110</v>
      </c>
      <c r="E28" s="15">
        <f>'2021-06'!F5</f>
        <v>1080</v>
      </c>
      <c r="F28" s="15">
        <f>'2021-06'!F6</f>
        <v>2040</v>
      </c>
      <c r="G28" s="15">
        <f>'2021-06'!F7</f>
        <v>606</v>
      </c>
      <c r="H28" s="15">
        <f>'2021-06'!F8</f>
        <v>1110</v>
      </c>
      <c r="I28" s="15">
        <f>'2021-06'!F9</f>
        <v>600</v>
      </c>
      <c r="J28" s="15">
        <f>'2021-06'!F10</f>
        <v>453</v>
      </c>
      <c r="K28" s="15">
        <f>'2021-06'!F11</f>
        <v>0</v>
      </c>
      <c r="L28" s="15">
        <f>'2021-06'!F12</f>
        <v>433</v>
      </c>
      <c r="M28" s="15">
        <f t="shared" si="0"/>
        <v>-9079</v>
      </c>
      <c r="N28" s="15">
        <f>卖猫!M23</f>
        <v>27745</v>
      </c>
      <c r="O28" s="15">
        <f t="shared" si="1"/>
        <v>18666</v>
      </c>
      <c r="P28" s="15">
        <f t="shared" si="5"/>
        <v>-187163</v>
      </c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36"/>
      <c r="AH28" s="36"/>
    </row>
    <row r="29" spans="1:34" ht="16.5" thickTop="1" thickBot="1">
      <c r="A29" s="14">
        <v>44378</v>
      </c>
      <c r="B29" s="15">
        <f>'2021-07'!F2</f>
        <v>680</v>
      </c>
      <c r="C29" s="15">
        <f>'2021-07'!F3</f>
        <v>0</v>
      </c>
      <c r="D29" s="15">
        <f>'2021-07'!F4</f>
        <v>380</v>
      </c>
      <c r="E29" s="15">
        <f>'2021-07'!F5</f>
        <v>856</v>
      </c>
      <c r="F29" s="15">
        <f>'2021-07'!F6</f>
        <v>80</v>
      </c>
      <c r="G29" s="15">
        <f>'2021-07'!F7</f>
        <v>1060</v>
      </c>
      <c r="H29" s="15">
        <f>'2021-07'!F8</f>
        <v>0</v>
      </c>
      <c r="I29" s="15">
        <f>'2021-07'!F9</f>
        <v>2720</v>
      </c>
      <c r="J29" s="15">
        <f>'2021-07'!F10</f>
        <v>0</v>
      </c>
      <c r="K29" s="15">
        <f>'2021-07'!F11</f>
        <v>0</v>
      </c>
      <c r="L29" s="15">
        <f>'2021-07'!F12</f>
        <v>209</v>
      </c>
      <c r="M29" s="15">
        <f t="shared" si="0"/>
        <v>-5985</v>
      </c>
      <c r="N29" s="15">
        <f>卖猫!M24</f>
        <v>9110</v>
      </c>
      <c r="O29" s="15">
        <f t="shared" si="1"/>
        <v>3125</v>
      </c>
      <c r="P29" s="15">
        <f t="shared" si="5"/>
        <v>-184038</v>
      </c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36"/>
      <c r="AH29" s="36"/>
    </row>
    <row r="30" spans="1:34" ht="16.5" thickTop="1" thickBot="1">
      <c r="A30" s="14">
        <v>44409</v>
      </c>
      <c r="B30" s="15">
        <f>'2021-08'!F2</f>
        <v>4260</v>
      </c>
      <c r="C30" s="15">
        <f>'2021-08'!F3</f>
        <v>840</v>
      </c>
      <c r="D30" s="15">
        <f>'2021-08'!F4</f>
        <v>54</v>
      </c>
      <c r="E30" s="15">
        <f>'2021-08'!F5</f>
        <v>348</v>
      </c>
      <c r="F30" s="15">
        <f>'2021-08'!F6</f>
        <v>1083</v>
      </c>
      <c r="G30" s="15">
        <f>'2021-08'!F7</f>
        <v>372</v>
      </c>
      <c r="H30" s="15">
        <f>'2021-08'!F8</f>
        <v>490</v>
      </c>
      <c r="I30" s="15">
        <f>'2021-08'!F9</f>
        <v>2602</v>
      </c>
      <c r="J30" s="15">
        <f>'2021-08'!F10</f>
        <v>222</v>
      </c>
      <c r="K30" s="15">
        <f>'2021-08'!F11</f>
        <v>0</v>
      </c>
      <c r="L30" s="15">
        <f>'2021-08'!F12</f>
        <v>471</v>
      </c>
      <c r="M30" s="15">
        <f t="shared" si="0"/>
        <v>-10742</v>
      </c>
      <c r="N30" s="15">
        <f>卖猫!M25</f>
        <v>9135</v>
      </c>
      <c r="O30" s="15">
        <f t="shared" si="1"/>
        <v>-1607</v>
      </c>
      <c r="P30" s="15">
        <f t="shared" si="5"/>
        <v>-185645</v>
      </c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36"/>
      <c r="AH30" s="36"/>
    </row>
    <row r="31" spans="1:34" ht="16.5" thickTop="1" thickBot="1">
      <c r="A31" s="14">
        <v>44440</v>
      </c>
      <c r="B31" s="15">
        <f>'2021-09'!F2</f>
        <v>1331</v>
      </c>
      <c r="C31" s="15">
        <f>'2021-09'!F3</f>
        <v>2061</v>
      </c>
      <c r="D31" s="15">
        <f>'2021-09'!F4</f>
        <v>370</v>
      </c>
      <c r="E31" s="15">
        <f>'2021-09'!F5</f>
        <v>47</v>
      </c>
      <c r="F31" s="15">
        <f>'2021-09'!F6</f>
        <v>0</v>
      </c>
      <c r="G31" s="15">
        <f>'2021-09'!F7</f>
        <v>1256</v>
      </c>
      <c r="H31" s="15">
        <f>'2021-09'!F8</f>
        <v>0</v>
      </c>
      <c r="I31" s="15">
        <f>'2021-09'!F9</f>
        <v>213</v>
      </c>
      <c r="J31" s="15">
        <f>'2021-09'!F10</f>
        <v>230</v>
      </c>
      <c r="K31" s="15">
        <f>'2021-09'!F11</f>
        <v>0</v>
      </c>
      <c r="L31" s="15">
        <f>'2021-09'!F12</f>
        <v>115</v>
      </c>
      <c r="M31" s="15">
        <f t="shared" si="0"/>
        <v>-5623</v>
      </c>
      <c r="N31" s="15">
        <f>卖猫!M26</f>
        <v>15600</v>
      </c>
      <c r="O31" s="15">
        <f t="shared" si="1"/>
        <v>9977</v>
      </c>
      <c r="P31" s="15">
        <f t="shared" si="5"/>
        <v>-175668</v>
      </c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36"/>
      <c r="AH31" s="36"/>
    </row>
    <row r="32" spans="1:34" ht="16.5" thickTop="1" thickBot="1">
      <c r="A32" s="14">
        <v>44470</v>
      </c>
      <c r="B32" s="15">
        <f>'2021-10'!F2</f>
        <v>4190</v>
      </c>
      <c r="C32" s="15">
        <f>'2021-10'!F3</f>
        <v>447</v>
      </c>
      <c r="D32" s="15">
        <f>'2021-10'!F4</f>
        <v>300</v>
      </c>
      <c r="E32" s="15">
        <f>'2021-10'!F5</f>
        <v>943</v>
      </c>
      <c r="F32" s="15">
        <f>'2021-10'!F6</f>
        <v>495</v>
      </c>
      <c r="G32" s="15">
        <f>'2021-10'!F7</f>
        <v>634</v>
      </c>
      <c r="H32" s="15">
        <f>'2021-10'!F8</f>
        <v>560</v>
      </c>
      <c r="I32" s="15">
        <f>'2021-10'!F9</f>
        <v>1247</v>
      </c>
      <c r="J32" s="15">
        <f>'2021-10'!F10</f>
        <v>169</v>
      </c>
      <c r="K32" s="15">
        <f>'2021-10'!F11</f>
        <v>800</v>
      </c>
      <c r="L32" s="15">
        <f>'2021-10'!F12</f>
        <v>1649</v>
      </c>
      <c r="M32" s="15">
        <f t="shared" si="0"/>
        <v>-11434</v>
      </c>
      <c r="N32" s="15">
        <f>卖猫!M27</f>
        <v>7260</v>
      </c>
      <c r="O32" s="15">
        <f t="shared" si="1"/>
        <v>-4174</v>
      </c>
      <c r="P32" s="15">
        <f t="shared" si="5"/>
        <v>-179842</v>
      </c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36"/>
      <c r="AH32" s="36"/>
    </row>
    <row r="33" spans="1:34" ht="16.5" thickTop="1" thickBot="1">
      <c r="A33" s="14">
        <v>44501</v>
      </c>
      <c r="B33" s="15">
        <f>'2021-11'!F2</f>
        <v>4538</v>
      </c>
      <c r="C33" s="15">
        <f>'2021-11'!F3</f>
        <v>2241</v>
      </c>
      <c r="D33" s="15">
        <f>'2021-11'!F4</f>
        <v>573</v>
      </c>
      <c r="E33" s="15">
        <f>'2021-11'!F5</f>
        <v>689</v>
      </c>
      <c r="F33" s="15">
        <f>'2021-11'!F6</f>
        <v>0</v>
      </c>
      <c r="G33" s="15">
        <f>'2021-11'!F7</f>
        <v>166</v>
      </c>
      <c r="H33" s="15">
        <f>'2021-11'!F8</f>
        <v>0</v>
      </c>
      <c r="I33" s="15">
        <f>'2021-11'!F9</f>
        <v>1199</v>
      </c>
      <c r="J33" s="15">
        <f>'2021-11'!F10</f>
        <v>160</v>
      </c>
      <c r="K33" s="15">
        <f>'2021-11'!F11</f>
        <v>0</v>
      </c>
      <c r="L33" s="15">
        <f>'2021-11'!F12</f>
        <v>1049</v>
      </c>
      <c r="M33" s="15">
        <f t="shared" si="0"/>
        <v>-10615</v>
      </c>
      <c r="N33" s="15">
        <f>卖猫!M28</f>
        <v>19930</v>
      </c>
      <c r="O33" s="15">
        <f t="shared" si="1"/>
        <v>9315</v>
      </c>
      <c r="P33" s="15">
        <f t="shared" si="5"/>
        <v>-170527</v>
      </c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36"/>
      <c r="AH33" s="36"/>
    </row>
    <row r="34" spans="1:34" ht="16.5" thickTop="1" thickBot="1">
      <c r="A34" s="14">
        <v>44531</v>
      </c>
      <c r="B34" s="15">
        <f>'2021-12'!F2</f>
        <v>1540</v>
      </c>
      <c r="C34" s="15">
        <f>'2021-12'!F3</f>
        <v>1486</v>
      </c>
      <c r="D34" s="15">
        <f>'2021-12'!F4</f>
        <v>663</v>
      </c>
      <c r="E34" s="15">
        <f>'2021-12'!F5</f>
        <v>265</v>
      </c>
      <c r="F34" s="15">
        <f>'2021-12'!F6</f>
        <v>3286</v>
      </c>
      <c r="G34" s="15">
        <f>'2021-12'!F7</f>
        <v>588</v>
      </c>
      <c r="H34" s="15">
        <f>'2021-12'!F8</f>
        <v>1164</v>
      </c>
      <c r="I34" s="15">
        <f>'2021-12'!F9</f>
        <v>374</v>
      </c>
      <c r="J34" s="15">
        <f>'2021-12'!F10</f>
        <v>312</v>
      </c>
      <c r="K34" s="15">
        <f>'2021-12'!F11</f>
        <v>0</v>
      </c>
      <c r="L34" s="15">
        <f>'2021-12'!F12</f>
        <v>727</v>
      </c>
      <c r="M34" s="15">
        <f t="shared" si="0"/>
        <v>-10405</v>
      </c>
      <c r="N34" s="15">
        <f>卖猫!M29</f>
        <v>18005</v>
      </c>
      <c r="O34" s="15">
        <f t="shared" si="1"/>
        <v>7600</v>
      </c>
      <c r="P34" s="15">
        <f t="shared" si="5"/>
        <v>-162927</v>
      </c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36"/>
      <c r="AH34" s="36"/>
    </row>
    <row r="35" spans="1:34" ht="16.5" thickTop="1" thickBot="1">
      <c r="A35" s="14">
        <v>44562</v>
      </c>
      <c r="B35" s="15">
        <f>'2022-01'!F2</f>
        <v>3272</v>
      </c>
      <c r="C35" s="15">
        <f>'2022-01'!F3</f>
        <v>240</v>
      </c>
      <c r="D35" s="15">
        <f>'2022-01'!F4</f>
        <v>251</v>
      </c>
      <c r="E35" s="15">
        <f>'2022-01'!F5</f>
        <v>476</v>
      </c>
      <c r="F35" s="15">
        <f>'2022-01'!F6</f>
        <v>346</v>
      </c>
      <c r="G35" s="15">
        <f>'2022-01'!F7</f>
        <v>1630</v>
      </c>
      <c r="H35" s="15">
        <f>'2022-01'!F8</f>
        <v>450</v>
      </c>
      <c r="I35" s="15">
        <f>'2022-01'!F9</f>
        <v>192</v>
      </c>
      <c r="J35" s="15">
        <f>'2022-01'!F10</f>
        <v>609</v>
      </c>
      <c r="K35" s="15">
        <f>'2022-01'!F11</f>
        <v>0</v>
      </c>
      <c r="L35" s="15">
        <f>'2022-01'!F12</f>
        <v>1390</v>
      </c>
      <c r="M35" s="15">
        <f t="shared" si="0"/>
        <v>-8856</v>
      </c>
      <c r="N35" s="15">
        <f>卖猫!M30</f>
        <v>7100</v>
      </c>
      <c r="O35" s="15">
        <f t="shared" si="1"/>
        <v>-1756</v>
      </c>
      <c r="P35" s="15">
        <f t="shared" si="5"/>
        <v>-164683</v>
      </c>
    </row>
    <row r="36" spans="1:34" ht="16.5" thickTop="1" thickBot="1">
      <c r="A36" s="14">
        <v>44593</v>
      </c>
      <c r="B36" s="15">
        <f>'2022-02'!F2</f>
        <v>1241</v>
      </c>
      <c r="C36" s="15">
        <f>'2022-02'!F3</f>
        <v>0</v>
      </c>
      <c r="D36" s="15">
        <f>'2022-02'!F4</f>
        <v>255</v>
      </c>
      <c r="E36" s="15">
        <f>'2022-02'!F5</f>
        <v>701</v>
      </c>
      <c r="F36" s="15">
        <f>'2022-02'!F6</f>
        <v>0</v>
      </c>
      <c r="G36" s="15">
        <f>'2022-02'!F7</f>
        <v>122</v>
      </c>
      <c r="H36" s="15">
        <f>'2022-02'!F8</f>
        <v>0</v>
      </c>
      <c r="I36" s="15">
        <f>'2022-02'!F9</f>
        <v>70</v>
      </c>
      <c r="J36" s="15">
        <f>'2022-02'!F10</f>
        <v>28</v>
      </c>
      <c r="K36" s="15">
        <f>'2022-02'!F11</f>
        <v>0</v>
      </c>
      <c r="L36" s="15">
        <f>'2022-02'!F12</f>
        <v>5188</v>
      </c>
      <c r="M36" s="15">
        <f t="shared" si="0"/>
        <v>-7605</v>
      </c>
      <c r="N36" s="15">
        <f>卖猫!M31</f>
        <v>7825</v>
      </c>
      <c r="O36" s="15">
        <f t="shared" si="1"/>
        <v>220</v>
      </c>
      <c r="P36" s="15">
        <f t="shared" si="5"/>
        <v>-164463</v>
      </c>
    </row>
    <row r="37" spans="1:34" ht="16.5" thickTop="1" thickBot="1">
      <c r="A37" s="14">
        <v>44621</v>
      </c>
      <c r="B37" s="15">
        <f>'2022-03'!F2</f>
        <v>2038</v>
      </c>
      <c r="C37" s="15">
        <f>'2022-03'!F3</f>
        <v>1180</v>
      </c>
      <c r="D37" s="15">
        <f>'2022-03'!F4</f>
        <v>245</v>
      </c>
      <c r="E37" s="15">
        <f>'2022-03'!F5</f>
        <v>428</v>
      </c>
      <c r="F37" s="15">
        <f>'2022-03'!F6</f>
        <v>3783</v>
      </c>
      <c r="G37" s="15">
        <f>'2022-03'!F7</f>
        <v>336</v>
      </c>
      <c r="H37" s="15">
        <f>'2022-03'!F8</f>
        <v>0</v>
      </c>
      <c r="I37" s="15">
        <f>'2022-03'!F9</f>
        <v>1176</v>
      </c>
      <c r="J37" s="15">
        <f>'2022-03'!F10</f>
        <v>208</v>
      </c>
      <c r="K37" s="15">
        <f>'2022-03'!F11</f>
        <v>0</v>
      </c>
      <c r="L37" s="15">
        <f>'2022-03'!F12</f>
        <v>1257</v>
      </c>
      <c r="M37" s="15">
        <f t="shared" si="0"/>
        <v>-10651</v>
      </c>
      <c r="N37" s="15">
        <f>卖猫!M32</f>
        <v>6120</v>
      </c>
      <c r="O37" s="15">
        <f t="shared" si="1"/>
        <v>-4531</v>
      </c>
      <c r="P37" s="15">
        <f t="shared" si="5"/>
        <v>-168994</v>
      </c>
      <c r="T37" s="22"/>
    </row>
    <row r="38" spans="1:34" ht="16.5" thickTop="1" thickBot="1">
      <c r="A38" s="14">
        <v>44652</v>
      </c>
      <c r="B38" s="15">
        <f>'2022-04'!F2</f>
        <v>2175</v>
      </c>
      <c r="C38" s="15">
        <f>'2022-04'!F3</f>
        <v>860</v>
      </c>
      <c r="D38" s="15">
        <f>'2022-04'!F4</f>
        <v>251</v>
      </c>
      <c r="E38" s="15">
        <f>'2022-04'!F5</f>
        <v>660</v>
      </c>
      <c r="F38" s="15">
        <f>'2022-04'!F6</f>
        <v>0</v>
      </c>
      <c r="G38" s="15">
        <f>'2022-04'!F7</f>
        <v>522</v>
      </c>
      <c r="H38" s="15">
        <f>'2022-04'!F8</f>
        <v>416</v>
      </c>
      <c r="I38" s="15">
        <f>'2022-04'!F9</f>
        <v>0</v>
      </c>
      <c r="J38" s="15">
        <f>'2022-04'!F10</f>
        <v>128</v>
      </c>
      <c r="K38" s="15">
        <f>'2022-04'!F11</f>
        <v>0</v>
      </c>
      <c r="L38" s="15">
        <f>'2022-04'!F12</f>
        <v>156</v>
      </c>
      <c r="M38" s="15">
        <f t="shared" ref="M38:M61" si="36">SUM(B38:L38)*-1</f>
        <v>-5168</v>
      </c>
      <c r="N38" s="15">
        <f>卖猫!M33</f>
        <v>14190</v>
      </c>
      <c r="O38" s="15">
        <f t="shared" ref="O38:O61" si="37">(N38+M38)</f>
        <v>9022</v>
      </c>
      <c r="P38" s="15">
        <f t="shared" si="5"/>
        <v>-159972</v>
      </c>
      <c r="T38" s="22"/>
    </row>
    <row r="39" spans="1:34" ht="16.5" thickTop="1" thickBot="1">
      <c r="A39" s="14">
        <v>44682</v>
      </c>
      <c r="B39" s="15">
        <f>'2022-05'!F2</f>
        <v>2326</v>
      </c>
      <c r="C39" s="15">
        <f>'2022-05'!F3</f>
        <v>0</v>
      </c>
      <c r="D39" s="15">
        <f>'2022-05'!F4</f>
        <v>316</v>
      </c>
      <c r="E39" s="15">
        <f>'2022-05'!F5</f>
        <v>30</v>
      </c>
      <c r="F39" s="15">
        <f>'2022-05'!F6</f>
        <v>1496</v>
      </c>
      <c r="G39" s="15">
        <f>'2022-05'!F7</f>
        <v>250</v>
      </c>
      <c r="H39" s="15">
        <f>'2022-05'!F8</f>
        <v>0</v>
      </c>
      <c r="I39" s="15">
        <f>'2022-05'!F9</f>
        <v>322</v>
      </c>
      <c r="J39" s="15">
        <f>'2022-05'!F10</f>
        <v>383</v>
      </c>
      <c r="K39" s="15">
        <f>'2022-05'!F11</f>
        <v>2500</v>
      </c>
      <c r="L39" s="15">
        <f>'2022-05'!F12</f>
        <v>68</v>
      </c>
      <c r="M39" s="15">
        <f t="shared" si="36"/>
        <v>-7691</v>
      </c>
      <c r="N39" s="15">
        <f>卖猫!M34</f>
        <v>9492</v>
      </c>
      <c r="O39" s="15">
        <f t="shared" si="37"/>
        <v>1801</v>
      </c>
      <c r="P39" s="15">
        <f t="shared" si="5"/>
        <v>-158171</v>
      </c>
      <c r="T39" s="22"/>
    </row>
    <row r="40" spans="1:34" ht="16.5" thickTop="1" thickBot="1">
      <c r="A40" s="14">
        <v>44713</v>
      </c>
      <c r="B40" s="15">
        <f>'2022-06'!F2</f>
        <v>50</v>
      </c>
      <c r="C40" s="15">
        <f>'2022-06'!F3</f>
        <v>3407</v>
      </c>
      <c r="D40" s="15">
        <f>'2022-06'!F4</f>
        <v>716</v>
      </c>
      <c r="E40" s="15">
        <f>'2022-06'!F5</f>
        <v>700</v>
      </c>
      <c r="F40" s="15">
        <f>'2022-06'!F6</f>
        <v>0</v>
      </c>
      <c r="G40" s="15">
        <f>'2022-06'!F7</f>
        <v>95</v>
      </c>
      <c r="H40" s="15">
        <f>'2022-06'!F8</f>
        <v>0</v>
      </c>
      <c r="I40" s="15">
        <f>'2022-06'!F9</f>
        <v>150</v>
      </c>
      <c r="J40" s="15">
        <f>'2022-06'!F10</f>
        <v>32</v>
      </c>
      <c r="K40" s="15">
        <f>'2022-06'!F11</f>
        <v>0</v>
      </c>
      <c r="L40" s="15">
        <f>'2022-06'!F12</f>
        <v>300</v>
      </c>
      <c r="M40" s="15">
        <f t="shared" si="36"/>
        <v>-5450</v>
      </c>
      <c r="N40" s="15">
        <f>卖猫!M35</f>
        <v>8327</v>
      </c>
      <c r="O40" s="15">
        <f t="shared" si="37"/>
        <v>2877</v>
      </c>
      <c r="P40" s="15">
        <f t="shared" si="5"/>
        <v>-155294</v>
      </c>
    </row>
    <row r="41" spans="1:34" ht="16.5" thickTop="1" thickBot="1">
      <c r="A41" s="14">
        <v>44743</v>
      </c>
      <c r="B41" s="15">
        <f>'2022-07'!F2</f>
        <v>1910</v>
      </c>
      <c r="C41" s="15">
        <f>'2022-07'!F3</f>
        <v>272</v>
      </c>
      <c r="D41" s="15">
        <f>'2022-07'!F4</f>
        <v>260</v>
      </c>
      <c r="E41" s="15">
        <f>'2022-07'!F5</f>
        <v>225</v>
      </c>
      <c r="F41" s="15">
        <f>'2022-07'!F6</f>
        <v>2500</v>
      </c>
      <c r="G41" s="15">
        <f>'2022-07'!F7</f>
        <v>366</v>
      </c>
      <c r="H41" s="15">
        <f>'2022-07'!F8</f>
        <v>0</v>
      </c>
      <c r="I41" s="15">
        <f>'2022-07'!F9</f>
        <v>390</v>
      </c>
      <c r="J41" s="15">
        <f>'2022-07'!F10</f>
        <v>0</v>
      </c>
      <c r="K41" s="15">
        <f>'2022-07'!F11</f>
        <v>0</v>
      </c>
      <c r="L41" s="15">
        <f>'2022-07'!F12</f>
        <v>5138</v>
      </c>
      <c r="M41" s="15">
        <f t="shared" si="36"/>
        <v>-11061</v>
      </c>
      <c r="N41" s="15">
        <f>卖猫!M36</f>
        <v>2960</v>
      </c>
      <c r="O41" s="15">
        <f t="shared" si="37"/>
        <v>-8101</v>
      </c>
      <c r="P41" s="15">
        <f t="shared" ref="P41:P61" si="38">P40+O41</f>
        <v>-163395</v>
      </c>
    </row>
    <row r="42" spans="1:34" ht="16.5" thickTop="1" thickBot="1">
      <c r="A42" s="14">
        <v>44774</v>
      </c>
      <c r="B42" s="15">
        <f>'2022-08'!F2</f>
        <v>2350</v>
      </c>
      <c r="C42" s="15">
        <f>'2022-08'!F3</f>
        <v>1083</v>
      </c>
      <c r="D42" s="15">
        <f>'2022-08'!F4</f>
        <v>1414</v>
      </c>
      <c r="E42" s="15">
        <f>'2022-08'!F5</f>
        <v>444</v>
      </c>
      <c r="F42" s="15">
        <f>'2022-08'!F6</f>
        <v>152</v>
      </c>
      <c r="G42" s="15">
        <f>'2022-08'!F7</f>
        <v>758</v>
      </c>
      <c r="H42" s="15">
        <f>'2022-08'!F8</f>
        <v>0</v>
      </c>
      <c r="I42" s="15">
        <f>'2022-08'!F9</f>
        <v>1790</v>
      </c>
      <c r="J42" s="15">
        <f>'2022-08'!F10</f>
        <v>184</v>
      </c>
      <c r="K42" s="15">
        <f>'2022-08'!F11</f>
        <v>0</v>
      </c>
      <c r="L42" s="15">
        <f>'2022-08'!F12</f>
        <v>1169</v>
      </c>
      <c r="M42" s="15">
        <f t="shared" si="36"/>
        <v>-9344</v>
      </c>
      <c r="N42" s="15">
        <f>卖猫!M37</f>
        <v>14739</v>
      </c>
      <c r="O42" s="15">
        <f t="shared" si="37"/>
        <v>5395</v>
      </c>
      <c r="P42" s="15">
        <f t="shared" si="38"/>
        <v>-158000</v>
      </c>
    </row>
    <row r="43" spans="1:34" ht="16.5" thickTop="1" thickBot="1">
      <c r="A43" s="14">
        <v>44805</v>
      </c>
      <c r="B43" s="15">
        <f>'2022-09'!F2</f>
        <v>2941</v>
      </c>
      <c r="C43" s="15">
        <f>'2022-09'!F3</f>
        <v>1936</v>
      </c>
      <c r="D43" s="15">
        <f>'2022-09'!F4</f>
        <v>519</v>
      </c>
      <c r="E43" s="15">
        <f>'2022-09'!F5</f>
        <v>0</v>
      </c>
      <c r="F43" s="15">
        <f>'2022-09'!F6</f>
        <v>0</v>
      </c>
      <c r="G43" s="15">
        <f>'2022-09'!F7</f>
        <v>350</v>
      </c>
      <c r="H43" s="15">
        <f>'2022-09'!F8</f>
        <v>0</v>
      </c>
      <c r="I43" s="15">
        <f>'2022-09'!F9</f>
        <v>552</v>
      </c>
      <c r="J43" s="15">
        <f>'2022-09'!F10</f>
        <v>0</v>
      </c>
      <c r="K43" s="15">
        <f>'2022-09'!F11</f>
        <v>0</v>
      </c>
      <c r="L43" s="15">
        <f>'2022-09'!F12</f>
        <v>284</v>
      </c>
      <c r="M43" s="15">
        <f t="shared" si="36"/>
        <v>-6582</v>
      </c>
      <c r="N43" s="15">
        <f>卖猫!M38</f>
        <v>0</v>
      </c>
      <c r="O43" s="15">
        <f t="shared" si="37"/>
        <v>-6582</v>
      </c>
      <c r="P43" s="15">
        <f t="shared" si="38"/>
        <v>-164582</v>
      </c>
    </row>
    <row r="44" spans="1:34" ht="16.5" thickTop="1" thickBot="1">
      <c r="A44" s="14">
        <v>44835</v>
      </c>
      <c r="B44" s="15">
        <f>'2022-10'!F2</f>
        <v>3098</v>
      </c>
      <c r="C44" s="15">
        <f>'2022-10'!F3</f>
        <v>950</v>
      </c>
      <c r="D44" s="15">
        <f>'2022-10'!F4</f>
        <v>36</v>
      </c>
      <c r="E44" s="15">
        <f>'2022-10'!F5</f>
        <v>365</v>
      </c>
      <c r="F44" s="15">
        <f>'2022-10'!F6</f>
        <v>0</v>
      </c>
      <c r="G44" s="15">
        <f>'2022-10'!F7</f>
        <v>374</v>
      </c>
      <c r="H44" s="15">
        <f>'2022-10'!F8</f>
        <v>0</v>
      </c>
      <c r="I44" s="15">
        <f>'2022-10'!F9</f>
        <v>0</v>
      </c>
      <c r="J44" s="15">
        <f>'2022-10'!F10</f>
        <v>0</v>
      </c>
      <c r="K44" s="15">
        <f>'2022-10'!F11</f>
        <v>0</v>
      </c>
      <c r="L44" s="15">
        <f>'2022-10'!F12</f>
        <v>7276</v>
      </c>
      <c r="M44" s="15">
        <f t="shared" si="36"/>
        <v>-12099</v>
      </c>
      <c r="N44" s="15">
        <f>卖猫!M39</f>
        <v>1363</v>
      </c>
      <c r="O44" s="15">
        <f t="shared" si="37"/>
        <v>-10736</v>
      </c>
      <c r="P44" s="15">
        <f t="shared" si="38"/>
        <v>-175318</v>
      </c>
    </row>
    <row r="45" spans="1:34" ht="16.5" thickTop="1" thickBot="1">
      <c r="A45" s="14">
        <v>44866</v>
      </c>
      <c r="B45" s="15">
        <f>'2022-11'!F2</f>
        <v>1340</v>
      </c>
      <c r="C45" s="15">
        <f>'2022-11'!F3</f>
        <v>909</v>
      </c>
      <c r="D45" s="15">
        <f>'2022-11'!F4</f>
        <v>209</v>
      </c>
      <c r="E45" s="15">
        <f>'2022-11'!F5</f>
        <v>640</v>
      </c>
      <c r="F45" s="15">
        <f>'2022-11'!F6</f>
        <v>0</v>
      </c>
      <c r="G45" s="15">
        <f>'2022-11'!F7</f>
        <v>285</v>
      </c>
      <c r="H45" s="15">
        <f>'2022-11'!F8</f>
        <v>0</v>
      </c>
      <c r="I45" s="15">
        <f>'2022-11'!F9</f>
        <v>500</v>
      </c>
      <c r="J45" s="15">
        <f>'2022-11'!F10</f>
        <v>28</v>
      </c>
      <c r="K45" s="15">
        <f>'2022-11'!F11</f>
        <v>817</v>
      </c>
      <c r="L45" s="15">
        <f>'2022-11'!F12</f>
        <v>347</v>
      </c>
      <c r="M45" s="15">
        <f t="shared" si="36"/>
        <v>-5075</v>
      </c>
      <c r="N45" s="15">
        <f>卖猫!M40</f>
        <v>13100</v>
      </c>
      <c r="O45" s="15">
        <f t="shared" si="37"/>
        <v>8025</v>
      </c>
      <c r="P45" s="15">
        <f t="shared" si="38"/>
        <v>-167293</v>
      </c>
    </row>
    <row r="46" spans="1:34" ht="16.5" thickTop="1" thickBot="1">
      <c r="A46" s="14">
        <v>44896</v>
      </c>
      <c r="B46" s="15">
        <f>'2022-12'!F2</f>
        <v>500</v>
      </c>
      <c r="C46" s="15">
        <f>'2022-12'!F3</f>
        <v>280</v>
      </c>
      <c r="D46" s="15">
        <f>'2022-12'!F4</f>
        <v>267</v>
      </c>
      <c r="E46" s="15">
        <f>'2022-12'!F5</f>
        <v>26</v>
      </c>
      <c r="F46" s="15">
        <f>'2022-12'!F6</f>
        <v>0</v>
      </c>
      <c r="G46" s="15">
        <f>'2022-12'!F7</f>
        <v>76</v>
      </c>
      <c r="H46" s="15">
        <f>'2022-12'!F8</f>
        <v>0</v>
      </c>
      <c r="I46" s="15">
        <f>'2022-12'!F9</f>
        <v>0</v>
      </c>
      <c r="J46" s="15">
        <f>'2022-12'!F10</f>
        <v>0</v>
      </c>
      <c r="K46" s="15">
        <f>'2022-12'!F11</f>
        <v>4600</v>
      </c>
      <c r="L46" s="15">
        <f>'2022-12'!F12</f>
        <v>472</v>
      </c>
      <c r="M46" s="15">
        <f t="shared" si="36"/>
        <v>-6221</v>
      </c>
      <c r="N46" s="15">
        <f>卖猫!M41</f>
        <v>3185</v>
      </c>
      <c r="O46" s="15">
        <f t="shared" si="37"/>
        <v>-3036</v>
      </c>
      <c r="P46" s="15">
        <f t="shared" si="38"/>
        <v>-170329</v>
      </c>
    </row>
    <row r="47" spans="1:34" ht="16.5" thickTop="1" thickBot="1">
      <c r="A47" s="14">
        <v>44927</v>
      </c>
      <c r="B47" s="15">
        <f>'2023-01'!F2</f>
        <v>1000</v>
      </c>
      <c r="C47" s="15">
        <f>'2023-01'!F3</f>
        <v>512</v>
      </c>
      <c r="D47" s="15">
        <f>'2023-01'!F4</f>
        <v>0</v>
      </c>
      <c r="E47" s="15">
        <f>'2023-01'!F5</f>
        <v>214</v>
      </c>
      <c r="F47" s="15">
        <f>'2023-01'!F6</f>
        <v>0</v>
      </c>
      <c r="G47" s="15">
        <f>'2023-01'!F7</f>
        <v>410</v>
      </c>
      <c r="H47" s="15">
        <f>'2023-01'!F8</f>
        <v>1550</v>
      </c>
      <c r="I47" s="15">
        <f>'2023-01'!F9</f>
        <v>500</v>
      </c>
      <c r="J47" s="15">
        <f>'2023-01'!F10</f>
        <v>0</v>
      </c>
      <c r="K47" s="15">
        <f>'2023-01'!F11</f>
        <v>0</v>
      </c>
      <c r="L47" s="15">
        <f>'2023-01'!F12</f>
        <v>339</v>
      </c>
      <c r="M47" s="15">
        <f t="shared" si="36"/>
        <v>-4525</v>
      </c>
      <c r="N47" s="15">
        <f>卖猫!M42</f>
        <v>500</v>
      </c>
      <c r="O47" s="15">
        <f t="shared" si="37"/>
        <v>-4025</v>
      </c>
      <c r="P47" s="15">
        <f t="shared" si="38"/>
        <v>-174354</v>
      </c>
    </row>
    <row r="48" spans="1:34" ht="16.5" thickTop="1" thickBot="1">
      <c r="A48" s="14">
        <v>44958</v>
      </c>
      <c r="B48" s="15">
        <f>'2023-02'!F2</f>
        <v>235</v>
      </c>
      <c r="C48" s="15">
        <f>'2023-02'!F3</f>
        <v>0</v>
      </c>
      <c r="D48" s="15">
        <f>'2023-02'!F4</f>
        <v>0</v>
      </c>
      <c r="E48" s="15">
        <f>'2023-02'!F5</f>
        <v>788</v>
      </c>
      <c r="F48" s="15">
        <f>'2023-02'!F6</f>
        <v>0</v>
      </c>
      <c r="G48" s="15">
        <f>'2023-02'!F7</f>
        <v>130</v>
      </c>
      <c r="H48" s="15">
        <f>'2023-02'!F8</f>
        <v>740</v>
      </c>
      <c r="I48" s="15">
        <f>'2023-02'!F9</f>
        <v>650</v>
      </c>
      <c r="J48" s="15">
        <f>'2023-02'!F10</f>
        <v>0</v>
      </c>
      <c r="K48" s="15">
        <f>'2023-02'!F11</f>
        <v>0</v>
      </c>
      <c r="L48" s="15">
        <f>'2023-02'!F12</f>
        <v>5176</v>
      </c>
      <c r="M48" s="15">
        <f t="shared" si="36"/>
        <v>-7719</v>
      </c>
      <c r="N48" s="15">
        <f>卖猫!M43</f>
        <v>2500</v>
      </c>
      <c r="O48" s="15">
        <f t="shared" si="37"/>
        <v>-5219</v>
      </c>
      <c r="P48" s="15">
        <f t="shared" si="38"/>
        <v>-179573</v>
      </c>
    </row>
    <row r="49" spans="1:16" ht="16.5" thickTop="1" thickBot="1">
      <c r="A49" s="14">
        <v>44986</v>
      </c>
      <c r="B49" s="15">
        <f>'2023-03'!F2</f>
        <v>2097</v>
      </c>
      <c r="C49" s="15">
        <f>'2023-03'!F3</f>
        <v>1080</v>
      </c>
      <c r="D49" s="15">
        <f>'2023-03'!F4</f>
        <v>0</v>
      </c>
      <c r="E49" s="15">
        <f>'2023-03'!F5</f>
        <v>537</v>
      </c>
      <c r="F49" s="15">
        <f>'2023-03'!F6</f>
        <v>501</v>
      </c>
      <c r="G49" s="15">
        <f>'2023-03'!F7</f>
        <v>666</v>
      </c>
      <c r="H49" s="15">
        <f>'2023-03'!F8</f>
        <v>0</v>
      </c>
      <c r="I49" s="15">
        <f>'2023-03'!F9</f>
        <v>210</v>
      </c>
      <c r="J49" s="15">
        <f>'2023-03'!F10</f>
        <v>125</v>
      </c>
      <c r="K49" s="15">
        <f>'2023-03'!F11</f>
        <v>2400</v>
      </c>
      <c r="L49" s="15">
        <f>'2023-03'!F12</f>
        <v>100</v>
      </c>
      <c r="M49" s="15">
        <f t="shared" si="36"/>
        <v>-7716</v>
      </c>
      <c r="N49" s="15">
        <f>卖猫!M44</f>
        <v>16400</v>
      </c>
      <c r="O49" s="15">
        <f t="shared" si="37"/>
        <v>8684</v>
      </c>
      <c r="P49" s="15">
        <f t="shared" si="38"/>
        <v>-170889</v>
      </c>
    </row>
    <row r="50" spans="1:16" ht="16.5" thickTop="1" thickBot="1">
      <c r="A50" s="14">
        <v>45017</v>
      </c>
      <c r="B50" s="15">
        <f>'2023-04'!F2</f>
        <v>1350</v>
      </c>
      <c r="C50" s="15">
        <f>'2023-04'!F3</f>
        <v>110</v>
      </c>
      <c r="D50" s="15">
        <f>'2023-04'!F4</f>
        <v>337</v>
      </c>
      <c r="E50" s="15">
        <f>'2023-04'!F5</f>
        <v>372</v>
      </c>
      <c r="F50" s="15">
        <f>'2023-04'!F6</f>
        <v>0</v>
      </c>
      <c r="G50" s="15">
        <f>'2023-04'!F7</f>
        <v>525</v>
      </c>
      <c r="H50" s="15">
        <f>'2023-04'!F8</f>
        <v>0</v>
      </c>
      <c r="I50" s="15">
        <f>'2023-04'!F9</f>
        <v>34</v>
      </c>
      <c r="J50" s="15">
        <f>'2023-04'!F10</f>
        <v>0</v>
      </c>
      <c r="K50" s="15">
        <f>'2023-04'!F11</f>
        <v>0</v>
      </c>
      <c r="L50" s="15">
        <f>'2023-04'!F12</f>
        <v>0</v>
      </c>
      <c r="M50" s="15">
        <f t="shared" si="36"/>
        <v>-2728</v>
      </c>
      <c r="N50" s="15">
        <f>卖猫!M45</f>
        <v>2500</v>
      </c>
      <c r="O50" s="15">
        <f t="shared" si="37"/>
        <v>-228</v>
      </c>
      <c r="P50" s="15">
        <f t="shared" si="38"/>
        <v>-171117</v>
      </c>
    </row>
    <row r="51" spans="1:16" ht="16.5" thickTop="1" thickBot="1">
      <c r="A51" s="14">
        <v>45047</v>
      </c>
      <c r="B51" s="15">
        <f>'2023-05'!F2</f>
        <v>1163</v>
      </c>
      <c r="C51" s="15">
        <f>'2023-05'!F3</f>
        <v>2030</v>
      </c>
      <c r="D51" s="15">
        <f>'2023-05'!F4</f>
        <v>515</v>
      </c>
      <c r="E51" s="15">
        <f>'2023-05'!F5</f>
        <v>100</v>
      </c>
      <c r="F51" s="15">
        <f>'2023-05'!F6</f>
        <v>66</v>
      </c>
      <c r="G51" s="15">
        <f>'2023-05'!F7</f>
        <v>1092</v>
      </c>
      <c r="H51" s="15">
        <f>'2023-05'!F8</f>
        <v>230</v>
      </c>
      <c r="I51" s="15">
        <f>'2023-05'!F9</f>
        <v>272</v>
      </c>
      <c r="J51" s="15">
        <f>'2023-05'!F10</f>
        <v>257</v>
      </c>
      <c r="K51" s="15">
        <f>'2023-05'!F11</f>
        <v>2500</v>
      </c>
      <c r="L51" s="15">
        <f>'2023-05'!F12</f>
        <v>279</v>
      </c>
      <c r="M51" s="15">
        <f t="shared" si="36"/>
        <v>-8504</v>
      </c>
      <c r="N51" s="15">
        <f>卖猫!M46</f>
        <v>12400</v>
      </c>
      <c r="O51" s="15">
        <f t="shared" si="37"/>
        <v>3896</v>
      </c>
      <c r="P51" s="15">
        <f t="shared" si="38"/>
        <v>-167221</v>
      </c>
    </row>
    <row r="52" spans="1:16" ht="16.5" thickTop="1" thickBot="1">
      <c r="A52" s="14">
        <v>45078</v>
      </c>
      <c r="B52" s="15">
        <f>'2023-06'!F2</f>
        <v>1194</v>
      </c>
      <c r="C52" s="15">
        <f>'2023-06'!F3</f>
        <v>470</v>
      </c>
      <c r="D52" s="15">
        <f>'2023-06'!F4</f>
        <v>538</v>
      </c>
      <c r="E52" s="15">
        <f>'2023-06'!F5</f>
        <v>194</v>
      </c>
      <c r="F52" s="15">
        <f>'2023-06'!F6</f>
        <v>956</v>
      </c>
      <c r="G52" s="15">
        <f>'2023-06'!F7</f>
        <v>400</v>
      </c>
      <c r="H52" s="15">
        <f>'2023-06'!F8</f>
        <v>0</v>
      </c>
      <c r="I52" s="15">
        <f>'2023-06'!F9</f>
        <v>0</v>
      </c>
      <c r="J52" s="15">
        <f>'2023-06'!F10</f>
        <v>56</v>
      </c>
      <c r="K52" s="15">
        <f>'2023-06'!F11</f>
        <v>0</v>
      </c>
      <c r="L52" s="15">
        <f>'2023-06'!F12</f>
        <v>3127.3</v>
      </c>
      <c r="M52" s="15">
        <f t="shared" si="36"/>
        <v>-6935.3</v>
      </c>
      <c r="N52" s="15">
        <f>卖猫!M47</f>
        <v>8900</v>
      </c>
      <c r="O52" s="15">
        <f t="shared" si="37"/>
        <v>1964.6999999999998</v>
      </c>
      <c r="P52" s="15">
        <f t="shared" si="38"/>
        <v>-165256.29999999999</v>
      </c>
    </row>
    <row r="53" spans="1:16" ht="16.5" thickTop="1" thickBot="1">
      <c r="A53" s="14">
        <v>45108</v>
      </c>
      <c r="B53" s="15">
        <f>'2023-07'!F2</f>
        <v>800</v>
      </c>
      <c r="C53" s="15">
        <f>'2023-07'!F3</f>
        <v>35</v>
      </c>
      <c r="D53" s="15">
        <f>'2023-07'!F4</f>
        <v>614</v>
      </c>
      <c r="E53" s="15">
        <f>'2023-07'!F5</f>
        <v>86</v>
      </c>
      <c r="F53" s="15">
        <f>'2023-07'!F6</f>
        <v>956</v>
      </c>
      <c r="G53" s="15">
        <f>'2023-07'!F7</f>
        <v>196</v>
      </c>
      <c r="H53" s="15">
        <f>'2023-07'!F8</f>
        <v>0</v>
      </c>
      <c r="I53" s="15">
        <f>'2023-07'!F9</f>
        <v>0</v>
      </c>
      <c r="J53" s="15">
        <f>'2023-07'!F10</f>
        <v>0</v>
      </c>
      <c r="K53" s="15">
        <f>'2023-07'!F11</f>
        <v>0</v>
      </c>
      <c r="L53" s="15">
        <f>'2023-07'!F12</f>
        <v>2589</v>
      </c>
      <c r="M53" s="15">
        <f t="shared" si="36"/>
        <v>-5276</v>
      </c>
      <c r="N53" s="15">
        <f>卖猫!M48</f>
        <v>4000</v>
      </c>
      <c r="O53" s="15">
        <f t="shared" si="37"/>
        <v>-1276</v>
      </c>
      <c r="P53" s="15">
        <f t="shared" si="38"/>
        <v>-166532.29999999999</v>
      </c>
    </row>
    <row r="54" spans="1:16" ht="16.5" thickTop="1" thickBot="1">
      <c r="A54" s="14">
        <v>45139</v>
      </c>
      <c r="B54" s="15">
        <f>'2023-08'!F2</f>
        <v>1825</v>
      </c>
      <c r="C54" s="15">
        <f>'2023-08'!F3</f>
        <v>1050</v>
      </c>
      <c r="D54" s="15">
        <f>'2023-08'!F4</f>
        <v>324</v>
      </c>
      <c r="E54" s="15">
        <f>'2023-08'!F5</f>
        <v>491</v>
      </c>
      <c r="F54" s="15">
        <f>'2023-08'!F6</f>
        <v>100</v>
      </c>
      <c r="G54" s="15">
        <f>'2023-08'!F7</f>
        <v>146</v>
      </c>
      <c r="H54" s="15">
        <f>'2023-08'!F8</f>
        <v>0</v>
      </c>
      <c r="I54" s="15">
        <f>'2023-08'!F9</f>
        <v>0</v>
      </c>
      <c r="J54" s="15">
        <f>'2023-08'!F10</f>
        <v>0</v>
      </c>
      <c r="K54" s="15">
        <f>'2023-08'!F11</f>
        <v>0</v>
      </c>
      <c r="L54" s="15">
        <f>'2023-08'!F12</f>
        <v>1935</v>
      </c>
      <c r="M54" s="15">
        <f t="shared" si="36"/>
        <v>-5871</v>
      </c>
      <c r="N54" s="15">
        <f>卖猫!M49</f>
        <v>6000</v>
      </c>
      <c r="O54" s="15">
        <f t="shared" si="37"/>
        <v>129</v>
      </c>
      <c r="P54" s="15">
        <f t="shared" si="38"/>
        <v>-166403.29999999999</v>
      </c>
    </row>
    <row r="55" spans="1:16" ht="16.5" thickTop="1" thickBot="1">
      <c r="A55" s="14">
        <v>45170</v>
      </c>
      <c r="B55" s="15">
        <f>'2023-09'!F2</f>
        <v>0</v>
      </c>
      <c r="C55" s="15">
        <f>'2023-09'!F3</f>
        <v>1750</v>
      </c>
      <c r="D55" s="15">
        <f>'2023-09'!F4</f>
        <v>262</v>
      </c>
      <c r="E55" s="15">
        <f>'2023-09'!F5</f>
        <v>115</v>
      </c>
      <c r="F55" s="15">
        <f>'2023-09'!F6</f>
        <v>0</v>
      </c>
      <c r="G55" s="15">
        <f>'2023-09'!F7</f>
        <v>390</v>
      </c>
      <c r="H55" s="15">
        <f>'2023-09'!F8</f>
        <v>0</v>
      </c>
      <c r="I55" s="15">
        <f>'2023-09'!F9</f>
        <v>0</v>
      </c>
      <c r="J55" s="15">
        <f>'2023-09'!F10</f>
        <v>66</v>
      </c>
      <c r="K55" s="15">
        <f>'2023-09'!F11</f>
        <v>0</v>
      </c>
      <c r="L55" s="15">
        <f>'2023-09'!F12</f>
        <v>2325</v>
      </c>
      <c r="M55" s="15">
        <f t="shared" si="36"/>
        <v>-4908</v>
      </c>
      <c r="N55" s="15">
        <f>卖猫!M50</f>
        <v>2000</v>
      </c>
      <c r="O55" s="15">
        <f t="shared" si="37"/>
        <v>-2908</v>
      </c>
      <c r="P55" s="15">
        <f t="shared" si="38"/>
        <v>-169311.3</v>
      </c>
    </row>
    <row r="56" spans="1:16" ht="16.5" thickTop="1" thickBot="1">
      <c r="A56" s="14">
        <v>45200</v>
      </c>
      <c r="B56" s="15">
        <f>'2023-10'!F2</f>
        <v>5314</v>
      </c>
      <c r="C56" s="15">
        <f>'2023-10'!F3</f>
        <v>0</v>
      </c>
      <c r="D56" s="15">
        <f>'2023-10'!F4</f>
        <v>249</v>
      </c>
      <c r="E56" s="15">
        <f>'2023-10'!F5</f>
        <v>363</v>
      </c>
      <c r="F56" s="15">
        <f>'2023-10'!F6</f>
        <v>3500</v>
      </c>
      <c r="G56" s="15">
        <f>'2023-10'!F7</f>
        <v>180</v>
      </c>
      <c r="H56" s="15">
        <f>'2023-10'!F8</f>
        <v>0</v>
      </c>
      <c r="I56" s="15">
        <f>'2023-10'!F9</f>
        <v>360</v>
      </c>
      <c r="J56" s="15">
        <f>'2023-10'!F10</f>
        <v>0</v>
      </c>
      <c r="K56" s="15">
        <f>'2023-10'!F11</f>
        <v>0</v>
      </c>
      <c r="L56" s="15">
        <f>'2023-10'!F12</f>
        <v>4320</v>
      </c>
      <c r="M56" s="15">
        <f t="shared" si="36"/>
        <v>-14286</v>
      </c>
      <c r="N56" s="15">
        <f>卖猫!M51</f>
        <v>4500</v>
      </c>
      <c r="O56" s="15">
        <f t="shared" si="37"/>
        <v>-9786</v>
      </c>
      <c r="P56" s="15">
        <f t="shared" si="38"/>
        <v>-179097.3</v>
      </c>
    </row>
    <row r="57" spans="1:16" ht="16.5" thickTop="1" thickBot="1">
      <c r="A57" s="14">
        <v>45231</v>
      </c>
      <c r="B57" s="15">
        <f>'2023-11'!F2</f>
        <v>18</v>
      </c>
      <c r="C57" s="15">
        <f>'2023-11'!F3</f>
        <v>0</v>
      </c>
      <c r="D57" s="15">
        <f>'2023-11'!F4</f>
        <v>475</v>
      </c>
      <c r="E57" s="15">
        <f>'2023-11'!F5</f>
        <v>215</v>
      </c>
      <c r="F57" s="15">
        <f>'2023-11'!F6</f>
        <v>0</v>
      </c>
      <c r="G57" s="15">
        <f>'2023-11'!F7</f>
        <v>127</v>
      </c>
      <c r="H57" s="15">
        <f>'2023-11'!F8</f>
        <v>0</v>
      </c>
      <c r="I57" s="15">
        <f>'2023-11'!F9</f>
        <v>0</v>
      </c>
      <c r="J57" s="15">
        <f>'2023-11'!F10</f>
        <v>300</v>
      </c>
      <c r="K57" s="15">
        <f>'2023-11'!F11</f>
        <v>2000</v>
      </c>
      <c r="L57" s="15">
        <f>'2023-11'!F12</f>
        <v>2674</v>
      </c>
      <c r="M57" s="15">
        <f t="shared" si="36"/>
        <v>-5809</v>
      </c>
      <c r="N57" s="15">
        <f>卖猫!M52</f>
        <v>0</v>
      </c>
      <c r="O57" s="15">
        <f t="shared" si="37"/>
        <v>-5809</v>
      </c>
      <c r="P57" s="15">
        <f t="shared" si="38"/>
        <v>-184906.3</v>
      </c>
    </row>
    <row r="58" spans="1:16" ht="16.5" thickTop="1" thickBot="1">
      <c r="A58" s="14">
        <v>45261</v>
      </c>
      <c r="B58" s="15">
        <f>'2023-12'!F2</f>
        <v>0</v>
      </c>
      <c r="C58" s="15">
        <f>'2023-12'!F3</f>
        <v>1935</v>
      </c>
      <c r="D58" s="15">
        <f>'2023-12'!F4</f>
        <v>459</v>
      </c>
      <c r="E58" s="15">
        <f>'2023-12'!F5</f>
        <v>434</v>
      </c>
      <c r="F58" s="15">
        <f>'2023-12'!F6</f>
        <v>0</v>
      </c>
      <c r="G58" s="15">
        <f>'2023-12'!F7</f>
        <v>230</v>
      </c>
      <c r="H58" s="15">
        <f>'2023-12'!F8</f>
        <v>0</v>
      </c>
      <c r="I58" s="15">
        <f>'2023-12'!F9</f>
        <v>0</v>
      </c>
      <c r="J58" s="15">
        <f>'2023-12'!F10</f>
        <v>0</v>
      </c>
      <c r="K58" s="15">
        <f>'2023-12'!F11</f>
        <v>0</v>
      </c>
      <c r="L58" s="15">
        <f>'2023-12'!F12</f>
        <v>246</v>
      </c>
      <c r="M58" s="15">
        <f t="shared" si="36"/>
        <v>-3304</v>
      </c>
      <c r="N58" s="15">
        <f>卖猫!M53</f>
        <v>0</v>
      </c>
      <c r="O58" s="15">
        <f t="shared" si="37"/>
        <v>-3304</v>
      </c>
      <c r="P58" s="15">
        <f t="shared" si="38"/>
        <v>-188210.3</v>
      </c>
    </row>
    <row r="59" spans="1:16" ht="16.5" thickTop="1" thickBot="1">
      <c r="A59" s="14">
        <v>45292</v>
      </c>
      <c r="B59" s="15">
        <f>'2024-01'!F2</f>
        <v>0</v>
      </c>
      <c r="C59" s="15">
        <f>'2024-01'!F3</f>
        <v>0</v>
      </c>
      <c r="D59" s="15">
        <f>'2024-01'!F4</f>
        <v>0</v>
      </c>
      <c r="E59" s="15">
        <f>'2024-01'!F5</f>
        <v>129</v>
      </c>
      <c r="F59" s="15">
        <f>'2024-01'!F6</f>
        <v>0</v>
      </c>
      <c r="G59" s="15">
        <f>'2024-01'!F7</f>
        <v>43</v>
      </c>
      <c r="H59" s="15">
        <f>'2024-01'!F8</f>
        <v>0</v>
      </c>
      <c r="I59" s="15">
        <f>'2024-01'!F9</f>
        <v>0</v>
      </c>
      <c r="J59" s="15">
        <f>'2024-01'!F10</f>
        <v>0</v>
      </c>
      <c r="K59" s="15">
        <f>'2024-01'!F11</f>
        <v>0</v>
      </c>
      <c r="L59" s="15">
        <f>'2024-01'!F12</f>
        <v>2124</v>
      </c>
      <c r="M59" s="15">
        <f t="shared" si="36"/>
        <v>-2296</v>
      </c>
      <c r="N59" s="15">
        <f>卖猫!M54</f>
        <v>2300</v>
      </c>
      <c r="O59" s="15">
        <f t="shared" si="37"/>
        <v>4</v>
      </c>
      <c r="P59" s="15">
        <f t="shared" si="38"/>
        <v>-188206.3</v>
      </c>
    </row>
    <row r="60" spans="1:16" ht="16.5" thickTop="1" thickBot="1">
      <c r="A60" s="14">
        <v>45323</v>
      </c>
      <c r="B60" s="15">
        <f>'2024-02'!F2</f>
        <v>1854</v>
      </c>
      <c r="C60" s="15">
        <f>'2024-02'!F3</f>
        <v>2520</v>
      </c>
      <c r="D60" s="15">
        <f>'2024-02'!F4</f>
        <v>340</v>
      </c>
      <c r="E60" s="15">
        <f>'2024-02'!F5</f>
        <v>78</v>
      </c>
      <c r="F60" s="15">
        <f>'2024-02'!F6</f>
        <v>0</v>
      </c>
      <c r="G60" s="15">
        <f>'2024-02'!F7</f>
        <v>250</v>
      </c>
      <c r="H60" s="15">
        <f>'2024-02'!F8</f>
        <v>400</v>
      </c>
      <c r="I60" s="15">
        <f>'2024-02'!F9</f>
        <v>0</v>
      </c>
      <c r="J60" s="15">
        <f>'2024-02'!F10</f>
        <v>0</v>
      </c>
      <c r="K60" s="15">
        <f>'2024-02'!F11</f>
        <v>0</v>
      </c>
      <c r="L60" s="15">
        <f>'2024-02'!F12</f>
        <v>2217</v>
      </c>
      <c r="M60" s="15">
        <f t="shared" si="36"/>
        <v>-7659</v>
      </c>
      <c r="N60" s="15">
        <f>卖猫!M55</f>
        <v>4300</v>
      </c>
      <c r="O60" s="15">
        <f t="shared" si="37"/>
        <v>-3359</v>
      </c>
      <c r="P60" s="15">
        <f t="shared" si="38"/>
        <v>-191565.3</v>
      </c>
    </row>
    <row r="61" spans="1:16" ht="16.5" thickTop="1" thickBot="1">
      <c r="A61" s="14">
        <v>45352</v>
      </c>
      <c r="B61" s="15">
        <f>'2024-03'!F2</f>
        <v>1572</v>
      </c>
      <c r="C61" s="15">
        <f>'2024-03'!F3</f>
        <v>0</v>
      </c>
      <c r="D61" s="15">
        <f>'2024-03'!F4</f>
        <v>216</v>
      </c>
      <c r="E61" s="15">
        <f>'2024-03'!F5</f>
        <v>602</v>
      </c>
      <c r="F61" s="15">
        <f>'2024-03'!F6</f>
        <v>0</v>
      </c>
      <c r="G61" s="15">
        <f>'2024-03'!F7</f>
        <v>661</v>
      </c>
      <c r="H61" s="15">
        <f>'2024-03'!F8</f>
        <v>500</v>
      </c>
      <c r="I61" s="15">
        <f>'2024-03'!F9</f>
        <v>0</v>
      </c>
      <c r="J61" s="15">
        <f>'2024-03'!F10</f>
        <v>129</v>
      </c>
      <c r="K61" s="15">
        <f>'2024-03'!F11</f>
        <v>0</v>
      </c>
      <c r="L61" s="15">
        <f>'2024-03'!F12</f>
        <v>2068</v>
      </c>
      <c r="M61" s="15">
        <f t="shared" si="36"/>
        <v>-5748</v>
      </c>
      <c r="N61" s="15">
        <f>卖猫!M56</f>
        <v>7800</v>
      </c>
      <c r="O61" s="15">
        <f t="shared" si="37"/>
        <v>2052</v>
      </c>
      <c r="P61" s="15">
        <f t="shared" si="38"/>
        <v>-189513.3</v>
      </c>
    </row>
    <row r="62" spans="1:16" ht="16.5" thickTop="1" thickBot="1">
      <c r="A62" s="14">
        <v>45383</v>
      </c>
      <c r="B62" s="15">
        <f>'2024-04'!F2</f>
        <v>0</v>
      </c>
      <c r="C62" s="15">
        <f>'2024-04'!F3</f>
        <v>0</v>
      </c>
      <c r="D62" s="15">
        <f>'2024-04'!F4</f>
        <v>298</v>
      </c>
      <c r="E62" s="15">
        <f>'2024-04'!F5</f>
        <v>271</v>
      </c>
      <c r="F62" s="15">
        <f>'2024-04'!F6</f>
        <v>0</v>
      </c>
      <c r="G62" s="15">
        <f>'2024-04'!F7</f>
        <v>112</v>
      </c>
      <c r="H62" s="15">
        <f>'2024-04'!F8</f>
        <v>2360</v>
      </c>
      <c r="I62" s="15">
        <f>'2024-04'!F9</f>
        <v>0</v>
      </c>
      <c r="J62" s="15">
        <f>'2024-04'!F10</f>
        <v>114</v>
      </c>
      <c r="K62" s="15">
        <f>'2024-04'!F11</f>
        <v>0</v>
      </c>
      <c r="L62" s="15">
        <f>'2024-04'!F12</f>
        <v>92</v>
      </c>
      <c r="M62" s="15">
        <f t="shared" ref="M62" si="39">SUM(B62:L62)*-1</f>
        <v>-3247</v>
      </c>
      <c r="N62" s="15">
        <f>卖猫!M57</f>
        <v>3700</v>
      </c>
      <c r="O62" s="15">
        <f t="shared" ref="O62:O63" si="40">(N62+M62)</f>
        <v>453</v>
      </c>
      <c r="P62" s="15">
        <f t="shared" ref="P62:P63" si="41">P61+O62</f>
        <v>-189060.3</v>
      </c>
    </row>
    <row r="63" spans="1:16" ht="16.5" thickTop="1" thickBot="1">
      <c r="A63" s="14">
        <v>45413</v>
      </c>
      <c r="B63" s="15">
        <f>'2024-05'!F2</f>
        <v>82</v>
      </c>
      <c r="C63" s="15">
        <f>'2024-05'!F3</f>
        <v>0</v>
      </c>
      <c r="D63" s="15">
        <f>'2024-05'!F4</f>
        <v>251</v>
      </c>
      <c r="E63" s="15">
        <f>'2024-05'!F5</f>
        <v>50</v>
      </c>
      <c r="F63" s="15">
        <f>'2024-05'!F6</f>
        <v>0</v>
      </c>
      <c r="G63" s="15">
        <f>'2024-05'!F7</f>
        <v>0</v>
      </c>
      <c r="H63" s="15">
        <f>'2024-05'!F8</f>
        <v>600</v>
      </c>
      <c r="I63" s="15">
        <f>'2024-05'!F9</f>
        <v>0</v>
      </c>
      <c r="J63" s="15">
        <f>'2024-05'!F10</f>
        <v>22</v>
      </c>
      <c r="K63" s="15">
        <f>'2024-05'!F11</f>
        <v>0</v>
      </c>
      <c r="L63" s="15">
        <f>'2024-05'!F12</f>
        <v>100</v>
      </c>
      <c r="M63" s="15">
        <f t="shared" ref="M63" si="42">SUM(B63:L63)*-1</f>
        <v>-1105</v>
      </c>
      <c r="N63" s="15">
        <f>卖猫!M58</f>
        <v>13400</v>
      </c>
      <c r="O63" s="15">
        <f t="shared" si="40"/>
        <v>12295</v>
      </c>
      <c r="P63" s="15">
        <f t="shared" si="41"/>
        <v>-176765.3</v>
      </c>
    </row>
    <row r="64" spans="1:16" ht="16.5" thickTop="1" thickBot="1">
      <c r="A64" s="14">
        <v>45444</v>
      </c>
      <c r="B64" s="15">
        <f>'2024-06'!F2</f>
        <v>0</v>
      </c>
      <c r="C64" s="15">
        <f>'2024-06'!F3</f>
        <v>1020</v>
      </c>
      <c r="D64" s="15">
        <f>'2024-06'!F4</f>
        <v>417</v>
      </c>
      <c r="E64" s="15">
        <f>'2024-06'!F5</f>
        <v>253</v>
      </c>
      <c r="F64" s="15">
        <f>'2024-06'!F6</f>
        <v>1458</v>
      </c>
      <c r="G64" s="15">
        <f>'2024-06'!F7</f>
        <v>640</v>
      </c>
      <c r="H64" s="15">
        <f>'2024-06'!F8</f>
        <v>0</v>
      </c>
      <c r="I64" s="15">
        <f>'2024-06'!F9</f>
        <v>36</v>
      </c>
      <c r="J64" s="15">
        <f>'2024-06'!F10</f>
        <v>0</v>
      </c>
      <c r="K64" s="15">
        <f>'2024-06'!F11</f>
        <v>0</v>
      </c>
      <c r="L64" s="15">
        <f>'2024-06'!F12</f>
        <v>54</v>
      </c>
      <c r="M64" s="15">
        <f t="shared" ref="M64:M66" si="43">SUM(B64:L64)*-1</f>
        <v>-3878</v>
      </c>
      <c r="N64" s="15">
        <f>卖猫!M59</f>
        <v>2000</v>
      </c>
      <c r="O64" s="15">
        <f t="shared" ref="O64:O66" si="44">(N64+M64)</f>
        <v>-1878</v>
      </c>
      <c r="P64" s="15">
        <f t="shared" ref="P64:P66" si="45">P63+O64</f>
        <v>-178643.3</v>
      </c>
    </row>
    <row r="65" spans="1:16" ht="16.5" thickTop="1" thickBot="1">
      <c r="A65" s="14">
        <v>45474</v>
      </c>
      <c r="B65" s="15">
        <f>'2024-07'!F2</f>
        <v>2324</v>
      </c>
      <c r="C65" s="15">
        <f>'2024-07'!F3</f>
        <v>0</v>
      </c>
      <c r="D65" s="15">
        <f>'2024-07'!F4</f>
        <v>0</v>
      </c>
      <c r="E65" s="15">
        <f>'2024-07'!F5</f>
        <v>24</v>
      </c>
      <c r="F65" s="15">
        <f>'2024-07'!F6</f>
        <v>0</v>
      </c>
      <c r="G65" s="15">
        <f>'2024-07'!F7</f>
        <v>96</v>
      </c>
      <c r="H65" s="15">
        <f>'2024-07'!F8</f>
        <v>0</v>
      </c>
      <c r="I65" s="15">
        <f>'2024-07'!F9</f>
        <v>0</v>
      </c>
      <c r="J65" s="15">
        <f>'2024-07'!F10</f>
        <v>0</v>
      </c>
      <c r="K65" s="15">
        <f>'2024-07'!F11</f>
        <v>0</v>
      </c>
      <c r="L65" s="15">
        <f>'2024-07'!F12</f>
        <v>82</v>
      </c>
      <c r="M65" s="15">
        <f t="shared" si="43"/>
        <v>-2526</v>
      </c>
      <c r="N65" s="15">
        <f>卖猫!M60</f>
        <v>0</v>
      </c>
      <c r="O65" s="15">
        <f t="shared" si="44"/>
        <v>-2526</v>
      </c>
      <c r="P65" s="15">
        <f t="shared" si="45"/>
        <v>-181169.3</v>
      </c>
    </row>
    <row r="66" spans="1:16" ht="16.5" thickTop="1" thickBot="1">
      <c r="A66" s="14">
        <v>45505</v>
      </c>
      <c r="B66" s="15">
        <f>'2024-08'!F2</f>
        <v>410</v>
      </c>
      <c r="C66" s="15">
        <f>'2024-08'!F3</f>
        <v>0</v>
      </c>
      <c r="D66" s="15">
        <f>'2024-08'!F4</f>
        <v>0</v>
      </c>
      <c r="E66" s="15">
        <f>'2024-08'!F5</f>
        <v>633</v>
      </c>
      <c r="F66" s="15">
        <f>'2024-08'!F6</f>
        <v>0</v>
      </c>
      <c r="G66" s="15">
        <f>'2024-08'!F7</f>
        <v>625</v>
      </c>
      <c r="H66" s="15">
        <f>'2024-08'!F8</f>
        <v>0</v>
      </c>
      <c r="I66" s="15">
        <f>'2024-08'!F9</f>
        <v>669</v>
      </c>
      <c r="J66" s="15">
        <f>'2024-08'!F10</f>
        <v>0</v>
      </c>
      <c r="K66" s="15">
        <f>'2024-08'!F11</f>
        <v>0</v>
      </c>
      <c r="L66" s="15">
        <f>'2024-08'!F12</f>
        <v>7.5</v>
      </c>
      <c r="M66" s="15">
        <f t="shared" si="43"/>
        <v>-2344.5</v>
      </c>
      <c r="N66" s="15">
        <f>卖猫!M61</f>
        <v>700</v>
      </c>
      <c r="O66" s="15">
        <f t="shared" si="44"/>
        <v>-1644.5</v>
      </c>
      <c r="P66" s="15">
        <f t="shared" si="45"/>
        <v>-182813.8</v>
      </c>
    </row>
    <row r="67" spans="1:16" ht="16.5" thickTop="1" thickBot="1">
      <c r="A67" s="14">
        <v>45536</v>
      </c>
      <c r="B67" s="15">
        <f>'2024-09'!F2</f>
        <v>1810</v>
      </c>
      <c r="C67" s="15">
        <f>'2024-09'!F3</f>
        <v>1200</v>
      </c>
      <c r="D67" s="15">
        <f>'2024-09'!F4</f>
        <v>0</v>
      </c>
      <c r="E67" s="15">
        <f>'2024-09'!F5</f>
        <v>125</v>
      </c>
      <c r="F67" s="15">
        <f>'2024-09'!F6</f>
        <v>0</v>
      </c>
      <c r="G67" s="15">
        <f>'2024-09'!F7</f>
        <v>0</v>
      </c>
      <c r="H67" s="15">
        <f>'2024-09'!F8</f>
        <v>0</v>
      </c>
      <c r="I67" s="15">
        <f>'2024-09'!F9</f>
        <v>34</v>
      </c>
      <c r="J67" s="15">
        <f>'2024-09'!F10</f>
        <v>284</v>
      </c>
      <c r="K67" s="15">
        <f>'2024-09'!F11</f>
        <v>0</v>
      </c>
      <c r="L67" s="15">
        <f>'2024-09'!F12</f>
        <v>14</v>
      </c>
      <c r="M67" s="15">
        <f t="shared" ref="M67:M68" si="46">SUM(B67:L67)*-1</f>
        <v>-3467</v>
      </c>
      <c r="N67" s="15">
        <f>卖猫!M62</f>
        <v>9966</v>
      </c>
      <c r="O67" s="15">
        <f t="shared" ref="O67:O68" si="47">(N67+M67)</f>
        <v>6499</v>
      </c>
      <c r="P67" s="15">
        <f t="shared" ref="P67:P68" si="48">P66+O67</f>
        <v>-176314.8</v>
      </c>
    </row>
    <row r="68" spans="1:16" ht="16.5" thickTop="1" thickBot="1">
      <c r="A68" s="14">
        <v>45566</v>
      </c>
      <c r="B68" s="15">
        <f>'2024-10'!F2</f>
        <v>0</v>
      </c>
      <c r="C68" s="15">
        <f>'2024-10'!F3</f>
        <v>0</v>
      </c>
      <c r="D68" s="15">
        <f>'2024-10'!F4</f>
        <v>0</v>
      </c>
      <c r="E68" s="15">
        <f>'2024-10'!F5</f>
        <v>0</v>
      </c>
      <c r="F68" s="15">
        <f>'2024-10'!F6</f>
        <v>0</v>
      </c>
      <c r="G68" s="15">
        <f>'2024-10'!F7</f>
        <v>0</v>
      </c>
      <c r="H68" s="15">
        <f>'2024-10'!F8</f>
        <v>0</v>
      </c>
      <c r="I68" s="15">
        <f>'2024-10'!F9</f>
        <v>0</v>
      </c>
      <c r="J68" s="15">
        <f>'2024-10'!F10</f>
        <v>0</v>
      </c>
      <c r="K68" s="15">
        <f>'2024-10'!F11</f>
        <v>0</v>
      </c>
      <c r="L68" s="15">
        <f>'2024-10'!F12</f>
        <v>0</v>
      </c>
      <c r="M68" s="15">
        <f t="shared" si="46"/>
        <v>0</v>
      </c>
      <c r="N68" s="15">
        <f>卖猫!M63</f>
        <v>0</v>
      </c>
      <c r="O68" s="15">
        <f t="shared" si="47"/>
        <v>0</v>
      </c>
      <c r="P68" s="15">
        <f t="shared" si="48"/>
        <v>-176314.8</v>
      </c>
    </row>
    <row r="69" spans="1:16" ht="16.5" thickTop="1" thickBot="1">
      <c r="A69" s="14">
        <v>45597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</row>
    <row r="70" spans="1:16" ht="16.5" thickTop="1" thickBot="1">
      <c r="A70" s="14">
        <v>45627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spans="1:16" ht="15.75" thickTop="1"/>
  </sheetData>
  <phoneticPr fontId="2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Y526"/>
  <sheetViews>
    <sheetView zoomScaleNormal="100" workbookViewId="0">
      <pane ySplit="1" topLeftCell="A41" activePane="bottomLeft" state="frozen"/>
      <selection pane="bottomLeft" activeCell="C456" sqref="C456"/>
    </sheetView>
  </sheetViews>
  <sheetFormatPr defaultColWidth="8.85546875" defaultRowHeight="16.5" thickTop="1" thickBottom="1"/>
  <cols>
    <col min="1" max="1" width="29.42578125" style="4" bestFit="1" customWidth="1"/>
    <col min="2" max="2" width="12.5703125" style="4" customWidth="1"/>
    <col min="3" max="3" width="13.140625" style="4" customWidth="1"/>
    <col min="4" max="6" width="13.140625" style="28" customWidth="1"/>
    <col min="7" max="7" width="13.140625" style="32" customWidth="1"/>
    <col min="8" max="8" width="14.5703125" style="28" customWidth="1"/>
    <col min="9" max="9" width="13.140625" style="35" customWidth="1"/>
    <col min="10" max="10" width="20.7109375" style="4" customWidth="1"/>
    <col min="11" max="11" width="8.85546875" style="4"/>
    <col min="12" max="12" width="9" style="22"/>
    <col min="13" max="14" width="9.85546875" style="22" bestFit="1" customWidth="1"/>
    <col min="15" max="15" width="7.85546875" style="22" customWidth="1"/>
    <col min="16" max="16" width="6.85546875" style="22" customWidth="1"/>
    <col min="17" max="17" width="7.42578125" style="22" customWidth="1"/>
    <col min="18" max="18" width="6.85546875" style="22" customWidth="1"/>
    <col min="19" max="19" width="7.42578125" style="22" customWidth="1"/>
    <col min="20" max="20" width="11.140625" style="22" customWidth="1"/>
    <col min="21" max="21" width="10.85546875" style="22" customWidth="1"/>
    <col min="22" max="22" width="11.42578125" style="22" customWidth="1"/>
    <col min="23" max="23" width="10.85546875" style="22" customWidth="1"/>
    <col min="24" max="24" width="11.140625" style="22" customWidth="1"/>
    <col min="25" max="25" width="12.28515625" style="22" customWidth="1"/>
    <col min="26" max="16384" width="8.85546875" style="4"/>
  </cols>
  <sheetData>
    <row r="1" spans="1:25" thickTop="1" thickBot="1">
      <c r="A1" s="13" t="s">
        <v>8</v>
      </c>
      <c r="B1" s="13" t="s">
        <v>9</v>
      </c>
      <c r="C1" s="16" t="s">
        <v>10</v>
      </c>
      <c r="D1" s="24" t="s">
        <v>189</v>
      </c>
      <c r="E1" s="24" t="s">
        <v>347</v>
      </c>
      <c r="F1" s="24" t="s">
        <v>546</v>
      </c>
      <c r="G1" s="30" t="s">
        <v>12</v>
      </c>
      <c r="H1" s="24" t="s">
        <v>827</v>
      </c>
      <c r="I1" s="33" t="s">
        <v>828</v>
      </c>
      <c r="J1" s="17" t="s">
        <v>11</v>
      </c>
      <c r="L1" s="13" t="s">
        <v>7</v>
      </c>
      <c r="M1" s="18" t="s">
        <v>498</v>
      </c>
      <c r="N1" s="18" t="s">
        <v>499</v>
      </c>
      <c r="O1" s="18" t="s">
        <v>548</v>
      </c>
      <c r="P1" s="18" t="s">
        <v>550</v>
      </c>
      <c r="Q1" s="18" t="s">
        <v>549</v>
      </c>
      <c r="R1" s="18" t="s">
        <v>552</v>
      </c>
      <c r="S1" s="18" t="s">
        <v>547</v>
      </c>
      <c r="T1" s="18" t="s">
        <v>839</v>
      </c>
      <c r="U1" s="18" t="s">
        <v>840</v>
      </c>
      <c r="V1" s="18" t="s">
        <v>841</v>
      </c>
      <c r="W1" s="18" t="s">
        <v>842</v>
      </c>
      <c r="X1" s="18" t="s">
        <v>843</v>
      </c>
      <c r="Y1" s="18" t="s">
        <v>844</v>
      </c>
    </row>
    <row r="2" spans="1:25" thickTop="1" thickBot="1">
      <c r="A2" s="15" t="s">
        <v>14</v>
      </c>
      <c r="B2" s="15">
        <v>0</v>
      </c>
      <c r="C2" s="19">
        <v>1500</v>
      </c>
      <c r="D2" s="25">
        <v>1</v>
      </c>
      <c r="E2" s="26" t="s">
        <v>349</v>
      </c>
      <c r="F2" s="26" t="s">
        <v>547</v>
      </c>
      <c r="G2" s="31">
        <v>43709</v>
      </c>
      <c r="H2" s="27" t="s">
        <v>685</v>
      </c>
      <c r="I2" s="34">
        <v>1</v>
      </c>
      <c r="J2" s="23">
        <v>1500</v>
      </c>
      <c r="L2" s="14">
        <v>43709</v>
      </c>
      <c r="M2" s="20">
        <f t="shared" ref="M2:M33" si="0">SUMIF(G:G,L2,C:C)</f>
        <v>6600</v>
      </c>
      <c r="N2" s="20">
        <f t="shared" ref="N2:N33" si="1">SUMIF(G:G,L2,D:D)</f>
        <v>2</v>
      </c>
      <c r="O2" s="21">
        <f t="shared" ref="O2:O33" si="2">SUMIFS(C:C,F:F,"个人",G:G,L2)</f>
        <v>5100</v>
      </c>
      <c r="P2" s="21">
        <f t="shared" ref="P2:P33" si="3">SUMIFS(C:C,F:F,"代理",G:G,L2)</f>
        <v>0</v>
      </c>
      <c r="Q2" s="21">
        <f t="shared" ref="Q2:Q33" si="4">SUMIFS(C:C,F:F,"猫舍",G:G,L2)</f>
        <v>0</v>
      </c>
      <c r="R2" s="21">
        <f t="shared" ref="R2:R33" si="5">SUMIFS(C:C,F:F,"店铺",G:G,L2)</f>
        <v>0</v>
      </c>
      <c r="S2" s="21">
        <f t="shared" ref="S2:S33" si="6">SUMIFS(C:C,F:F,"咸鱼",G:G,L2)</f>
        <v>1500</v>
      </c>
      <c r="T2" s="21">
        <v>5100</v>
      </c>
      <c r="U2" s="21">
        <v>0</v>
      </c>
      <c r="V2" s="21">
        <v>0</v>
      </c>
      <c r="W2" s="21">
        <v>0</v>
      </c>
      <c r="X2" s="21">
        <v>1500</v>
      </c>
      <c r="Y2" s="21">
        <f>M2/N2</f>
        <v>3300</v>
      </c>
    </row>
    <row r="3" spans="1:25" thickTop="1" thickBot="1">
      <c r="A3" s="15" t="s">
        <v>13</v>
      </c>
      <c r="B3" s="15">
        <v>4700</v>
      </c>
      <c r="C3" s="19">
        <v>5100</v>
      </c>
      <c r="D3" s="25">
        <v>1</v>
      </c>
      <c r="E3" s="26" t="s">
        <v>349</v>
      </c>
      <c r="F3" s="26" t="s">
        <v>548</v>
      </c>
      <c r="G3" s="31">
        <v>43709</v>
      </c>
      <c r="H3" s="27"/>
      <c r="I3" s="34"/>
      <c r="J3" s="23">
        <f>SUM(C3,J2)</f>
        <v>6600</v>
      </c>
      <c r="L3" s="14">
        <v>43739</v>
      </c>
      <c r="M3" s="20">
        <f t="shared" si="0"/>
        <v>500</v>
      </c>
      <c r="N3" s="20">
        <f t="shared" si="1"/>
        <v>1</v>
      </c>
      <c r="O3" s="21">
        <f t="shared" si="2"/>
        <v>0</v>
      </c>
      <c r="P3" s="21">
        <f t="shared" si="3"/>
        <v>0</v>
      </c>
      <c r="Q3" s="21">
        <f t="shared" si="4"/>
        <v>0</v>
      </c>
      <c r="R3" s="21">
        <f t="shared" si="5"/>
        <v>0</v>
      </c>
      <c r="S3" s="21">
        <f t="shared" si="6"/>
        <v>500</v>
      </c>
      <c r="T3" s="21"/>
      <c r="U3" s="21"/>
      <c r="V3" s="21"/>
      <c r="W3" s="21"/>
      <c r="X3" s="21"/>
      <c r="Y3" s="21"/>
    </row>
    <row r="4" spans="1:25" thickTop="1" thickBot="1">
      <c r="A4" s="15" t="s">
        <v>15</v>
      </c>
      <c r="B4" s="15">
        <v>0</v>
      </c>
      <c r="C4" s="19">
        <v>500</v>
      </c>
      <c r="D4" s="25">
        <v>1</v>
      </c>
      <c r="E4" s="26" t="s">
        <v>348</v>
      </c>
      <c r="F4" s="26" t="s">
        <v>547</v>
      </c>
      <c r="G4" s="31">
        <v>43739</v>
      </c>
      <c r="H4" s="27" t="s">
        <v>829</v>
      </c>
      <c r="I4" s="34">
        <v>1</v>
      </c>
      <c r="J4" s="23">
        <f>SUM(C4,J3)</f>
        <v>7100</v>
      </c>
      <c r="L4" s="14">
        <v>43770</v>
      </c>
      <c r="M4" s="20">
        <f t="shared" si="0"/>
        <v>4900</v>
      </c>
      <c r="N4" s="20">
        <f t="shared" si="1"/>
        <v>2</v>
      </c>
      <c r="O4" s="21">
        <f t="shared" si="2"/>
        <v>2900</v>
      </c>
      <c r="P4" s="21">
        <f t="shared" si="3"/>
        <v>0</v>
      </c>
      <c r="Q4" s="21">
        <f t="shared" si="4"/>
        <v>2000</v>
      </c>
      <c r="R4" s="21">
        <f t="shared" si="5"/>
        <v>0</v>
      </c>
      <c r="S4" s="21">
        <f t="shared" si="6"/>
        <v>0</v>
      </c>
      <c r="T4" s="21"/>
      <c r="U4" s="21"/>
      <c r="V4" s="21"/>
      <c r="W4" s="21"/>
      <c r="X4" s="21"/>
      <c r="Y4" s="21"/>
    </row>
    <row r="5" spans="1:25" thickTop="1" thickBot="1">
      <c r="A5" s="15" t="s">
        <v>16</v>
      </c>
      <c r="B5" s="15">
        <v>2000</v>
      </c>
      <c r="C5" s="19">
        <v>2900</v>
      </c>
      <c r="D5" s="25">
        <v>1</v>
      </c>
      <c r="E5" s="26" t="s">
        <v>349</v>
      </c>
      <c r="F5" s="26" t="s">
        <v>548</v>
      </c>
      <c r="G5" s="31">
        <v>43770</v>
      </c>
      <c r="H5" s="27"/>
      <c r="I5" s="34"/>
      <c r="J5" s="23">
        <f t="shared" ref="J5:J68" si="7">SUM(C5,J4)</f>
        <v>10000</v>
      </c>
      <c r="L5" s="14">
        <v>43800</v>
      </c>
      <c r="M5" s="20">
        <f t="shared" si="0"/>
        <v>3600</v>
      </c>
      <c r="N5" s="20">
        <f t="shared" si="1"/>
        <v>2</v>
      </c>
      <c r="O5" s="21">
        <f t="shared" si="2"/>
        <v>0</v>
      </c>
      <c r="P5" s="21">
        <f t="shared" si="3"/>
        <v>0</v>
      </c>
      <c r="Q5" s="21">
        <f t="shared" si="4"/>
        <v>3600</v>
      </c>
      <c r="R5" s="21">
        <f t="shared" si="5"/>
        <v>0</v>
      </c>
      <c r="S5" s="21">
        <f t="shared" si="6"/>
        <v>0</v>
      </c>
      <c r="T5" s="21">
        <f>O3+O4+O5</f>
        <v>2900</v>
      </c>
      <c r="U5" s="21">
        <f>P3+P4+P5</f>
        <v>0</v>
      </c>
      <c r="V5" s="21">
        <f>Q3+Q4+Q5</f>
        <v>5600</v>
      </c>
      <c r="W5" s="21">
        <f>R3+R4+R5</f>
        <v>0</v>
      </c>
      <c r="X5" s="21">
        <f>S3+S4+S5</f>
        <v>500</v>
      </c>
      <c r="Y5" s="21">
        <f>(M3+M4+M5)/(N3+N4+N5)</f>
        <v>1800</v>
      </c>
    </row>
    <row r="6" spans="1:25" thickTop="1" thickBot="1">
      <c r="A6" s="15" t="s">
        <v>17</v>
      </c>
      <c r="B6" s="15">
        <v>1500</v>
      </c>
      <c r="C6" s="19">
        <v>2000</v>
      </c>
      <c r="D6" s="25">
        <v>1</v>
      </c>
      <c r="E6" s="26" t="s">
        <v>350</v>
      </c>
      <c r="F6" s="26" t="s">
        <v>549</v>
      </c>
      <c r="G6" s="31">
        <v>43770</v>
      </c>
      <c r="H6" s="27"/>
      <c r="I6" s="34"/>
      <c r="J6" s="23">
        <f t="shared" si="7"/>
        <v>12000</v>
      </c>
      <c r="L6" s="14">
        <v>43831</v>
      </c>
      <c r="M6" s="20">
        <f t="shared" si="0"/>
        <v>2500</v>
      </c>
      <c r="N6" s="20">
        <f t="shared" si="1"/>
        <v>3</v>
      </c>
      <c r="O6" s="21">
        <f t="shared" si="2"/>
        <v>0</v>
      </c>
      <c r="P6" s="21">
        <f t="shared" si="3"/>
        <v>0</v>
      </c>
      <c r="Q6" s="21">
        <f t="shared" si="4"/>
        <v>2000</v>
      </c>
      <c r="R6" s="21">
        <f t="shared" si="5"/>
        <v>0</v>
      </c>
      <c r="S6" s="21">
        <f t="shared" si="6"/>
        <v>500</v>
      </c>
      <c r="T6" s="21"/>
      <c r="U6" s="21"/>
      <c r="V6" s="21"/>
      <c r="W6" s="21"/>
      <c r="X6" s="21"/>
      <c r="Y6" s="21"/>
    </row>
    <row r="7" spans="1:25" thickTop="1" thickBot="1">
      <c r="A7" s="15" t="s">
        <v>18</v>
      </c>
      <c r="B7" s="15">
        <v>0</v>
      </c>
      <c r="C7" s="19">
        <v>2000</v>
      </c>
      <c r="D7" s="25">
        <v>1</v>
      </c>
      <c r="E7" s="26" t="s">
        <v>349</v>
      </c>
      <c r="F7" s="26" t="s">
        <v>549</v>
      </c>
      <c r="G7" s="31">
        <v>43800</v>
      </c>
      <c r="H7" s="27" t="s">
        <v>685</v>
      </c>
      <c r="I7" s="34" t="s">
        <v>684</v>
      </c>
      <c r="J7" s="23">
        <f t="shared" si="7"/>
        <v>14000</v>
      </c>
      <c r="L7" s="14">
        <v>43862</v>
      </c>
      <c r="M7" s="20">
        <f t="shared" si="0"/>
        <v>8800</v>
      </c>
      <c r="N7" s="20">
        <f t="shared" si="1"/>
        <v>1</v>
      </c>
      <c r="O7" s="21">
        <f t="shared" si="2"/>
        <v>0</v>
      </c>
      <c r="P7" s="21">
        <f t="shared" si="3"/>
        <v>0</v>
      </c>
      <c r="Q7" s="21">
        <f t="shared" si="4"/>
        <v>8800</v>
      </c>
      <c r="R7" s="21">
        <f t="shared" si="5"/>
        <v>0</v>
      </c>
      <c r="S7" s="21">
        <f t="shared" si="6"/>
        <v>0</v>
      </c>
      <c r="T7" s="21"/>
      <c r="U7" s="21"/>
      <c r="V7" s="21"/>
      <c r="W7" s="21"/>
      <c r="X7" s="21"/>
      <c r="Y7" s="21"/>
    </row>
    <row r="8" spans="1:25" thickTop="1" thickBot="1">
      <c r="A8" s="15" t="s">
        <v>19</v>
      </c>
      <c r="B8" s="15">
        <v>700</v>
      </c>
      <c r="C8" s="19">
        <v>1600</v>
      </c>
      <c r="D8" s="25">
        <v>1</v>
      </c>
      <c r="E8" s="26" t="s">
        <v>349</v>
      </c>
      <c r="F8" s="26" t="s">
        <v>549</v>
      </c>
      <c r="G8" s="31">
        <v>43800</v>
      </c>
      <c r="H8" s="27"/>
      <c r="I8" s="34"/>
      <c r="J8" s="23">
        <f t="shared" si="7"/>
        <v>15600</v>
      </c>
      <c r="L8" s="14">
        <v>43891</v>
      </c>
      <c r="M8" s="20">
        <f t="shared" si="0"/>
        <v>26100</v>
      </c>
      <c r="N8" s="20">
        <f t="shared" si="1"/>
        <v>11</v>
      </c>
      <c r="O8" s="21">
        <f t="shared" si="2"/>
        <v>7300</v>
      </c>
      <c r="P8" s="21">
        <f t="shared" si="3"/>
        <v>0</v>
      </c>
      <c r="Q8" s="21">
        <f t="shared" si="4"/>
        <v>18800</v>
      </c>
      <c r="R8" s="21">
        <f t="shared" si="5"/>
        <v>0</v>
      </c>
      <c r="S8" s="21">
        <f t="shared" si="6"/>
        <v>0</v>
      </c>
      <c r="T8" s="21">
        <f>O6+O7+O8</f>
        <v>7300</v>
      </c>
      <c r="U8" s="21">
        <f>P6+P7+P8</f>
        <v>0</v>
      </c>
      <c r="V8" s="21">
        <f>Q6+Q7+Q8</f>
        <v>29600</v>
      </c>
      <c r="W8" s="21">
        <f>R6+R7+R8</f>
        <v>0</v>
      </c>
      <c r="X8" s="21">
        <f>S6+S7+S8</f>
        <v>500</v>
      </c>
      <c r="Y8" s="21">
        <f>(M6+M7+M8)/(N6+N7+N8)</f>
        <v>2493.3333333333335</v>
      </c>
    </row>
    <row r="9" spans="1:25" thickTop="1" thickBot="1">
      <c r="A9" s="15" t="s">
        <v>20</v>
      </c>
      <c r="B9" s="15">
        <v>0</v>
      </c>
      <c r="C9" s="19">
        <v>1200</v>
      </c>
      <c r="D9" s="25">
        <v>1</v>
      </c>
      <c r="E9" s="26" t="s">
        <v>349</v>
      </c>
      <c r="F9" s="26" t="s">
        <v>549</v>
      </c>
      <c r="G9" s="31">
        <v>43831</v>
      </c>
      <c r="H9" s="27" t="s">
        <v>685</v>
      </c>
      <c r="I9" s="34" t="s">
        <v>684</v>
      </c>
      <c r="J9" s="23">
        <f t="shared" si="7"/>
        <v>16800</v>
      </c>
      <c r="L9" s="14">
        <v>43922</v>
      </c>
      <c r="M9" s="20">
        <f t="shared" si="0"/>
        <v>18800</v>
      </c>
      <c r="N9" s="20">
        <f t="shared" si="1"/>
        <v>5</v>
      </c>
      <c r="O9" s="21">
        <f t="shared" si="2"/>
        <v>15000</v>
      </c>
      <c r="P9" s="21">
        <f t="shared" si="3"/>
        <v>0</v>
      </c>
      <c r="Q9" s="21">
        <f t="shared" si="4"/>
        <v>3800</v>
      </c>
      <c r="R9" s="21">
        <f t="shared" si="5"/>
        <v>0</v>
      </c>
      <c r="S9" s="21">
        <f t="shared" si="6"/>
        <v>0</v>
      </c>
      <c r="T9" s="21"/>
      <c r="U9" s="21"/>
      <c r="V9" s="21"/>
      <c r="W9" s="21"/>
      <c r="X9" s="21"/>
      <c r="Y9" s="21"/>
    </row>
    <row r="10" spans="1:25" thickTop="1" thickBot="1">
      <c r="A10" s="15" t="s">
        <v>21</v>
      </c>
      <c r="B10" s="15">
        <v>0</v>
      </c>
      <c r="C10" s="19">
        <v>800</v>
      </c>
      <c r="D10" s="25">
        <v>1</v>
      </c>
      <c r="E10" s="26" t="s">
        <v>349</v>
      </c>
      <c r="F10" s="26" t="s">
        <v>549</v>
      </c>
      <c r="G10" s="31">
        <v>43831</v>
      </c>
      <c r="H10" s="27" t="s">
        <v>685</v>
      </c>
      <c r="I10" s="34" t="s">
        <v>684</v>
      </c>
      <c r="J10" s="23">
        <f t="shared" si="7"/>
        <v>17600</v>
      </c>
      <c r="L10" s="14">
        <v>43952</v>
      </c>
      <c r="M10" s="20">
        <f t="shared" si="0"/>
        <v>9300</v>
      </c>
      <c r="N10" s="20">
        <f t="shared" si="1"/>
        <v>5</v>
      </c>
      <c r="O10" s="21">
        <f t="shared" si="2"/>
        <v>0</v>
      </c>
      <c r="P10" s="21">
        <f t="shared" si="3"/>
        <v>1600</v>
      </c>
      <c r="Q10" s="21">
        <f t="shared" si="4"/>
        <v>5300</v>
      </c>
      <c r="R10" s="21">
        <f t="shared" si="5"/>
        <v>0</v>
      </c>
      <c r="S10" s="21">
        <f t="shared" si="6"/>
        <v>2400</v>
      </c>
      <c r="T10" s="21"/>
      <c r="U10" s="21"/>
      <c r="V10" s="21"/>
      <c r="W10" s="21"/>
      <c r="X10" s="21"/>
      <c r="Y10" s="21"/>
    </row>
    <row r="11" spans="1:25" thickTop="1" thickBot="1">
      <c r="A11" s="15" t="s">
        <v>22</v>
      </c>
      <c r="B11" s="15">
        <v>0</v>
      </c>
      <c r="C11" s="19">
        <v>500</v>
      </c>
      <c r="D11" s="25">
        <v>1</v>
      </c>
      <c r="E11" s="26" t="s">
        <v>348</v>
      </c>
      <c r="F11" s="26" t="s">
        <v>547</v>
      </c>
      <c r="G11" s="31">
        <v>43831</v>
      </c>
      <c r="H11" s="27"/>
      <c r="I11" s="34"/>
      <c r="J11" s="23">
        <f t="shared" si="7"/>
        <v>18100</v>
      </c>
      <c r="L11" s="14">
        <v>43983</v>
      </c>
      <c r="M11" s="20">
        <f t="shared" si="0"/>
        <v>18700</v>
      </c>
      <c r="N11" s="20">
        <f t="shared" si="1"/>
        <v>3</v>
      </c>
      <c r="O11" s="21">
        <f t="shared" si="2"/>
        <v>8000</v>
      </c>
      <c r="P11" s="21">
        <f t="shared" si="3"/>
        <v>0</v>
      </c>
      <c r="Q11" s="21">
        <f t="shared" si="4"/>
        <v>4000</v>
      </c>
      <c r="R11" s="21">
        <f t="shared" si="5"/>
        <v>0</v>
      </c>
      <c r="S11" s="21">
        <f t="shared" si="6"/>
        <v>6700</v>
      </c>
      <c r="T11" s="21">
        <f>O9+O10+O11</f>
        <v>23000</v>
      </c>
      <c r="U11" s="21">
        <f>P9+P10+P11</f>
        <v>1600</v>
      </c>
      <c r="V11" s="21">
        <f>Q9+Q10+Q11</f>
        <v>13100</v>
      </c>
      <c r="W11" s="21">
        <f>R9+R10+R11</f>
        <v>0</v>
      </c>
      <c r="X11" s="21">
        <f>S9+S10+S11</f>
        <v>9100</v>
      </c>
      <c r="Y11" s="21">
        <f>(M9+M10+M11)/(N9+N10+N11)</f>
        <v>3600</v>
      </c>
    </row>
    <row r="12" spans="1:25" thickTop="1" thickBot="1">
      <c r="A12" s="15" t="s">
        <v>23</v>
      </c>
      <c r="B12" s="15">
        <v>5000</v>
      </c>
      <c r="C12" s="19">
        <v>8800</v>
      </c>
      <c r="D12" s="25">
        <v>1</v>
      </c>
      <c r="E12" s="26" t="s">
        <v>350</v>
      </c>
      <c r="F12" s="26" t="s">
        <v>549</v>
      </c>
      <c r="G12" s="31">
        <v>43862</v>
      </c>
      <c r="H12" s="27"/>
      <c r="I12" s="34"/>
      <c r="J12" s="23">
        <f t="shared" si="7"/>
        <v>26900</v>
      </c>
      <c r="L12" s="14">
        <v>44013</v>
      </c>
      <c r="M12" s="20">
        <f t="shared" si="0"/>
        <v>5700</v>
      </c>
      <c r="N12" s="20">
        <f t="shared" si="1"/>
        <v>2</v>
      </c>
      <c r="O12" s="21">
        <f t="shared" si="2"/>
        <v>1700</v>
      </c>
      <c r="P12" s="21">
        <f t="shared" si="3"/>
        <v>0</v>
      </c>
      <c r="Q12" s="21">
        <f t="shared" si="4"/>
        <v>4000</v>
      </c>
      <c r="R12" s="21">
        <f t="shared" si="5"/>
        <v>0</v>
      </c>
      <c r="S12" s="21">
        <f t="shared" si="6"/>
        <v>0</v>
      </c>
      <c r="T12" s="21"/>
      <c r="U12" s="21"/>
      <c r="V12" s="21"/>
      <c r="W12" s="21"/>
      <c r="X12" s="21"/>
      <c r="Y12" s="21"/>
    </row>
    <row r="13" spans="1:25" thickTop="1" thickBot="1">
      <c r="A13" s="15" t="s">
        <v>24</v>
      </c>
      <c r="B13" s="15">
        <v>7700</v>
      </c>
      <c r="C13" s="19">
        <v>8800</v>
      </c>
      <c r="D13" s="25">
        <v>3</v>
      </c>
      <c r="E13" s="26" t="s">
        <v>351</v>
      </c>
      <c r="F13" s="26" t="s">
        <v>549</v>
      </c>
      <c r="G13" s="31">
        <v>43891</v>
      </c>
      <c r="H13" s="27"/>
      <c r="I13" s="34"/>
      <c r="J13" s="23">
        <f t="shared" si="7"/>
        <v>35700</v>
      </c>
      <c r="L13" s="14">
        <v>44044</v>
      </c>
      <c r="M13" s="20">
        <f t="shared" si="0"/>
        <v>6100</v>
      </c>
      <c r="N13" s="20">
        <f t="shared" si="1"/>
        <v>6</v>
      </c>
      <c r="O13" s="21">
        <f t="shared" si="2"/>
        <v>1900</v>
      </c>
      <c r="P13" s="21">
        <f t="shared" si="3"/>
        <v>3900</v>
      </c>
      <c r="Q13" s="21">
        <f t="shared" si="4"/>
        <v>300</v>
      </c>
      <c r="R13" s="21">
        <f t="shared" si="5"/>
        <v>0</v>
      </c>
      <c r="S13" s="21">
        <f t="shared" si="6"/>
        <v>0</v>
      </c>
      <c r="T13" s="21"/>
      <c r="U13" s="21"/>
      <c r="V13" s="21"/>
      <c r="W13" s="21"/>
      <c r="X13" s="21"/>
      <c r="Y13" s="21"/>
    </row>
    <row r="14" spans="1:25" thickTop="1" thickBot="1">
      <c r="A14" s="15" t="s">
        <v>25</v>
      </c>
      <c r="B14" s="15">
        <v>1700</v>
      </c>
      <c r="C14" s="19">
        <v>2200</v>
      </c>
      <c r="D14" s="25">
        <v>1</v>
      </c>
      <c r="E14" s="26" t="s">
        <v>348</v>
      </c>
      <c r="F14" s="26" t="s">
        <v>549</v>
      </c>
      <c r="G14" s="31">
        <v>43891</v>
      </c>
      <c r="H14" s="27"/>
      <c r="I14" s="34"/>
      <c r="J14" s="23">
        <f t="shared" si="7"/>
        <v>37900</v>
      </c>
      <c r="L14" s="14">
        <v>44075</v>
      </c>
      <c r="M14" s="20">
        <f t="shared" si="0"/>
        <v>9200</v>
      </c>
      <c r="N14" s="20">
        <f t="shared" si="1"/>
        <v>9</v>
      </c>
      <c r="O14" s="21">
        <f t="shared" si="2"/>
        <v>180</v>
      </c>
      <c r="P14" s="21">
        <f t="shared" si="3"/>
        <v>2000</v>
      </c>
      <c r="Q14" s="21">
        <f t="shared" si="4"/>
        <v>5520</v>
      </c>
      <c r="R14" s="21">
        <f t="shared" si="5"/>
        <v>0</v>
      </c>
      <c r="S14" s="21">
        <f t="shared" si="6"/>
        <v>1500</v>
      </c>
      <c r="T14" s="21">
        <f>O12+O13+O14</f>
        <v>3780</v>
      </c>
      <c r="U14" s="21">
        <f>P12+P13+P14</f>
        <v>5900</v>
      </c>
      <c r="V14" s="21">
        <f>Q12+Q13+Q14</f>
        <v>9820</v>
      </c>
      <c r="W14" s="21">
        <f>R12+R13+R14</f>
        <v>0</v>
      </c>
      <c r="X14" s="21">
        <f>S12+S13+S14</f>
        <v>1500</v>
      </c>
      <c r="Y14" s="21">
        <f>(M12+M13+M14)/(N12+N13+N14)</f>
        <v>1235.2941176470588</v>
      </c>
    </row>
    <row r="15" spans="1:25" thickTop="1" thickBot="1">
      <c r="A15" s="15" t="s">
        <v>26</v>
      </c>
      <c r="B15" s="15">
        <v>2800</v>
      </c>
      <c r="C15" s="19">
        <v>3800</v>
      </c>
      <c r="D15" s="25">
        <v>2</v>
      </c>
      <c r="E15" s="26" t="s">
        <v>349</v>
      </c>
      <c r="F15" s="26" t="s">
        <v>549</v>
      </c>
      <c r="G15" s="31">
        <v>43891</v>
      </c>
      <c r="H15" s="27"/>
      <c r="I15" s="34"/>
      <c r="J15" s="23">
        <f t="shared" si="7"/>
        <v>41700</v>
      </c>
      <c r="L15" s="14">
        <v>44105</v>
      </c>
      <c r="M15" s="20">
        <f t="shared" si="0"/>
        <v>3800</v>
      </c>
      <c r="N15" s="20">
        <f t="shared" si="1"/>
        <v>10</v>
      </c>
      <c r="O15" s="21">
        <f t="shared" si="2"/>
        <v>200</v>
      </c>
      <c r="P15" s="21">
        <f t="shared" si="3"/>
        <v>0</v>
      </c>
      <c r="Q15" s="21">
        <f t="shared" si="4"/>
        <v>3600</v>
      </c>
      <c r="R15" s="21">
        <f t="shared" si="5"/>
        <v>0</v>
      </c>
      <c r="S15" s="21">
        <f t="shared" si="6"/>
        <v>0</v>
      </c>
      <c r="T15" s="21"/>
      <c r="U15" s="21"/>
      <c r="V15" s="21"/>
      <c r="W15" s="21"/>
      <c r="X15" s="21"/>
      <c r="Y15" s="21"/>
    </row>
    <row r="16" spans="1:25" thickTop="1" thickBot="1">
      <c r="A16" s="15" t="s">
        <v>27</v>
      </c>
      <c r="B16" s="15">
        <v>1200</v>
      </c>
      <c r="C16" s="19">
        <v>1600</v>
      </c>
      <c r="D16" s="25">
        <v>1</v>
      </c>
      <c r="E16" s="26" t="s">
        <v>359</v>
      </c>
      <c r="F16" s="26" t="s">
        <v>549</v>
      </c>
      <c r="G16" s="31">
        <v>43891</v>
      </c>
      <c r="H16" s="27"/>
      <c r="I16" s="34"/>
      <c r="J16" s="23">
        <f t="shared" si="7"/>
        <v>43300</v>
      </c>
      <c r="L16" s="14">
        <v>44136</v>
      </c>
      <c r="M16" s="20">
        <f t="shared" si="0"/>
        <v>0</v>
      </c>
      <c r="N16" s="20">
        <f t="shared" si="1"/>
        <v>0</v>
      </c>
      <c r="O16" s="21">
        <f t="shared" si="2"/>
        <v>0</v>
      </c>
      <c r="P16" s="21">
        <f t="shared" si="3"/>
        <v>0</v>
      </c>
      <c r="Q16" s="21">
        <f t="shared" si="4"/>
        <v>0</v>
      </c>
      <c r="R16" s="21">
        <f t="shared" si="5"/>
        <v>0</v>
      </c>
      <c r="S16" s="21">
        <f t="shared" si="6"/>
        <v>0</v>
      </c>
      <c r="T16" s="21"/>
      <c r="U16" s="21"/>
      <c r="V16" s="21"/>
      <c r="W16" s="21"/>
      <c r="X16" s="21"/>
      <c r="Y16" s="21"/>
    </row>
    <row r="17" spans="1:25" thickTop="1" thickBot="1">
      <c r="A17" s="15" t="s">
        <v>28</v>
      </c>
      <c r="B17" s="15">
        <v>5500</v>
      </c>
      <c r="C17" s="19">
        <v>6000</v>
      </c>
      <c r="D17" s="25">
        <v>1</v>
      </c>
      <c r="E17" s="26" t="s">
        <v>350</v>
      </c>
      <c r="F17" s="26" t="s">
        <v>548</v>
      </c>
      <c r="G17" s="31">
        <v>43891</v>
      </c>
      <c r="H17" s="27"/>
      <c r="I17" s="34"/>
      <c r="J17" s="23">
        <f t="shared" si="7"/>
        <v>49300</v>
      </c>
      <c r="L17" s="14">
        <v>44166</v>
      </c>
      <c r="M17" s="20">
        <f t="shared" si="0"/>
        <v>6700</v>
      </c>
      <c r="N17" s="20">
        <f t="shared" si="1"/>
        <v>8</v>
      </c>
      <c r="O17" s="21">
        <f t="shared" si="2"/>
        <v>400</v>
      </c>
      <c r="P17" s="21">
        <f t="shared" si="3"/>
        <v>0</v>
      </c>
      <c r="Q17" s="21">
        <f t="shared" si="4"/>
        <v>3200</v>
      </c>
      <c r="R17" s="21">
        <f t="shared" si="5"/>
        <v>0</v>
      </c>
      <c r="S17" s="21">
        <f t="shared" si="6"/>
        <v>3100</v>
      </c>
      <c r="T17" s="21">
        <f>O15+O16+O17</f>
        <v>600</v>
      </c>
      <c r="U17" s="21">
        <f>P15+P16+P17</f>
        <v>0</v>
      </c>
      <c r="V17" s="21">
        <f>Q15+Q16+Q17</f>
        <v>6800</v>
      </c>
      <c r="W17" s="21">
        <f>R15+R16+R17</f>
        <v>0</v>
      </c>
      <c r="X17" s="21">
        <f>S15+S16+S17</f>
        <v>3100</v>
      </c>
      <c r="Y17" s="21">
        <f>(M15+M16+M17)/(N15+N16+N17)</f>
        <v>583.33333333333337</v>
      </c>
    </row>
    <row r="18" spans="1:25" thickTop="1" thickBot="1">
      <c r="A18" s="15" t="s">
        <v>29</v>
      </c>
      <c r="B18" s="15">
        <v>1000</v>
      </c>
      <c r="C18" s="19">
        <v>1300</v>
      </c>
      <c r="D18" s="25">
        <v>1</v>
      </c>
      <c r="E18" s="26" t="s">
        <v>352</v>
      </c>
      <c r="F18" s="26" t="s">
        <v>548</v>
      </c>
      <c r="G18" s="31">
        <v>43891</v>
      </c>
      <c r="H18" s="27"/>
      <c r="I18" s="34"/>
      <c r="J18" s="23">
        <f t="shared" si="7"/>
        <v>50600</v>
      </c>
      <c r="L18" s="14">
        <v>44197</v>
      </c>
      <c r="M18" s="20">
        <f t="shared" si="0"/>
        <v>16100</v>
      </c>
      <c r="N18" s="20">
        <f t="shared" si="1"/>
        <v>7</v>
      </c>
      <c r="O18" s="21">
        <f t="shared" si="2"/>
        <v>0</v>
      </c>
      <c r="P18" s="21">
        <f t="shared" si="3"/>
        <v>6500</v>
      </c>
      <c r="Q18" s="21">
        <f t="shared" si="4"/>
        <v>5800</v>
      </c>
      <c r="R18" s="21">
        <f t="shared" si="5"/>
        <v>0</v>
      </c>
      <c r="S18" s="21">
        <f t="shared" si="6"/>
        <v>3800</v>
      </c>
      <c r="T18" s="21"/>
      <c r="U18" s="21"/>
      <c r="V18" s="21"/>
      <c r="W18" s="21"/>
      <c r="X18" s="21"/>
      <c r="Y18" s="21"/>
    </row>
    <row r="19" spans="1:25" thickTop="1" thickBot="1">
      <c r="A19" s="15" t="s">
        <v>30</v>
      </c>
      <c r="B19" s="15">
        <v>1800</v>
      </c>
      <c r="C19" s="19">
        <v>2400</v>
      </c>
      <c r="D19" s="25">
        <v>2</v>
      </c>
      <c r="E19" s="26" t="s">
        <v>352</v>
      </c>
      <c r="F19" s="26" t="s">
        <v>549</v>
      </c>
      <c r="G19" s="31">
        <v>43891</v>
      </c>
      <c r="H19" s="27"/>
      <c r="I19" s="34"/>
      <c r="J19" s="23">
        <f t="shared" si="7"/>
        <v>53000</v>
      </c>
      <c r="L19" s="14">
        <v>44228</v>
      </c>
      <c r="M19" s="20">
        <f t="shared" si="0"/>
        <v>4800</v>
      </c>
      <c r="N19" s="20">
        <f t="shared" si="1"/>
        <v>7</v>
      </c>
      <c r="O19" s="21">
        <f t="shared" si="2"/>
        <v>0</v>
      </c>
      <c r="P19" s="21">
        <f t="shared" si="3"/>
        <v>0</v>
      </c>
      <c r="Q19" s="21">
        <f t="shared" si="4"/>
        <v>4000</v>
      </c>
      <c r="R19" s="21">
        <f t="shared" si="5"/>
        <v>0</v>
      </c>
      <c r="S19" s="21">
        <f t="shared" si="6"/>
        <v>800</v>
      </c>
      <c r="T19" s="21"/>
      <c r="U19" s="21"/>
      <c r="V19" s="21"/>
      <c r="W19" s="21"/>
      <c r="X19" s="21"/>
      <c r="Y19" s="21"/>
    </row>
    <row r="20" spans="1:25" thickTop="1" thickBot="1">
      <c r="A20" s="15" t="s">
        <v>31</v>
      </c>
      <c r="B20" s="15">
        <v>900</v>
      </c>
      <c r="C20" s="19">
        <v>1500</v>
      </c>
      <c r="D20" s="25">
        <v>1</v>
      </c>
      <c r="E20" s="26" t="s">
        <v>352</v>
      </c>
      <c r="F20" s="26" t="s">
        <v>548</v>
      </c>
      <c r="G20" s="31">
        <v>43922</v>
      </c>
      <c r="H20" s="27"/>
      <c r="I20" s="34"/>
      <c r="J20" s="23">
        <f t="shared" si="7"/>
        <v>54500</v>
      </c>
      <c r="L20" s="14">
        <v>44256</v>
      </c>
      <c r="M20" s="20">
        <f t="shared" si="0"/>
        <v>3500</v>
      </c>
      <c r="N20" s="20">
        <f t="shared" si="1"/>
        <v>8</v>
      </c>
      <c r="O20" s="21">
        <f t="shared" si="2"/>
        <v>1400</v>
      </c>
      <c r="P20" s="21">
        <f t="shared" si="3"/>
        <v>1350</v>
      </c>
      <c r="Q20" s="21">
        <f t="shared" si="4"/>
        <v>750</v>
      </c>
      <c r="R20" s="21">
        <f t="shared" si="5"/>
        <v>0</v>
      </c>
      <c r="S20" s="21">
        <f t="shared" si="6"/>
        <v>0</v>
      </c>
      <c r="T20" s="21">
        <f>O18+O19+O20</f>
        <v>1400</v>
      </c>
      <c r="U20" s="21">
        <f>P18+P19+P20</f>
        <v>7850</v>
      </c>
      <c r="V20" s="21">
        <f>Q18+Q19+Q20</f>
        <v>10550</v>
      </c>
      <c r="W20" s="21">
        <f>R18+R19+R20</f>
        <v>0</v>
      </c>
      <c r="X20" s="21">
        <f>S18+S19+S20</f>
        <v>4600</v>
      </c>
      <c r="Y20" s="21">
        <f>(M18+M19+M20)/(N18+N19+N20)</f>
        <v>1109.090909090909</v>
      </c>
    </row>
    <row r="21" spans="1:25" thickTop="1" thickBot="1">
      <c r="A21" s="15" t="s">
        <v>32</v>
      </c>
      <c r="B21" s="15">
        <v>1200</v>
      </c>
      <c r="C21" s="19">
        <v>1500</v>
      </c>
      <c r="D21" s="25">
        <v>1</v>
      </c>
      <c r="E21" s="26" t="s">
        <v>352</v>
      </c>
      <c r="F21" s="26" t="s">
        <v>548</v>
      </c>
      <c r="G21" s="31">
        <v>43922</v>
      </c>
      <c r="H21" s="27"/>
      <c r="I21" s="34"/>
      <c r="J21" s="23">
        <f t="shared" si="7"/>
        <v>56000</v>
      </c>
      <c r="L21" s="14">
        <v>44287</v>
      </c>
      <c r="M21" s="20">
        <f t="shared" si="0"/>
        <v>2900</v>
      </c>
      <c r="N21" s="20">
        <f t="shared" si="1"/>
        <v>5</v>
      </c>
      <c r="O21" s="21">
        <f t="shared" si="2"/>
        <v>0</v>
      </c>
      <c r="P21" s="21">
        <f t="shared" si="3"/>
        <v>800</v>
      </c>
      <c r="Q21" s="21">
        <f t="shared" si="4"/>
        <v>500</v>
      </c>
      <c r="R21" s="21">
        <f t="shared" si="5"/>
        <v>1600</v>
      </c>
      <c r="S21" s="21">
        <f t="shared" si="6"/>
        <v>0</v>
      </c>
      <c r="T21" s="21"/>
      <c r="U21" s="21"/>
      <c r="V21" s="21"/>
      <c r="W21" s="21"/>
      <c r="X21" s="21"/>
      <c r="Y21" s="21"/>
    </row>
    <row r="22" spans="1:25" thickTop="1" thickBot="1">
      <c r="A22" s="15" t="s">
        <v>33</v>
      </c>
      <c r="B22" s="15">
        <v>7000</v>
      </c>
      <c r="C22" s="19">
        <v>12000</v>
      </c>
      <c r="D22" s="25">
        <v>2</v>
      </c>
      <c r="E22" s="26" t="s">
        <v>350</v>
      </c>
      <c r="F22" s="26" t="s">
        <v>548</v>
      </c>
      <c r="G22" s="31">
        <v>43922</v>
      </c>
      <c r="H22" s="27"/>
      <c r="I22" s="34"/>
      <c r="J22" s="23">
        <f t="shared" si="7"/>
        <v>68000</v>
      </c>
      <c r="L22" s="14">
        <v>44317</v>
      </c>
      <c r="M22" s="20">
        <f t="shared" si="0"/>
        <v>10550</v>
      </c>
      <c r="N22" s="20">
        <f t="shared" si="1"/>
        <v>8</v>
      </c>
      <c r="O22" s="21">
        <f t="shared" si="2"/>
        <v>0</v>
      </c>
      <c r="P22" s="21">
        <f t="shared" si="3"/>
        <v>0</v>
      </c>
      <c r="Q22" s="21">
        <f t="shared" si="4"/>
        <v>6000</v>
      </c>
      <c r="R22" s="21">
        <f t="shared" si="5"/>
        <v>4550</v>
      </c>
      <c r="S22" s="21">
        <f t="shared" si="6"/>
        <v>0</v>
      </c>
      <c r="T22" s="21"/>
      <c r="U22" s="21"/>
      <c r="V22" s="21"/>
      <c r="W22" s="21"/>
      <c r="X22" s="21"/>
      <c r="Y22" s="21"/>
    </row>
    <row r="23" spans="1:25" thickTop="1" thickBot="1">
      <c r="A23" s="15" t="s">
        <v>34</v>
      </c>
      <c r="B23" s="15">
        <v>1800</v>
      </c>
      <c r="C23" s="19">
        <v>3800</v>
      </c>
      <c r="D23" s="25">
        <v>1</v>
      </c>
      <c r="E23" s="26" t="s">
        <v>349</v>
      </c>
      <c r="F23" s="26" t="s">
        <v>549</v>
      </c>
      <c r="G23" s="31">
        <v>43922</v>
      </c>
      <c r="H23" s="27"/>
      <c r="I23" s="34"/>
      <c r="J23" s="23">
        <f t="shared" si="7"/>
        <v>71800</v>
      </c>
      <c r="L23" s="14">
        <v>44348</v>
      </c>
      <c r="M23" s="20">
        <f t="shared" si="0"/>
        <v>27745</v>
      </c>
      <c r="N23" s="20">
        <f t="shared" si="1"/>
        <v>20</v>
      </c>
      <c r="O23" s="21">
        <f t="shared" si="2"/>
        <v>7845</v>
      </c>
      <c r="P23" s="21">
        <f t="shared" si="3"/>
        <v>1000</v>
      </c>
      <c r="Q23" s="21">
        <f t="shared" si="4"/>
        <v>17700</v>
      </c>
      <c r="R23" s="21">
        <f t="shared" si="5"/>
        <v>0</v>
      </c>
      <c r="S23" s="21">
        <f t="shared" si="6"/>
        <v>1200</v>
      </c>
      <c r="T23" s="21">
        <f>O21+O22+O23</f>
        <v>7845</v>
      </c>
      <c r="U23" s="21">
        <f>P21+P22+P23</f>
        <v>1800</v>
      </c>
      <c r="V23" s="21">
        <f>Q21+Q22+Q23</f>
        <v>24200</v>
      </c>
      <c r="W23" s="21">
        <f>R21+R22+R23</f>
        <v>6150</v>
      </c>
      <c r="X23" s="21">
        <f>S21+S22+S23</f>
        <v>1200</v>
      </c>
      <c r="Y23" s="21">
        <f>(M21+M22+M23)/(N21+N22+N23)</f>
        <v>1248.3333333333333</v>
      </c>
    </row>
    <row r="24" spans="1:25" thickTop="1" thickBot="1">
      <c r="A24" s="15" t="s">
        <v>35</v>
      </c>
      <c r="B24" s="15">
        <v>0</v>
      </c>
      <c r="C24" s="19">
        <v>1600</v>
      </c>
      <c r="D24" s="25">
        <v>1</v>
      </c>
      <c r="E24" s="26" t="s">
        <v>349</v>
      </c>
      <c r="F24" s="26" t="s">
        <v>550</v>
      </c>
      <c r="G24" s="31">
        <v>43952</v>
      </c>
      <c r="H24" s="27" t="s">
        <v>685</v>
      </c>
      <c r="I24" s="34" t="s">
        <v>684</v>
      </c>
      <c r="J24" s="23">
        <f t="shared" si="7"/>
        <v>73400</v>
      </c>
      <c r="L24" s="14">
        <v>44378</v>
      </c>
      <c r="M24" s="20">
        <f t="shared" si="0"/>
        <v>9110</v>
      </c>
      <c r="N24" s="20">
        <f t="shared" si="1"/>
        <v>13</v>
      </c>
      <c r="O24" s="21">
        <f t="shared" si="2"/>
        <v>1560</v>
      </c>
      <c r="P24" s="21">
        <f t="shared" si="3"/>
        <v>1000</v>
      </c>
      <c r="Q24" s="21">
        <f t="shared" si="4"/>
        <v>3800</v>
      </c>
      <c r="R24" s="21">
        <f t="shared" si="5"/>
        <v>1650</v>
      </c>
      <c r="S24" s="21">
        <f t="shared" si="6"/>
        <v>1100</v>
      </c>
      <c r="T24" s="21"/>
      <c r="U24" s="21"/>
      <c r="V24" s="21"/>
      <c r="W24" s="21"/>
      <c r="X24" s="21"/>
      <c r="Y24" s="21"/>
    </row>
    <row r="25" spans="1:25" thickTop="1" thickBot="1">
      <c r="A25" s="15" t="s">
        <v>36</v>
      </c>
      <c r="B25" s="15">
        <v>3000</v>
      </c>
      <c r="C25" s="19">
        <v>2400</v>
      </c>
      <c r="D25" s="25">
        <v>1</v>
      </c>
      <c r="E25" s="26" t="s">
        <v>349</v>
      </c>
      <c r="F25" s="26" t="s">
        <v>547</v>
      </c>
      <c r="G25" s="31">
        <v>43952</v>
      </c>
      <c r="H25" s="27"/>
      <c r="I25" s="34"/>
      <c r="J25" s="23">
        <f t="shared" si="7"/>
        <v>75800</v>
      </c>
      <c r="L25" s="14">
        <v>44409</v>
      </c>
      <c r="M25" s="20">
        <f t="shared" si="0"/>
        <v>9135</v>
      </c>
      <c r="N25" s="20">
        <f t="shared" si="1"/>
        <v>13</v>
      </c>
      <c r="O25" s="21">
        <f t="shared" si="2"/>
        <v>7300</v>
      </c>
      <c r="P25" s="21">
        <f t="shared" si="3"/>
        <v>0</v>
      </c>
      <c r="Q25" s="21">
        <f t="shared" si="4"/>
        <v>285</v>
      </c>
      <c r="R25" s="21">
        <f t="shared" si="5"/>
        <v>1550</v>
      </c>
      <c r="S25" s="21">
        <f t="shared" si="6"/>
        <v>0</v>
      </c>
      <c r="T25" s="21"/>
      <c r="U25" s="21"/>
      <c r="V25" s="21"/>
      <c r="W25" s="21"/>
      <c r="X25" s="21"/>
      <c r="Y25" s="21"/>
    </row>
    <row r="26" spans="1:25" thickTop="1" thickBot="1">
      <c r="A26" s="15" t="s">
        <v>353</v>
      </c>
      <c r="B26" s="15">
        <v>1200</v>
      </c>
      <c r="C26" s="19">
        <v>1800</v>
      </c>
      <c r="D26" s="25">
        <v>1</v>
      </c>
      <c r="E26" s="26" t="s">
        <v>352</v>
      </c>
      <c r="F26" s="26" t="s">
        <v>549</v>
      </c>
      <c r="G26" s="31">
        <v>43952</v>
      </c>
      <c r="H26" s="27"/>
      <c r="I26" s="34"/>
      <c r="J26" s="23">
        <f t="shared" si="7"/>
        <v>77600</v>
      </c>
      <c r="L26" s="14">
        <v>44440</v>
      </c>
      <c r="M26" s="20">
        <f t="shared" si="0"/>
        <v>15600</v>
      </c>
      <c r="N26" s="20">
        <f t="shared" si="1"/>
        <v>14</v>
      </c>
      <c r="O26" s="21">
        <f t="shared" si="2"/>
        <v>275</v>
      </c>
      <c r="P26" s="21">
        <f t="shared" si="3"/>
        <v>0</v>
      </c>
      <c r="Q26" s="21">
        <f t="shared" si="4"/>
        <v>8500</v>
      </c>
      <c r="R26" s="21">
        <f t="shared" si="5"/>
        <v>4225</v>
      </c>
      <c r="S26" s="21">
        <f t="shared" si="6"/>
        <v>2600</v>
      </c>
      <c r="T26" s="21">
        <f>O24+O25+O26</f>
        <v>9135</v>
      </c>
      <c r="U26" s="21">
        <f>P24+P25+P26</f>
        <v>1000</v>
      </c>
      <c r="V26" s="21">
        <f>Q24+Q25+Q26</f>
        <v>12585</v>
      </c>
      <c r="W26" s="21">
        <f>R24+R25+R26</f>
        <v>7425</v>
      </c>
      <c r="X26" s="21">
        <f>S24+S25+S26</f>
        <v>3700</v>
      </c>
      <c r="Y26" s="21">
        <f>(M24+M25+M26)/(N24+N25+N26)</f>
        <v>846.125</v>
      </c>
    </row>
    <row r="27" spans="1:25" thickTop="1" thickBot="1">
      <c r="A27" s="15" t="s">
        <v>37</v>
      </c>
      <c r="B27" s="15">
        <v>0</v>
      </c>
      <c r="C27" s="19">
        <v>3500</v>
      </c>
      <c r="D27" s="25">
        <v>2</v>
      </c>
      <c r="E27" s="26" t="s">
        <v>348</v>
      </c>
      <c r="F27" s="26" t="s">
        <v>549</v>
      </c>
      <c r="G27" s="31">
        <v>43952</v>
      </c>
      <c r="H27" s="27" t="s">
        <v>829</v>
      </c>
      <c r="I27" s="34" t="s">
        <v>830</v>
      </c>
      <c r="J27" s="23">
        <f t="shared" si="7"/>
        <v>81100</v>
      </c>
      <c r="L27" s="14">
        <v>44470</v>
      </c>
      <c r="M27" s="20">
        <f t="shared" si="0"/>
        <v>7260</v>
      </c>
      <c r="N27" s="20">
        <f t="shared" si="1"/>
        <v>14</v>
      </c>
      <c r="O27" s="21">
        <f t="shared" si="2"/>
        <v>3580</v>
      </c>
      <c r="P27" s="21">
        <f t="shared" si="3"/>
        <v>0</v>
      </c>
      <c r="Q27" s="21">
        <f t="shared" si="4"/>
        <v>0</v>
      </c>
      <c r="R27" s="21">
        <f t="shared" si="5"/>
        <v>3680</v>
      </c>
      <c r="S27" s="21">
        <f t="shared" si="6"/>
        <v>0</v>
      </c>
      <c r="T27" s="21"/>
      <c r="U27" s="21"/>
      <c r="V27" s="21"/>
      <c r="W27" s="21"/>
      <c r="X27" s="21"/>
      <c r="Y27" s="21"/>
    </row>
    <row r="28" spans="1:25" thickTop="1" thickBot="1">
      <c r="A28" s="15" t="s">
        <v>38</v>
      </c>
      <c r="B28" s="15">
        <v>1500</v>
      </c>
      <c r="C28" s="19">
        <v>4000</v>
      </c>
      <c r="D28" s="25">
        <v>1</v>
      </c>
      <c r="E28" s="26" t="s">
        <v>348</v>
      </c>
      <c r="F28" s="26" t="s">
        <v>549</v>
      </c>
      <c r="G28" s="31">
        <v>43983</v>
      </c>
      <c r="H28" s="27"/>
      <c r="I28" s="34"/>
      <c r="J28" s="23">
        <f t="shared" si="7"/>
        <v>85100</v>
      </c>
      <c r="L28" s="14">
        <v>44501</v>
      </c>
      <c r="M28" s="20">
        <f t="shared" si="0"/>
        <v>19930</v>
      </c>
      <c r="N28" s="20">
        <f t="shared" si="1"/>
        <v>6</v>
      </c>
      <c r="O28" s="21">
        <f t="shared" si="2"/>
        <v>1080</v>
      </c>
      <c r="P28" s="21">
        <f t="shared" si="3"/>
        <v>0</v>
      </c>
      <c r="Q28" s="21">
        <f t="shared" si="4"/>
        <v>18500</v>
      </c>
      <c r="R28" s="21">
        <f t="shared" si="5"/>
        <v>350</v>
      </c>
      <c r="S28" s="21">
        <f t="shared" si="6"/>
        <v>0</v>
      </c>
      <c r="T28" s="21"/>
      <c r="U28" s="21"/>
      <c r="V28" s="21"/>
      <c r="W28" s="21"/>
      <c r="X28" s="21"/>
      <c r="Y28" s="21"/>
    </row>
    <row r="29" spans="1:25" thickTop="1" thickBot="1">
      <c r="A29" s="15" t="s">
        <v>39</v>
      </c>
      <c r="B29" s="15">
        <v>500</v>
      </c>
      <c r="C29" s="19">
        <v>700</v>
      </c>
      <c r="D29" s="25">
        <v>1</v>
      </c>
      <c r="E29" s="26" t="s">
        <v>348</v>
      </c>
      <c r="F29" s="26" t="s">
        <v>547</v>
      </c>
      <c r="G29" s="31">
        <v>43983</v>
      </c>
      <c r="H29" s="27"/>
      <c r="I29" s="34"/>
      <c r="J29" s="23">
        <f t="shared" si="7"/>
        <v>85800</v>
      </c>
      <c r="L29" s="14">
        <v>44531</v>
      </c>
      <c r="M29" s="20">
        <f t="shared" si="0"/>
        <v>18005</v>
      </c>
      <c r="N29" s="20">
        <f t="shared" si="1"/>
        <v>23</v>
      </c>
      <c r="O29" s="21">
        <f t="shared" si="2"/>
        <v>8140</v>
      </c>
      <c r="P29" s="21">
        <f t="shared" si="3"/>
        <v>0</v>
      </c>
      <c r="Q29" s="21">
        <f t="shared" si="4"/>
        <v>3300</v>
      </c>
      <c r="R29" s="21">
        <f t="shared" si="5"/>
        <v>6565</v>
      </c>
      <c r="S29" s="21">
        <f t="shared" si="6"/>
        <v>0</v>
      </c>
      <c r="T29" s="21">
        <f>O27+O28+O29</f>
        <v>12800</v>
      </c>
      <c r="U29" s="21">
        <f>P27+P28+P29</f>
        <v>0</v>
      </c>
      <c r="V29" s="21">
        <f>Q27+Q28+Q29</f>
        <v>21800</v>
      </c>
      <c r="W29" s="21">
        <f>R27+R28+R29</f>
        <v>10595</v>
      </c>
      <c r="X29" s="21">
        <f>S27+S28+S29</f>
        <v>0</v>
      </c>
      <c r="Y29" s="21">
        <f>(M27+M28+M29)/(N27+N28+N29)</f>
        <v>1051.046511627907</v>
      </c>
    </row>
    <row r="30" spans="1:25" thickTop="1" thickBot="1">
      <c r="A30" s="15" t="s">
        <v>40</v>
      </c>
      <c r="B30" s="15">
        <v>5500</v>
      </c>
      <c r="C30" s="19">
        <v>8000</v>
      </c>
      <c r="D30" s="25">
        <v>1</v>
      </c>
      <c r="E30" s="26" t="s">
        <v>350</v>
      </c>
      <c r="F30" s="26" t="s">
        <v>548</v>
      </c>
      <c r="G30" s="31">
        <v>43983</v>
      </c>
      <c r="H30" s="27"/>
      <c r="I30" s="34"/>
      <c r="J30" s="23">
        <f t="shared" si="7"/>
        <v>93800</v>
      </c>
      <c r="L30" s="14">
        <v>44562</v>
      </c>
      <c r="M30" s="20">
        <f t="shared" si="0"/>
        <v>7100</v>
      </c>
      <c r="N30" s="20">
        <f t="shared" si="1"/>
        <v>16</v>
      </c>
      <c r="O30" s="21">
        <f t="shared" si="2"/>
        <v>0</v>
      </c>
      <c r="P30" s="21">
        <f t="shared" si="3"/>
        <v>3500</v>
      </c>
      <c r="Q30" s="21">
        <f t="shared" si="4"/>
        <v>2700</v>
      </c>
      <c r="R30" s="21">
        <f t="shared" si="5"/>
        <v>900</v>
      </c>
      <c r="S30" s="21">
        <f t="shared" si="6"/>
        <v>0</v>
      </c>
      <c r="T30" s="21"/>
      <c r="U30" s="21"/>
      <c r="V30" s="21"/>
      <c r="W30" s="21"/>
      <c r="X30" s="21"/>
      <c r="Y30" s="21"/>
    </row>
    <row r="31" spans="1:25" thickTop="1" thickBot="1">
      <c r="A31" s="15" t="s">
        <v>272</v>
      </c>
      <c r="B31" s="15">
        <v>0</v>
      </c>
      <c r="C31" s="19">
        <v>6000</v>
      </c>
      <c r="D31" s="25">
        <v>0</v>
      </c>
      <c r="E31" s="26" t="s">
        <v>354</v>
      </c>
      <c r="F31" s="26" t="s">
        <v>547</v>
      </c>
      <c r="G31" s="31">
        <v>43983</v>
      </c>
      <c r="H31" s="27"/>
      <c r="I31" s="34"/>
      <c r="J31" s="23">
        <f t="shared" si="7"/>
        <v>99800</v>
      </c>
      <c r="L31" s="14">
        <v>44593</v>
      </c>
      <c r="M31" s="20">
        <f t="shared" si="0"/>
        <v>7825</v>
      </c>
      <c r="N31" s="20">
        <f t="shared" si="1"/>
        <v>17</v>
      </c>
      <c r="O31" s="21">
        <f t="shared" si="2"/>
        <v>1140</v>
      </c>
      <c r="P31" s="21">
        <f t="shared" si="3"/>
        <v>0</v>
      </c>
      <c r="Q31" s="21">
        <f t="shared" si="4"/>
        <v>5985</v>
      </c>
      <c r="R31" s="21">
        <f t="shared" si="5"/>
        <v>700</v>
      </c>
      <c r="S31" s="21">
        <f t="shared" si="6"/>
        <v>0</v>
      </c>
      <c r="T31" s="21"/>
      <c r="U31" s="21"/>
      <c r="V31" s="21"/>
      <c r="W31" s="21"/>
      <c r="X31" s="21"/>
      <c r="Y31" s="21"/>
    </row>
    <row r="32" spans="1:25" thickTop="1" thickBot="1">
      <c r="A32" s="15" t="s">
        <v>41</v>
      </c>
      <c r="B32" s="15">
        <v>3500</v>
      </c>
      <c r="C32" s="19">
        <v>4000</v>
      </c>
      <c r="D32" s="25">
        <v>1</v>
      </c>
      <c r="E32" s="26" t="s">
        <v>350</v>
      </c>
      <c r="F32" s="26" t="s">
        <v>549</v>
      </c>
      <c r="G32" s="31">
        <v>44013</v>
      </c>
      <c r="H32" s="27"/>
      <c r="I32" s="34"/>
      <c r="J32" s="23">
        <f t="shared" si="7"/>
        <v>103800</v>
      </c>
      <c r="L32" s="14">
        <v>44621</v>
      </c>
      <c r="M32" s="20">
        <f t="shared" si="0"/>
        <v>6120</v>
      </c>
      <c r="N32" s="20">
        <f t="shared" si="1"/>
        <v>12</v>
      </c>
      <c r="O32" s="21">
        <f t="shared" si="2"/>
        <v>0</v>
      </c>
      <c r="P32" s="21">
        <f t="shared" si="3"/>
        <v>3900</v>
      </c>
      <c r="Q32" s="21">
        <f t="shared" si="4"/>
        <v>0</v>
      </c>
      <c r="R32" s="21">
        <f t="shared" si="5"/>
        <v>2220</v>
      </c>
      <c r="S32" s="21">
        <f t="shared" si="6"/>
        <v>0</v>
      </c>
      <c r="T32" s="21">
        <f>O30+O31+O32</f>
        <v>1140</v>
      </c>
      <c r="U32" s="21">
        <f>P30+P31+P32</f>
        <v>7400</v>
      </c>
      <c r="V32" s="21">
        <f>Q30+Q31+Q32</f>
        <v>8685</v>
      </c>
      <c r="W32" s="21">
        <f>R30+R31+R32</f>
        <v>3820</v>
      </c>
      <c r="X32" s="21">
        <f>S30+S31+S32</f>
        <v>0</v>
      </c>
      <c r="Y32" s="21">
        <f>(M30+M31+M32)/(N30+N31+N32)</f>
        <v>467.66666666666669</v>
      </c>
    </row>
    <row r="33" spans="1:25" thickTop="1" thickBot="1">
      <c r="A33" s="15" t="s">
        <v>551</v>
      </c>
      <c r="B33" s="15">
        <v>1200</v>
      </c>
      <c r="C33" s="19">
        <v>1700</v>
      </c>
      <c r="D33" s="25">
        <v>1</v>
      </c>
      <c r="E33" s="26" t="s">
        <v>352</v>
      </c>
      <c r="F33" s="26" t="s">
        <v>548</v>
      </c>
      <c r="G33" s="31">
        <v>44013</v>
      </c>
      <c r="H33" s="27"/>
      <c r="I33" s="34"/>
      <c r="J33" s="23">
        <f t="shared" si="7"/>
        <v>105500</v>
      </c>
      <c r="L33" s="14">
        <v>44652</v>
      </c>
      <c r="M33" s="20">
        <f t="shared" si="0"/>
        <v>14190</v>
      </c>
      <c r="N33" s="20">
        <f t="shared" si="1"/>
        <v>4</v>
      </c>
      <c r="O33" s="21">
        <f t="shared" si="2"/>
        <v>0</v>
      </c>
      <c r="P33" s="21">
        <f t="shared" si="3"/>
        <v>4700</v>
      </c>
      <c r="Q33" s="21">
        <f t="shared" si="4"/>
        <v>3240</v>
      </c>
      <c r="R33" s="21">
        <f t="shared" si="5"/>
        <v>250</v>
      </c>
      <c r="S33" s="21">
        <f t="shared" si="6"/>
        <v>6000</v>
      </c>
      <c r="T33" s="21"/>
      <c r="U33" s="21"/>
      <c r="V33" s="21"/>
      <c r="W33" s="21"/>
      <c r="X33" s="21"/>
      <c r="Y33" s="21"/>
    </row>
    <row r="34" spans="1:25" thickTop="1" thickBot="1">
      <c r="A34" s="15" t="s">
        <v>87</v>
      </c>
      <c r="B34" s="15">
        <v>0</v>
      </c>
      <c r="C34" s="19">
        <v>500</v>
      </c>
      <c r="D34" s="25">
        <v>1</v>
      </c>
      <c r="E34" s="26" t="s">
        <v>348</v>
      </c>
      <c r="F34" s="26" t="s">
        <v>550</v>
      </c>
      <c r="G34" s="31">
        <v>44044</v>
      </c>
      <c r="H34" s="27" t="s">
        <v>829</v>
      </c>
      <c r="I34" s="34" t="s">
        <v>682</v>
      </c>
      <c r="J34" s="23">
        <f t="shared" si="7"/>
        <v>106000</v>
      </c>
      <c r="L34" s="14">
        <v>44682</v>
      </c>
      <c r="M34" s="20">
        <f t="shared" ref="M34:M62" si="8">SUMIF(G:G,L34,C:C)</f>
        <v>9492</v>
      </c>
      <c r="N34" s="20">
        <f t="shared" ref="N34:N62" si="9">SUMIF(G:G,L34,D:D)</f>
        <v>24</v>
      </c>
      <c r="O34" s="21">
        <f t="shared" ref="O34:O62" si="10">SUMIFS(C:C,F:F,"个人",G:G,L34)</f>
        <v>0</v>
      </c>
      <c r="P34" s="21">
        <f t="shared" ref="P34:P62" si="11">SUMIFS(C:C,F:F,"代理",G:G,L34)</f>
        <v>1300</v>
      </c>
      <c r="Q34" s="21">
        <f t="shared" ref="Q34:Q62" si="12">SUMIFS(C:C,F:F,"猫舍",G:G,L34)</f>
        <v>5332</v>
      </c>
      <c r="R34" s="21">
        <f t="shared" ref="R34:R62" si="13">SUMIFS(C:C,F:F,"店铺",G:G,L34)</f>
        <v>2860</v>
      </c>
      <c r="S34" s="21">
        <f t="shared" ref="S34:S62" si="14">SUMIFS(C:C,F:F,"咸鱼",G:G,L34)</f>
        <v>0</v>
      </c>
      <c r="T34" s="21"/>
      <c r="U34" s="21"/>
      <c r="V34" s="21"/>
      <c r="W34" s="21"/>
      <c r="X34" s="21"/>
      <c r="Y34" s="21"/>
    </row>
    <row r="35" spans="1:25" thickTop="1" thickBot="1">
      <c r="A35" s="15" t="s">
        <v>88</v>
      </c>
      <c r="B35" s="15">
        <v>0</v>
      </c>
      <c r="C35" s="19">
        <v>1200</v>
      </c>
      <c r="D35" s="25">
        <v>1</v>
      </c>
      <c r="E35" s="26" t="s">
        <v>348</v>
      </c>
      <c r="F35" s="26" t="s">
        <v>550</v>
      </c>
      <c r="G35" s="31">
        <v>44044</v>
      </c>
      <c r="H35" s="27" t="s">
        <v>829</v>
      </c>
      <c r="I35" s="34" t="s">
        <v>682</v>
      </c>
      <c r="J35" s="23">
        <f t="shared" si="7"/>
        <v>107200</v>
      </c>
      <c r="L35" s="14">
        <v>44713</v>
      </c>
      <c r="M35" s="20">
        <f t="shared" si="8"/>
        <v>8327</v>
      </c>
      <c r="N35" s="20">
        <f t="shared" si="9"/>
        <v>8</v>
      </c>
      <c r="O35" s="21">
        <f t="shared" si="10"/>
        <v>267</v>
      </c>
      <c r="P35" s="21">
        <f t="shared" si="11"/>
        <v>0</v>
      </c>
      <c r="Q35" s="21">
        <f t="shared" si="12"/>
        <v>2510</v>
      </c>
      <c r="R35" s="21">
        <f t="shared" si="13"/>
        <v>5550</v>
      </c>
      <c r="S35" s="21">
        <f t="shared" si="14"/>
        <v>0</v>
      </c>
      <c r="T35" s="21">
        <f>O33+O34+O35</f>
        <v>267</v>
      </c>
      <c r="U35" s="21">
        <f>P33+P34+P35</f>
        <v>6000</v>
      </c>
      <c r="V35" s="21">
        <f>Q33+Q34+Q35</f>
        <v>11082</v>
      </c>
      <c r="W35" s="21">
        <f>R33+R34+R35</f>
        <v>8660</v>
      </c>
      <c r="X35" s="21">
        <f>S33+S34+S35</f>
        <v>6000</v>
      </c>
      <c r="Y35" s="21">
        <f>(M33+M34+M35)/(N33+N34+N35)</f>
        <v>889.13888888888891</v>
      </c>
    </row>
    <row r="36" spans="1:25" thickTop="1" thickBot="1">
      <c r="A36" s="15" t="s">
        <v>89</v>
      </c>
      <c r="B36" s="15">
        <v>1000</v>
      </c>
      <c r="C36" s="19">
        <v>1000</v>
      </c>
      <c r="D36" s="25">
        <v>1</v>
      </c>
      <c r="E36" s="26" t="s">
        <v>358</v>
      </c>
      <c r="F36" s="26" t="s">
        <v>550</v>
      </c>
      <c r="G36" s="31">
        <v>44044</v>
      </c>
      <c r="H36" s="27"/>
      <c r="I36" s="34"/>
      <c r="J36" s="23">
        <f t="shared" si="7"/>
        <v>108200</v>
      </c>
      <c r="L36" s="14">
        <v>44743</v>
      </c>
      <c r="M36" s="20">
        <f t="shared" si="8"/>
        <v>2960</v>
      </c>
      <c r="N36" s="20">
        <f t="shared" si="9"/>
        <v>14</v>
      </c>
      <c r="O36" s="21">
        <f t="shared" si="10"/>
        <v>30</v>
      </c>
      <c r="P36" s="21">
        <f t="shared" si="11"/>
        <v>0</v>
      </c>
      <c r="Q36" s="21">
        <f t="shared" si="12"/>
        <v>680</v>
      </c>
      <c r="R36" s="21">
        <f t="shared" si="13"/>
        <v>2250</v>
      </c>
      <c r="S36" s="21">
        <f t="shared" si="14"/>
        <v>0</v>
      </c>
      <c r="T36" s="21"/>
      <c r="U36" s="21"/>
      <c r="V36" s="21"/>
      <c r="W36" s="21"/>
      <c r="X36" s="21"/>
      <c r="Y36" s="21"/>
    </row>
    <row r="37" spans="1:25" thickTop="1" thickBot="1">
      <c r="A37" s="15" t="s">
        <v>115</v>
      </c>
      <c r="B37" s="15">
        <v>1000</v>
      </c>
      <c r="C37" s="19">
        <v>1200</v>
      </c>
      <c r="D37" s="25">
        <v>1</v>
      </c>
      <c r="E37" s="26" t="s">
        <v>348</v>
      </c>
      <c r="F37" s="26" t="s">
        <v>550</v>
      </c>
      <c r="G37" s="31">
        <v>44044</v>
      </c>
      <c r="H37" s="27"/>
      <c r="I37" s="34"/>
      <c r="J37" s="23">
        <f t="shared" si="7"/>
        <v>109400</v>
      </c>
      <c r="L37" s="14">
        <v>44774</v>
      </c>
      <c r="M37" s="20">
        <f t="shared" si="8"/>
        <v>14739</v>
      </c>
      <c r="N37" s="20">
        <f t="shared" si="9"/>
        <v>26</v>
      </c>
      <c r="O37" s="21">
        <f t="shared" si="10"/>
        <v>3000</v>
      </c>
      <c r="P37" s="21">
        <f t="shared" si="11"/>
        <v>0</v>
      </c>
      <c r="Q37" s="21">
        <f t="shared" si="12"/>
        <v>4600</v>
      </c>
      <c r="R37" s="21">
        <f t="shared" si="13"/>
        <v>1039</v>
      </c>
      <c r="S37" s="21">
        <f t="shared" si="14"/>
        <v>6100</v>
      </c>
      <c r="T37" s="21"/>
      <c r="U37" s="21"/>
      <c r="V37" s="21"/>
      <c r="W37" s="21"/>
      <c r="X37" s="21"/>
      <c r="Y37" s="21"/>
    </row>
    <row r="38" spans="1:25" thickTop="1" thickBot="1">
      <c r="A38" s="15" t="s">
        <v>116</v>
      </c>
      <c r="B38" s="15">
        <v>1000</v>
      </c>
      <c r="C38" s="19">
        <v>1900</v>
      </c>
      <c r="D38" s="25">
        <v>1</v>
      </c>
      <c r="E38" s="26" t="s">
        <v>349</v>
      </c>
      <c r="F38" s="26" t="s">
        <v>548</v>
      </c>
      <c r="G38" s="31">
        <v>44044</v>
      </c>
      <c r="H38" s="27"/>
      <c r="I38" s="34"/>
      <c r="J38" s="23">
        <f t="shared" si="7"/>
        <v>111300</v>
      </c>
      <c r="L38" s="14">
        <v>44805</v>
      </c>
      <c r="M38" s="20">
        <f t="shared" si="8"/>
        <v>0</v>
      </c>
      <c r="N38" s="20">
        <f t="shared" si="9"/>
        <v>0</v>
      </c>
      <c r="O38" s="21">
        <f t="shared" si="10"/>
        <v>0</v>
      </c>
      <c r="P38" s="21">
        <f t="shared" si="11"/>
        <v>0</v>
      </c>
      <c r="Q38" s="21">
        <f t="shared" si="12"/>
        <v>0</v>
      </c>
      <c r="R38" s="21">
        <f t="shared" si="13"/>
        <v>0</v>
      </c>
      <c r="S38" s="21">
        <f t="shared" si="14"/>
        <v>0</v>
      </c>
      <c r="T38" s="21">
        <f>O36+O37+O38</f>
        <v>3030</v>
      </c>
      <c r="U38" s="21">
        <f>P36+P37+P38</f>
        <v>0</v>
      </c>
      <c r="V38" s="21">
        <f>Q36+Q37+Q38</f>
        <v>5280</v>
      </c>
      <c r="W38" s="21">
        <f>R36+R37+R38</f>
        <v>3289</v>
      </c>
      <c r="X38" s="21">
        <f>S36+S37+S38</f>
        <v>6100</v>
      </c>
      <c r="Y38" s="21">
        <f>(M36+M37+M38)/(N36+N37+N38)</f>
        <v>442.47500000000002</v>
      </c>
    </row>
    <row r="39" spans="1:25" thickTop="1" thickBot="1">
      <c r="A39" s="15" t="s">
        <v>117</v>
      </c>
      <c r="B39" s="15">
        <v>300</v>
      </c>
      <c r="C39" s="19">
        <v>300</v>
      </c>
      <c r="D39" s="25">
        <v>1</v>
      </c>
      <c r="E39" s="26" t="s">
        <v>348</v>
      </c>
      <c r="F39" s="26" t="s">
        <v>549</v>
      </c>
      <c r="G39" s="31">
        <v>44044</v>
      </c>
      <c r="H39" s="27"/>
      <c r="I39" s="34"/>
      <c r="J39" s="23">
        <f t="shared" si="7"/>
        <v>111600</v>
      </c>
      <c r="L39" s="14">
        <v>44835</v>
      </c>
      <c r="M39" s="20">
        <f t="shared" si="8"/>
        <v>1363</v>
      </c>
      <c r="N39" s="20">
        <f t="shared" si="9"/>
        <v>13</v>
      </c>
      <c r="O39" s="21">
        <f t="shared" si="10"/>
        <v>56</v>
      </c>
      <c r="P39" s="21">
        <f t="shared" si="11"/>
        <v>0</v>
      </c>
      <c r="Q39" s="21">
        <f t="shared" si="12"/>
        <v>675</v>
      </c>
      <c r="R39" s="21">
        <f t="shared" si="13"/>
        <v>632</v>
      </c>
      <c r="S39" s="21">
        <f t="shared" si="14"/>
        <v>0</v>
      </c>
      <c r="T39" s="21"/>
      <c r="U39" s="21"/>
      <c r="V39" s="21"/>
      <c r="W39" s="21"/>
      <c r="X39" s="21"/>
      <c r="Y39" s="21"/>
    </row>
    <row r="40" spans="1:25" thickTop="1" thickBot="1">
      <c r="A40" s="15" t="s">
        <v>118</v>
      </c>
      <c r="B40" s="15">
        <v>0</v>
      </c>
      <c r="C40" s="19">
        <v>2100</v>
      </c>
      <c r="D40" s="25">
        <v>3</v>
      </c>
      <c r="E40" s="26" t="s">
        <v>349</v>
      </c>
      <c r="F40" s="26" t="s">
        <v>549</v>
      </c>
      <c r="G40" s="31">
        <v>44075</v>
      </c>
      <c r="H40" s="27" t="s">
        <v>685</v>
      </c>
      <c r="I40" s="34" t="s">
        <v>830</v>
      </c>
      <c r="J40" s="23">
        <f t="shared" si="7"/>
        <v>113700</v>
      </c>
      <c r="L40" s="14">
        <v>44866</v>
      </c>
      <c r="M40" s="20">
        <f t="shared" si="8"/>
        <v>13100</v>
      </c>
      <c r="N40" s="20">
        <f t="shared" si="9"/>
        <v>16</v>
      </c>
      <c r="O40" s="21">
        <f t="shared" si="10"/>
        <v>6100</v>
      </c>
      <c r="P40" s="21">
        <f t="shared" si="11"/>
        <v>0</v>
      </c>
      <c r="Q40" s="21">
        <f t="shared" si="12"/>
        <v>7000</v>
      </c>
      <c r="R40" s="21">
        <f t="shared" si="13"/>
        <v>0</v>
      </c>
      <c r="S40" s="21">
        <f t="shared" si="14"/>
        <v>0</v>
      </c>
      <c r="T40" s="21"/>
      <c r="U40" s="21"/>
      <c r="V40" s="21"/>
      <c r="W40" s="21"/>
      <c r="X40" s="21"/>
      <c r="Y40" s="21"/>
    </row>
    <row r="41" spans="1:25" thickTop="1" thickBot="1">
      <c r="A41" s="15" t="s">
        <v>119</v>
      </c>
      <c r="B41" s="15">
        <v>0</v>
      </c>
      <c r="C41" s="19">
        <v>1500</v>
      </c>
      <c r="D41" s="25">
        <v>0</v>
      </c>
      <c r="E41" s="26" t="s">
        <v>354</v>
      </c>
      <c r="F41" s="26" t="s">
        <v>547</v>
      </c>
      <c r="G41" s="31">
        <v>44075</v>
      </c>
      <c r="H41" s="27"/>
      <c r="I41" s="34"/>
      <c r="J41" s="23">
        <f t="shared" si="7"/>
        <v>115200</v>
      </c>
      <c r="L41" s="14">
        <v>44896</v>
      </c>
      <c r="M41" s="20">
        <f t="shared" si="8"/>
        <v>3185</v>
      </c>
      <c r="N41" s="20">
        <f t="shared" si="9"/>
        <v>7</v>
      </c>
      <c r="O41" s="21">
        <f t="shared" si="10"/>
        <v>2190</v>
      </c>
      <c r="P41" s="21">
        <f t="shared" si="11"/>
        <v>0</v>
      </c>
      <c r="Q41" s="21">
        <f t="shared" si="12"/>
        <v>995</v>
      </c>
      <c r="R41" s="21">
        <f t="shared" si="13"/>
        <v>0</v>
      </c>
      <c r="S41" s="21">
        <f t="shared" si="14"/>
        <v>0</v>
      </c>
      <c r="T41" s="21">
        <f>O39+O40+O41</f>
        <v>8346</v>
      </c>
      <c r="U41" s="21">
        <f>P39+P40+P41</f>
        <v>0</v>
      </c>
      <c r="V41" s="21">
        <f>Q39+Q40+Q41</f>
        <v>8670</v>
      </c>
      <c r="W41" s="21">
        <f>R39+R40+R41</f>
        <v>632</v>
      </c>
      <c r="X41" s="21">
        <f>S39+S40+S41</f>
        <v>0</v>
      </c>
      <c r="Y41" s="21">
        <f>(M39+M40+M41)/(N39+N40+N41)</f>
        <v>490.22222222222223</v>
      </c>
    </row>
    <row r="42" spans="1:25" thickTop="1" thickBot="1">
      <c r="A42" s="15" t="s">
        <v>120</v>
      </c>
      <c r="B42" s="15">
        <v>0</v>
      </c>
      <c r="C42" s="19">
        <v>700</v>
      </c>
      <c r="D42" s="25">
        <v>1</v>
      </c>
      <c r="E42" s="26" t="s">
        <v>352</v>
      </c>
      <c r="F42" s="26" t="s">
        <v>549</v>
      </c>
      <c r="G42" s="31">
        <v>44075</v>
      </c>
      <c r="H42" s="27" t="s">
        <v>833</v>
      </c>
      <c r="I42" s="34" t="s">
        <v>684</v>
      </c>
      <c r="J42" s="23">
        <f t="shared" si="7"/>
        <v>115900</v>
      </c>
      <c r="L42" s="14">
        <v>44927</v>
      </c>
      <c r="M42" s="20">
        <f t="shared" si="8"/>
        <v>500</v>
      </c>
      <c r="N42" s="20">
        <f t="shared" si="9"/>
        <v>1</v>
      </c>
      <c r="O42" s="21">
        <f t="shared" si="10"/>
        <v>100</v>
      </c>
      <c r="P42" s="21">
        <f t="shared" si="11"/>
        <v>0</v>
      </c>
      <c r="Q42" s="21">
        <f t="shared" si="12"/>
        <v>0</v>
      </c>
      <c r="R42" s="21">
        <f t="shared" si="13"/>
        <v>400</v>
      </c>
      <c r="S42" s="21">
        <f t="shared" si="14"/>
        <v>0</v>
      </c>
      <c r="T42" s="21"/>
      <c r="U42" s="21"/>
      <c r="V42" s="21"/>
      <c r="W42" s="21"/>
      <c r="X42" s="21"/>
      <c r="Y42" s="21"/>
    </row>
    <row r="43" spans="1:25" thickTop="1" thickBot="1">
      <c r="A43" s="15" t="s">
        <v>145</v>
      </c>
      <c r="B43" s="15">
        <v>800</v>
      </c>
      <c r="C43" s="19">
        <v>1920</v>
      </c>
      <c r="D43" s="25">
        <v>1</v>
      </c>
      <c r="E43" s="26" t="s">
        <v>350</v>
      </c>
      <c r="F43" s="26" t="s">
        <v>549</v>
      </c>
      <c r="G43" s="31">
        <v>44075</v>
      </c>
      <c r="H43" s="27"/>
      <c r="I43" s="34"/>
      <c r="J43" s="23">
        <f t="shared" si="7"/>
        <v>117820</v>
      </c>
      <c r="L43" s="14">
        <v>44958</v>
      </c>
      <c r="M43" s="20">
        <f t="shared" si="8"/>
        <v>2500</v>
      </c>
      <c r="N43" s="20">
        <f t="shared" si="9"/>
        <v>1</v>
      </c>
      <c r="O43" s="21">
        <f t="shared" si="10"/>
        <v>2500</v>
      </c>
      <c r="P43" s="21">
        <f t="shared" si="11"/>
        <v>0</v>
      </c>
      <c r="Q43" s="21">
        <f t="shared" si="12"/>
        <v>0</v>
      </c>
      <c r="R43" s="21">
        <f t="shared" si="13"/>
        <v>0</v>
      </c>
      <c r="S43" s="21">
        <f t="shared" si="14"/>
        <v>0</v>
      </c>
      <c r="T43" s="21"/>
      <c r="U43" s="21"/>
      <c r="V43" s="21"/>
      <c r="W43" s="21"/>
      <c r="X43" s="21"/>
      <c r="Y43" s="21"/>
    </row>
    <row r="44" spans="1:25" thickTop="1" thickBot="1">
      <c r="A44" s="15" t="s">
        <v>146</v>
      </c>
      <c r="B44" s="15">
        <v>0</v>
      </c>
      <c r="C44" s="19">
        <v>180</v>
      </c>
      <c r="D44" s="25">
        <v>0</v>
      </c>
      <c r="E44" s="26" t="s">
        <v>49</v>
      </c>
      <c r="F44" s="26" t="s">
        <v>548</v>
      </c>
      <c r="G44" s="31">
        <v>44075</v>
      </c>
      <c r="H44" s="27"/>
      <c r="I44" s="34"/>
      <c r="J44" s="23">
        <f t="shared" si="7"/>
        <v>118000</v>
      </c>
      <c r="L44" s="14">
        <v>44986</v>
      </c>
      <c r="M44" s="20">
        <f t="shared" si="8"/>
        <v>16400</v>
      </c>
      <c r="N44" s="20">
        <f t="shared" si="9"/>
        <v>11</v>
      </c>
      <c r="O44" s="21">
        <f t="shared" si="10"/>
        <v>5500</v>
      </c>
      <c r="P44" s="21">
        <f t="shared" si="11"/>
        <v>5900</v>
      </c>
      <c r="Q44" s="21">
        <f t="shared" si="12"/>
        <v>5000</v>
      </c>
      <c r="R44" s="21">
        <f t="shared" si="13"/>
        <v>0</v>
      </c>
      <c r="S44" s="21">
        <f t="shared" si="14"/>
        <v>0</v>
      </c>
      <c r="T44" s="21">
        <f>O42+O43+O44</f>
        <v>8100</v>
      </c>
      <c r="U44" s="21">
        <f>P42+P43+P44</f>
        <v>5900</v>
      </c>
      <c r="V44" s="21">
        <f>Q42+Q43+Q44</f>
        <v>5000</v>
      </c>
      <c r="W44" s="21">
        <f>R42+R43+R44</f>
        <v>400</v>
      </c>
      <c r="X44" s="21">
        <f>S42+S43+S44</f>
        <v>0</v>
      </c>
      <c r="Y44" s="21">
        <f>(M42+M43+M44)/(N42+N43+N44)</f>
        <v>1492.3076923076924</v>
      </c>
    </row>
    <row r="45" spans="1:25" thickTop="1" thickBot="1">
      <c r="A45" s="15" t="s">
        <v>149</v>
      </c>
      <c r="B45" s="15">
        <v>0</v>
      </c>
      <c r="C45" s="19">
        <v>300</v>
      </c>
      <c r="D45" s="25">
        <v>1</v>
      </c>
      <c r="E45" s="26" t="s">
        <v>348</v>
      </c>
      <c r="F45" s="26" t="s">
        <v>549</v>
      </c>
      <c r="G45" s="31">
        <v>44075</v>
      </c>
      <c r="H45" s="27"/>
      <c r="I45" s="34"/>
      <c r="J45" s="23">
        <f t="shared" si="7"/>
        <v>118300</v>
      </c>
      <c r="L45" s="14">
        <v>45017</v>
      </c>
      <c r="M45" s="20">
        <f t="shared" si="8"/>
        <v>2500</v>
      </c>
      <c r="N45" s="20">
        <f t="shared" si="9"/>
        <v>1</v>
      </c>
      <c r="O45" s="21">
        <f t="shared" si="10"/>
        <v>2500</v>
      </c>
      <c r="P45" s="21">
        <f t="shared" si="11"/>
        <v>0</v>
      </c>
      <c r="Q45" s="21">
        <f t="shared" si="12"/>
        <v>0</v>
      </c>
      <c r="R45" s="21">
        <f t="shared" si="13"/>
        <v>0</v>
      </c>
      <c r="S45" s="21">
        <f t="shared" si="14"/>
        <v>0</v>
      </c>
      <c r="T45" s="21"/>
      <c r="U45" s="21"/>
      <c r="V45" s="21"/>
      <c r="W45" s="21"/>
      <c r="X45" s="21"/>
      <c r="Y45" s="21"/>
    </row>
    <row r="46" spans="1:25" thickTop="1" thickBot="1">
      <c r="A46" s="15" t="s">
        <v>150</v>
      </c>
      <c r="B46" s="15">
        <v>0</v>
      </c>
      <c r="C46" s="19">
        <v>500</v>
      </c>
      <c r="D46" s="25">
        <v>1</v>
      </c>
      <c r="E46" s="26" t="s">
        <v>348</v>
      </c>
      <c r="F46" s="26" t="s">
        <v>549</v>
      </c>
      <c r="G46" s="31">
        <v>44075</v>
      </c>
      <c r="H46" s="27"/>
      <c r="I46" s="34"/>
      <c r="J46" s="23">
        <f t="shared" si="7"/>
        <v>118800</v>
      </c>
      <c r="L46" s="14">
        <v>45047</v>
      </c>
      <c r="M46" s="20">
        <f t="shared" si="8"/>
        <v>12400</v>
      </c>
      <c r="N46" s="20">
        <f t="shared" si="9"/>
        <v>10</v>
      </c>
      <c r="O46" s="21">
        <f t="shared" si="10"/>
        <v>0</v>
      </c>
      <c r="P46" s="21">
        <f t="shared" si="11"/>
        <v>5700</v>
      </c>
      <c r="Q46" s="21">
        <f t="shared" si="12"/>
        <v>6700</v>
      </c>
      <c r="R46" s="21">
        <f t="shared" si="13"/>
        <v>0</v>
      </c>
      <c r="S46" s="21">
        <f t="shared" si="14"/>
        <v>0</v>
      </c>
      <c r="T46" s="21"/>
      <c r="U46" s="21"/>
      <c r="V46" s="21"/>
      <c r="W46" s="21"/>
      <c r="X46" s="21"/>
      <c r="Y46" s="21"/>
    </row>
    <row r="47" spans="1:25" thickTop="1" thickBot="1">
      <c r="A47" s="15" t="s">
        <v>155</v>
      </c>
      <c r="B47" s="15">
        <v>600</v>
      </c>
      <c r="C47" s="19">
        <v>2000</v>
      </c>
      <c r="D47" s="25">
        <v>2</v>
      </c>
      <c r="E47" s="26" t="s">
        <v>357</v>
      </c>
      <c r="F47" s="26" t="s">
        <v>550</v>
      </c>
      <c r="G47" s="31">
        <v>44075</v>
      </c>
      <c r="H47" s="27"/>
      <c r="I47" s="34"/>
      <c r="J47" s="23">
        <f t="shared" si="7"/>
        <v>120800</v>
      </c>
      <c r="L47" s="14">
        <v>45078</v>
      </c>
      <c r="M47" s="20">
        <f t="shared" si="8"/>
        <v>8900</v>
      </c>
      <c r="N47" s="20">
        <f t="shared" si="9"/>
        <v>9</v>
      </c>
      <c r="O47" s="21">
        <f t="shared" si="10"/>
        <v>3200</v>
      </c>
      <c r="P47" s="21">
        <f t="shared" si="11"/>
        <v>0</v>
      </c>
      <c r="Q47" s="21">
        <f t="shared" si="12"/>
        <v>5000</v>
      </c>
      <c r="R47" s="21">
        <f t="shared" si="13"/>
        <v>700</v>
      </c>
      <c r="S47" s="21">
        <f t="shared" si="14"/>
        <v>0</v>
      </c>
      <c r="T47" s="21">
        <f>O45+O46+O47</f>
        <v>5700</v>
      </c>
      <c r="U47" s="21">
        <f>P45+P46+P47</f>
        <v>5700</v>
      </c>
      <c r="V47" s="21">
        <f>Q45+Q46+Q47</f>
        <v>11700</v>
      </c>
      <c r="W47" s="21">
        <f>R45+R46+R47</f>
        <v>700</v>
      </c>
      <c r="X47" s="21">
        <f>S45+S46+S47</f>
        <v>0</v>
      </c>
      <c r="Y47" s="21">
        <f>(M45+M46+M47)/(N45+N46+N47)</f>
        <v>1190</v>
      </c>
    </row>
    <row r="48" spans="1:25" thickTop="1" thickBot="1">
      <c r="A48" s="15" t="s">
        <v>165</v>
      </c>
      <c r="B48" s="15">
        <v>1650</v>
      </c>
      <c r="C48" s="19">
        <v>200</v>
      </c>
      <c r="D48" s="25">
        <v>1</v>
      </c>
      <c r="E48" s="26" t="s">
        <v>349</v>
      </c>
      <c r="F48" s="26" t="s">
        <v>548</v>
      </c>
      <c r="G48" s="31">
        <v>44105</v>
      </c>
      <c r="H48" s="27"/>
      <c r="I48" s="34"/>
      <c r="J48" s="23">
        <f t="shared" si="7"/>
        <v>121000</v>
      </c>
      <c r="L48" s="14">
        <v>45108</v>
      </c>
      <c r="M48" s="20">
        <f t="shared" si="8"/>
        <v>4000</v>
      </c>
      <c r="N48" s="20">
        <f t="shared" si="9"/>
        <v>1</v>
      </c>
      <c r="O48" s="21">
        <f t="shared" si="10"/>
        <v>0</v>
      </c>
      <c r="P48" s="21">
        <f t="shared" si="11"/>
        <v>4000</v>
      </c>
      <c r="Q48" s="21">
        <f t="shared" si="12"/>
        <v>0</v>
      </c>
      <c r="R48" s="21">
        <f t="shared" si="13"/>
        <v>0</v>
      </c>
      <c r="S48" s="21">
        <f t="shared" si="14"/>
        <v>0</v>
      </c>
      <c r="T48" s="21"/>
      <c r="U48" s="21"/>
      <c r="V48" s="21"/>
      <c r="W48" s="21"/>
      <c r="X48" s="21"/>
      <c r="Y48" s="21"/>
    </row>
    <row r="49" spans="1:25" thickTop="1" thickBot="1">
      <c r="A49" s="15" t="s">
        <v>205</v>
      </c>
      <c r="B49" s="15">
        <v>900</v>
      </c>
      <c r="C49" s="19">
        <v>1500</v>
      </c>
      <c r="D49" s="25">
        <v>4</v>
      </c>
      <c r="E49" s="26" t="s">
        <v>352</v>
      </c>
      <c r="F49" s="26" t="s">
        <v>549</v>
      </c>
      <c r="G49" s="31">
        <v>44105</v>
      </c>
      <c r="H49" s="27"/>
      <c r="I49" s="34"/>
      <c r="J49" s="23">
        <f t="shared" si="7"/>
        <v>122500</v>
      </c>
      <c r="L49" s="14">
        <v>45139</v>
      </c>
      <c r="M49" s="20">
        <f t="shared" si="8"/>
        <v>6000</v>
      </c>
      <c r="N49" s="20">
        <f t="shared" si="9"/>
        <v>3</v>
      </c>
      <c r="O49" s="21">
        <f t="shared" si="10"/>
        <v>3000</v>
      </c>
      <c r="P49" s="21">
        <f t="shared" si="11"/>
        <v>0</v>
      </c>
      <c r="Q49" s="21">
        <f t="shared" si="12"/>
        <v>3000</v>
      </c>
      <c r="R49" s="21">
        <f t="shared" si="13"/>
        <v>0</v>
      </c>
      <c r="S49" s="21">
        <f t="shared" si="14"/>
        <v>0</v>
      </c>
      <c r="T49" s="21"/>
      <c r="U49" s="21"/>
      <c r="V49" s="21"/>
      <c r="W49" s="21"/>
      <c r="X49" s="21"/>
      <c r="Y49" s="21"/>
    </row>
    <row r="50" spans="1:25" thickTop="1" thickBot="1">
      <c r="A50" s="15" t="s">
        <v>206</v>
      </c>
      <c r="B50" s="15">
        <v>1800</v>
      </c>
      <c r="C50" s="19">
        <v>2100</v>
      </c>
      <c r="D50" s="25">
        <v>5</v>
      </c>
      <c r="E50" s="26" t="s">
        <v>355</v>
      </c>
      <c r="F50" s="26" t="s">
        <v>549</v>
      </c>
      <c r="G50" s="31">
        <v>44105</v>
      </c>
      <c r="H50" s="27"/>
      <c r="I50" s="34"/>
      <c r="J50" s="23">
        <f t="shared" si="7"/>
        <v>124600</v>
      </c>
      <c r="L50" s="14">
        <v>45170</v>
      </c>
      <c r="M50" s="20">
        <f t="shared" si="8"/>
        <v>2000</v>
      </c>
      <c r="N50" s="20">
        <f t="shared" si="9"/>
        <v>1</v>
      </c>
      <c r="O50" s="21">
        <f t="shared" si="10"/>
        <v>0</v>
      </c>
      <c r="P50" s="21">
        <f t="shared" si="11"/>
        <v>0</v>
      </c>
      <c r="Q50" s="21">
        <f t="shared" si="12"/>
        <v>2000</v>
      </c>
      <c r="R50" s="21">
        <f t="shared" si="13"/>
        <v>0</v>
      </c>
      <c r="S50" s="21">
        <f t="shared" si="14"/>
        <v>0</v>
      </c>
      <c r="T50" s="21">
        <f>O48+O49+O50</f>
        <v>3000</v>
      </c>
      <c r="U50" s="21">
        <f>P48+P49+P50</f>
        <v>4000</v>
      </c>
      <c r="V50" s="21">
        <f>Q48+Q49+Q50</f>
        <v>5000</v>
      </c>
      <c r="W50" s="21">
        <f>R48+R49+R50</f>
        <v>0</v>
      </c>
      <c r="X50" s="21">
        <f>S48+S49+S50</f>
        <v>0</v>
      </c>
      <c r="Y50" s="21">
        <f>(M48+M49+M50)/(N48+N49+N50)</f>
        <v>2400</v>
      </c>
    </row>
    <row r="51" spans="1:25" thickTop="1" thickBot="1">
      <c r="A51" s="15" t="s">
        <v>225</v>
      </c>
      <c r="B51" s="15">
        <v>1600</v>
      </c>
      <c r="C51" s="19">
        <v>3000</v>
      </c>
      <c r="D51" s="25">
        <v>2</v>
      </c>
      <c r="E51" s="26" t="s">
        <v>352</v>
      </c>
      <c r="F51" s="26" t="s">
        <v>549</v>
      </c>
      <c r="G51" s="31">
        <v>44166</v>
      </c>
      <c r="H51" s="27"/>
      <c r="I51" s="34"/>
      <c r="J51" s="23">
        <f t="shared" si="7"/>
        <v>127600</v>
      </c>
      <c r="L51" s="14">
        <v>45200</v>
      </c>
      <c r="M51" s="20">
        <f t="shared" si="8"/>
        <v>4500</v>
      </c>
      <c r="N51" s="20">
        <f t="shared" si="9"/>
        <v>16</v>
      </c>
      <c r="O51" s="21">
        <f t="shared" si="10"/>
        <v>0</v>
      </c>
      <c r="P51" s="21">
        <f t="shared" si="11"/>
        <v>0</v>
      </c>
      <c r="Q51" s="21">
        <f t="shared" si="12"/>
        <v>4500</v>
      </c>
      <c r="R51" s="21">
        <f t="shared" si="13"/>
        <v>0</v>
      </c>
      <c r="S51" s="21">
        <f t="shared" si="14"/>
        <v>0</v>
      </c>
      <c r="T51" s="21"/>
      <c r="U51" s="21"/>
      <c r="V51" s="21"/>
      <c r="W51" s="21"/>
      <c r="X51" s="21"/>
      <c r="Y51" s="21"/>
    </row>
    <row r="52" spans="1:25" thickTop="1" thickBot="1">
      <c r="A52" s="15" t="s">
        <v>226</v>
      </c>
      <c r="B52" s="15">
        <v>0</v>
      </c>
      <c r="C52" s="19">
        <v>500</v>
      </c>
      <c r="D52" s="25">
        <v>1</v>
      </c>
      <c r="E52" s="26" t="s">
        <v>350</v>
      </c>
      <c r="F52" s="26" t="s">
        <v>547</v>
      </c>
      <c r="G52" s="31">
        <v>44166</v>
      </c>
      <c r="H52" s="27"/>
      <c r="I52" s="34"/>
      <c r="J52" s="23">
        <f t="shared" si="7"/>
        <v>128100</v>
      </c>
      <c r="L52" s="14">
        <v>45231</v>
      </c>
      <c r="M52" s="20">
        <f t="shared" si="8"/>
        <v>0</v>
      </c>
      <c r="N52" s="20">
        <f t="shared" si="9"/>
        <v>8</v>
      </c>
      <c r="O52" s="21">
        <f t="shared" si="10"/>
        <v>0</v>
      </c>
      <c r="P52" s="21">
        <f t="shared" si="11"/>
        <v>0</v>
      </c>
      <c r="Q52" s="21">
        <f t="shared" si="12"/>
        <v>0</v>
      </c>
      <c r="R52" s="21">
        <f t="shared" si="13"/>
        <v>0</v>
      </c>
      <c r="S52" s="21">
        <f t="shared" si="14"/>
        <v>0</v>
      </c>
      <c r="T52" s="21"/>
      <c r="U52" s="21"/>
      <c r="V52" s="21"/>
      <c r="W52" s="21"/>
      <c r="X52" s="21"/>
      <c r="Y52" s="21"/>
    </row>
    <row r="53" spans="1:25" thickTop="1" thickBot="1">
      <c r="A53" s="15" t="s">
        <v>229</v>
      </c>
      <c r="B53" s="15">
        <v>0</v>
      </c>
      <c r="C53" s="19">
        <v>200</v>
      </c>
      <c r="D53" s="25">
        <v>1</v>
      </c>
      <c r="E53" s="26" t="s">
        <v>348</v>
      </c>
      <c r="F53" s="26" t="s">
        <v>549</v>
      </c>
      <c r="G53" s="31">
        <v>44166</v>
      </c>
      <c r="H53" s="27" t="s">
        <v>834</v>
      </c>
      <c r="I53" s="34" t="s">
        <v>684</v>
      </c>
      <c r="J53" s="23">
        <f t="shared" si="7"/>
        <v>128300</v>
      </c>
      <c r="L53" s="14">
        <v>45261</v>
      </c>
      <c r="M53" s="20">
        <f t="shared" si="8"/>
        <v>0</v>
      </c>
      <c r="N53" s="20">
        <f t="shared" si="9"/>
        <v>0</v>
      </c>
      <c r="O53" s="21">
        <f t="shared" si="10"/>
        <v>0</v>
      </c>
      <c r="P53" s="21">
        <f t="shared" si="11"/>
        <v>0</v>
      </c>
      <c r="Q53" s="21">
        <f t="shared" si="12"/>
        <v>0</v>
      </c>
      <c r="R53" s="21">
        <f t="shared" si="13"/>
        <v>0</v>
      </c>
      <c r="S53" s="21">
        <f t="shared" si="14"/>
        <v>0</v>
      </c>
      <c r="T53" s="21">
        <f>O51+O52+O53</f>
        <v>0</v>
      </c>
      <c r="U53" s="21">
        <f>P51+P52+P53</f>
        <v>0</v>
      </c>
      <c r="V53" s="21">
        <f>Q51+Q52+Q53</f>
        <v>4500</v>
      </c>
      <c r="W53" s="21">
        <f>R51+R52+R53</f>
        <v>0</v>
      </c>
      <c r="X53" s="21">
        <f>S51+S52+S53</f>
        <v>0</v>
      </c>
      <c r="Y53" s="21">
        <f>(M51+M52+M53)/(N51+N52+N53)</f>
        <v>187.5</v>
      </c>
    </row>
    <row r="54" spans="1:25" thickTop="1" thickBot="1">
      <c r="A54" s="15" t="s">
        <v>230</v>
      </c>
      <c r="B54" s="15">
        <v>0</v>
      </c>
      <c r="C54" s="19">
        <v>500</v>
      </c>
      <c r="D54" s="25">
        <v>1</v>
      </c>
      <c r="E54" s="26" t="s">
        <v>348</v>
      </c>
      <c r="F54" s="26" t="s">
        <v>547</v>
      </c>
      <c r="G54" s="31">
        <v>44166</v>
      </c>
      <c r="H54" s="27" t="s">
        <v>305</v>
      </c>
      <c r="I54" s="34" t="s">
        <v>684</v>
      </c>
      <c r="J54" s="23">
        <f t="shared" si="7"/>
        <v>128800</v>
      </c>
      <c r="L54" s="14">
        <v>45292</v>
      </c>
      <c r="M54" s="20">
        <f t="shared" si="8"/>
        <v>2300</v>
      </c>
      <c r="N54" s="20">
        <f t="shared" si="9"/>
        <v>10</v>
      </c>
      <c r="O54" s="21">
        <f t="shared" si="10"/>
        <v>0</v>
      </c>
      <c r="P54" s="21">
        <f t="shared" si="11"/>
        <v>300</v>
      </c>
      <c r="Q54" s="21">
        <f t="shared" si="12"/>
        <v>2000</v>
      </c>
      <c r="R54" s="21">
        <f t="shared" si="13"/>
        <v>0</v>
      </c>
      <c r="S54" s="21">
        <f t="shared" si="14"/>
        <v>0</v>
      </c>
      <c r="T54" s="21"/>
      <c r="U54" s="21"/>
      <c r="V54" s="21"/>
      <c r="W54" s="21"/>
      <c r="X54" s="21"/>
      <c r="Y54" s="21"/>
    </row>
    <row r="55" spans="1:25" thickTop="1" thickBot="1">
      <c r="A55" s="15" t="s">
        <v>231</v>
      </c>
      <c r="B55" s="15">
        <v>1000</v>
      </c>
      <c r="C55" s="19">
        <v>100</v>
      </c>
      <c r="D55" s="25">
        <v>1</v>
      </c>
      <c r="E55" s="26" t="s">
        <v>357</v>
      </c>
      <c r="F55" s="26" t="s">
        <v>547</v>
      </c>
      <c r="G55" s="31">
        <v>44166</v>
      </c>
      <c r="H55" s="27"/>
      <c r="I55" s="34"/>
      <c r="J55" s="23">
        <f t="shared" si="7"/>
        <v>128900</v>
      </c>
      <c r="L55" s="14">
        <v>45323</v>
      </c>
      <c r="M55" s="20">
        <f t="shared" si="8"/>
        <v>4300</v>
      </c>
      <c r="N55" s="20">
        <f t="shared" si="9"/>
        <v>8</v>
      </c>
      <c r="O55" s="21">
        <f t="shared" si="10"/>
        <v>1500</v>
      </c>
      <c r="P55" s="21">
        <f t="shared" si="11"/>
        <v>2800</v>
      </c>
      <c r="Q55" s="21">
        <f t="shared" si="12"/>
        <v>0</v>
      </c>
      <c r="R55" s="21">
        <f t="shared" si="13"/>
        <v>0</v>
      </c>
      <c r="S55" s="21">
        <f t="shared" si="14"/>
        <v>0</v>
      </c>
      <c r="T55" s="21"/>
      <c r="U55" s="21"/>
      <c r="V55" s="21"/>
      <c r="W55" s="21"/>
      <c r="X55" s="21"/>
      <c r="Y55" s="21"/>
    </row>
    <row r="56" spans="1:25" thickTop="1" thickBot="1">
      <c r="A56" s="15" t="s">
        <v>234</v>
      </c>
      <c r="B56" s="15">
        <v>0</v>
      </c>
      <c r="C56" s="19">
        <v>400</v>
      </c>
      <c r="D56" s="25">
        <v>1</v>
      </c>
      <c r="E56" s="26" t="s">
        <v>348</v>
      </c>
      <c r="F56" s="26" t="s">
        <v>548</v>
      </c>
      <c r="G56" s="31">
        <v>44166</v>
      </c>
      <c r="H56" s="27" t="s">
        <v>829</v>
      </c>
      <c r="I56" s="34" t="s">
        <v>831</v>
      </c>
      <c r="J56" s="23">
        <f t="shared" si="7"/>
        <v>129300</v>
      </c>
      <c r="L56" s="14">
        <v>45352</v>
      </c>
      <c r="M56" s="20">
        <f t="shared" si="8"/>
        <v>7800</v>
      </c>
      <c r="N56" s="20">
        <f t="shared" si="9"/>
        <v>13</v>
      </c>
      <c r="O56" s="21">
        <f t="shared" si="10"/>
        <v>2000</v>
      </c>
      <c r="P56" s="21">
        <f t="shared" si="11"/>
        <v>2800</v>
      </c>
      <c r="Q56" s="21">
        <f t="shared" si="12"/>
        <v>3000</v>
      </c>
      <c r="R56" s="21">
        <f t="shared" si="13"/>
        <v>0</v>
      </c>
      <c r="S56" s="21">
        <f t="shared" si="14"/>
        <v>0</v>
      </c>
      <c r="T56" s="21">
        <f>O54+O55+O56</f>
        <v>3500</v>
      </c>
      <c r="U56" s="21">
        <f>P54+P55+P56</f>
        <v>5900</v>
      </c>
      <c r="V56" s="21">
        <f>Q54+Q55+Q56</f>
        <v>5000</v>
      </c>
      <c r="W56" s="21">
        <f>R54+R55+R56</f>
        <v>0</v>
      </c>
      <c r="X56" s="21">
        <f>S54+S55+S56</f>
        <v>0</v>
      </c>
      <c r="Y56" s="21">
        <f>(M54+M55+M56)/(N54+N55+N56)</f>
        <v>464.51612903225805</v>
      </c>
    </row>
    <row r="57" spans="1:25" thickTop="1" thickBot="1">
      <c r="A57" s="15" t="s">
        <v>235</v>
      </c>
      <c r="B57" s="15">
        <v>400</v>
      </c>
      <c r="C57" s="19">
        <v>2000</v>
      </c>
      <c r="D57" s="25">
        <v>1</v>
      </c>
      <c r="E57" s="26" t="s">
        <v>357</v>
      </c>
      <c r="F57" s="26" t="s">
        <v>547</v>
      </c>
      <c r="G57" s="31">
        <v>44166</v>
      </c>
      <c r="H57" s="27"/>
      <c r="I57" s="34"/>
      <c r="J57" s="23">
        <f t="shared" si="7"/>
        <v>131300</v>
      </c>
      <c r="L57" s="14">
        <v>45383</v>
      </c>
      <c r="M57" s="20">
        <f t="shared" si="8"/>
        <v>3700</v>
      </c>
      <c r="N57" s="20">
        <f t="shared" si="9"/>
        <v>7</v>
      </c>
      <c r="O57" s="21">
        <f t="shared" si="10"/>
        <v>0</v>
      </c>
      <c r="P57" s="21">
        <f t="shared" si="11"/>
        <v>0</v>
      </c>
      <c r="Q57" s="21">
        <f t="shared" si="12"/>
        <v>3700</v>
      </c>
      <c r="R57" s="21">
        <f t="shared" si="13"/>
        <v>0</v>
      </c>
      <c r="S57" s="21">
        <f t="shared" si="14"/>
        <v>0</v>
      </c>
      <c r="T57" s="21"/>
      <c r="U57" s="21"/>
      <c r="V57" s="21"/>
      <c r="W57" s="21"/>
      <c r="X57" s="21"/>
      <c r="Y57" s="21"/>
    </row>
    <row r="58" spans="1:25" thickTop="1" thickBot="1">
      <c r="A58" s="15" t="s">
        <v>265</v>
      </c>
      <c r="B58" s="15">
        <v>0</v>
      </c>
      <c r="C58" s="19">
        <v>3000</v>
      </c>
      <c r="D58" s="25">
        <v>1</v>
      </c>
      <c r="E58" s="26" t="s">
        <v>350</v>
      </c>
      <c r="F58" s="26" t="s">
        <v>550</v>
      </c>
      <c r="G58" s="31">
        <v>44197</v>
      </c>
      <c r="H58" s="27" t="s">
        <v>307</v>
      </c>
      <c r="I58" s="34" t="s">
        <v>684</v>
      </c>
      <c r="J58" s="23">
        <f t="shared" si="7"/>
        <v>134300</v>
      </c>
      <c r="L58" s="14">
        <v>45413</v>
      </c>
      <c r="M58" s="20">
        <f t="shared" si="8"/>
        <v>13400</v>
      </c>
      <c r="N58" s="20">
        <f t="shared" si="9"/>
        <v>4</v>
      </c>
      <c r="O58" s="21">
        <f t="shared" si="10"/>
        <v>0</v>
      </c>
      <c r="P58" s="21">
        <f t="shared" si="11"/>
        <v>11000</v>
      </c>
      <c r="Q58" s="21">
        <f t="shared" si="12"/>
        <v>2400</v>
      </c>
      <c r="R58" s="21">
        <f t="shared" si="13"/>
        <v>0</v>
      </c>
      <c r="S58" s="21">
        <f t="shared" si="14"/>
        <v>0</v>
      </c>
      <c r="T58" s="21"/>
      <c r="U58" s="21"/>
      <c r="V58" s="21"/>
      <c r="W58" s="21"/>
      <c r="X58" s="21"/>
      <c r="Y58" s="21"/>
    </row>
    <row r="59" spans="1:25" thickTop="1" thickBot="1">
      <c r="A59" s="15" t="s">
        <v>266</v>
      </c>
      <c r="B59" s="15">
        <v>0</v>
      </c>
      <c r="C59" s="19">
        <v>3500</v>
      </c>
      <c r="D59" s="25">
        <v>1</v>
      </c>
      <c r="E59" s="26" t="s">
        <v>350</v>
      </c>
      <c r="F59" s="26" t="s">
        <v>550</v>
      </c>
      <c r="G59" s="31">
        <v>44197</v>
      </c>
      <c r="H59" s="27" t="s">
        <v>307</v>
      </c>
      <c r="I59" s="34" t="s">
        <v>684</v>
      </c>
      <c r="J59" s="23">
        <f t="shared" si="7"/>
        <v>137800</v>
      </c>
      <c r="L59" s="14">
        <v>45444</v>
      </c>
      <c r="M59" s="20">
        <f t="shared" si="8"/>
        <v>2000</v>
      </c>
      <c r="N59" s="20">
        <f t="shared" si="9"/>
        <v>7</v>
      </c>
      <c r="O59" s="21">
        <f t="shared" si="10"/>
        <v>0</v>
      </c>
      <c r="P59" s="21">
        <f t="shared" si="11"/>
        <v>0</v>
      </c>
      <c r="Q59" s="21">
        <f t="shared" si="12"/>
        <v>2000</v>
      </c>
      <c r="R59" s="21">
        <f t="shared" si="13"/>
        <v>0</v>
      </c>
      <c r="S59" s="21">
        <f t="shared" si="14"/>
        <v>0</v>
      </c>
      <c r="T59" s="21">
        <f>O57+O58+O59</f>
        <v>0</v>
      </c>
      <c r="U59" s="21">
        <f>P57+P58+P59</f>
        <v>11000</v>
      </c>
      <c r="V59" s="21">
        <f>Q57+Q58+Q59</f>
        <v>8100</v>
      </c>
      <c r="W59" s="21">
        <f>R57+R58+R59</f>
        <v>0</v>
      </c>
      <c r="X59" s="21">
        <f>S57+S58+S59</f>
        <v>0</v>
      </c>
      <c r="Y59" s="21">
        <f>(M57+M58+M59)/(N57+N58+N59)</f>
        <v>1061.1111111111111</v>
      </c>
    </row>
    <row r="60" spans="1:25" thickTop="1" thickBot="1">
      <c r="A60" s="15" t="s">
        <v>267</v>
      </c>
      <c r="B60" s="15">
        <v>0</v>
      </c>
      <c r="C60" s="19">
        <v>2800</v>
      </c>
      <c r="D60" s="25">
        <v>1</v>
      </c>
      <c r="E60" s="26" t="s">
        <v>352</v>
      </c>
      <c r="F60" s="26" t="s">
        <v>549</v>
      </c>
      <c r="G60" s="31">
        <v>44197</v>
      </c>
      <c r="H60" s="27" t="s">
        <v>834</v>
      </c>
      <c r="I60" s="34" t="s">
        <v>684</v>
      </c>
      <c r="J60" s="23">
        <f t="shared" si="7"/>
        <v>140600</v>
      </c>
      <c r="L60" s="14">
        <v>45474</v>
      </c>
      <c r="M60" s="20">
        <f t="shared" si="8"/>
        <v>0</v>
      </c>
      <c r="N60" s="20">
        <f t="shared" si="9"/>
        <v>4</v>
      </c>
      <c r="O60" s="21">
        <f t="shared" si="10"/>
        <v>0</v>
      </c>
      <c r="P60" s="21">
        <f t="shared" si="11"/>
        <v>0</v>
      </c>
      <c r="Q60" s="21">
        <f t="shared" si="12"/>
        <v>0</v>
      </c>
      <c r="R60" s="21">
        <f t="shared" si="13"/>
        <v>0</v>
      </c>
      <c r="S60" s="21">
        <f t="shared" si="14"/>
        <v>0</v>
      </c>
      <c r="T60" s="21"/>
      <c r="U60" s="21"/>
      <c r="V60" s="21"/>
      <c r="W60" s="21"/>
      <c r="X60" s="21"/>
      <c r="Y60" s="21"/>
    </row>
    <row r="61" spans="1:25" thickTop="1" thickBot="1">
      <c r="A61" s="15" t="s">
        <v>268</v>
      </c>
      <c r="B61" s="15">
        <v>300</v>
      </c>
      <c r="C61" s="19">
        <v>1000</v>
      </c>
      <c r="D61" s="25">
        <v>1</v>
      </c>
      <c r="E61" s="26" t="s">
        <v>348</v>
      </c>
      <c r="F61" s="26" t="s">
        <v>549</v>
      </c>
      <c r="G61" s="31">
        <v>44197</v>
      </c>
      <c r="H61" s="27"/>
      <c r="I61" s="34"/>
      <c r="J61" s="23">
        <f t="shared" si="7"/>
        <v>141600</v>
      </c>
      <c r="L61" s="14">
        <v>45505</v>
      </c>
      <c r="M61" s="20">
        <f t="shared" si="8"/>
        <v>700</v>
      </c>
      <c r="N61" s="20">
        <f t="shared" si="9"/>
        <v>5</v>
      </c>
      <c r="O61" s="21">
        <f t="shared" si="10"/>
        <v>700</v>
      </c>
      <c r="P61" s="21">
        <f t="shared" si="11"/>
        <v>0</v>
      </c>
      <c r="Q61" s="21">
        <f t="shared" si="12"/>
        <v>0</v>
      </c>
      <c r="R61" s="21">
        <f t="shared" si="13"/>
        <v>0</v>
      </c>
      <c r="S61" s="21">
        <f t="shared" si="14"/>
        <v>0</v>
      </c>
      <c r="T61" s="21"/>
      <c r="U61" s="21"/>
      <c r="V61" s="21"/>
      <c r="W61" s="21"/>
      <c r="X61" s="21"/>
      <c r="Y61" s="21"/>
    </row>
    <row r="62" spans="1:25" thickTop="1" thickBot="1">
      <c r="A62" s="15" t="s">
        <v>269</v>
      </c>
      <c r="B62" s="15">
        <v>300</v>
      </c>
      <c r="C62" s="19">
        <v>1500</v>
      </c>
      <c r="D62" s="25">
        <v>1</v>
      </c>
      <c r="E62" s="26" t="s">
        <v>348</v>
      </c>
      <c r="F62" s="26" t="s">
        <v>549</v>
      </c>
      <c r="G62" s="31">
        <v>44197</v>
      </c>
      <c r="H62" s="27"/>
      <c r="I62" s="34"/>
      <c r="J62" s="23">
        <f t="shared" si="7"/>
        <v>143100</v>
      </c>
      <c r="L62" s="14">
        <v>45536</v>
      </c>
      <c r="M62" s="20">
        <f t="shared" si="8"/>
        <v>9966</v>
      </c>
      <c r="N62" s="20">
        <f t="shared" si="9"/>
        <v>13</v>
      </c>
      <c r="O62" s="21">
        <f t="shared" si="10"/>
        <v>0</v>
      </c>
      <c r="P62" s="21">
        <f t="shared" si="11"/>
        <v>0</v>
      </c>
      <c r="Q62" s="21">
        <f t="shared" si="12"/>
        <v>9966</v>
      </c>
      <c r="R62" s="21">
        <f t="shared" si="13"/>
        <v>0</v>
      </c>
      <c r="S62" s="21">
        <f t="shared" si="14"/>
        <v>0</v>
      </c>
      <c r="T62" s="21">
        <f>O60+O61+O62</f>
        <v>700</v>
      </c>
      <c r="U62" s="21">
        <f>P60+P61+P62</f>
        <v>0</v>
      </c>
      <c r="V62" s="21">
        <f>Q60+Q61+Q62</f>
        <v>9966</v>
      </c>
      <c r="W62" s="21">
        <f>R60+R61+R62</f>
        <v>0</v>
      </c>
      <c r="X62" s="21">
        <f>S60+S61+S62</f>
        <v>0</v>
      </c>
      <c r="Y62" s="21">
        <f>(M60+M61+M62)/(N60+N61+N62)</f>
        <v>484.81818181818181</v>
      </c>
    </row>
    <row r="63" spans="1:25" thickTop="1" thickBot="1">
      <c r="A63" s="15" t="s">
        <v>270</v>
      </c>
      <c r="B63" s="15">
        <v>300</v>
      </c>
      <c r="C63" s="19">
        <v>500</v>
      </c>
      <c r="D63" s="25">
        <v>1</v>
      </c>
      <c r="E63" s="26" t="s">
        <v>348</v>
      </c>
      <c r="F63" s="26" t="s">
        <v>549</v>
      </c>
      <c r="G63" s="31">
        <v>44197</v>
      </c>
      <c r="H63" s="27"/>
      <c r="I63" s="34"/>
      <c r="J63" s="23">
        <f t="shared" si="7"/>
        <v>143600</v>
      </c>
      <c r="L63" s="14">
        <v>45566</v>
      </c>
      <c r="M63" s="20"/>
      <c r="N63" s="20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 spans="1:25" thickTop="1" thickBot="1">
      <c r="A64" s="15" t="s">
        <v>271</v>
      </c>
      <c r="B64" s="15">
        <v>0</v>
      </c>
      <c r="C64" s="19">
        <v>1500</v>
      </c>
      <c r="D64" s="25">
        <v>1</v>
      </c>
      <c r="E64" s="26" t="s">
        <v>356</v>
      </c>
      <c r="F64" s="26" t="s">
        <v>547</v>
      </c>
      <c r="G64" s="31">
        <v>44197</v>
      </c>
      <c r="H64" s="27"/>
      <c r="I64" s="34"/>
      <c r="J64" s="23">
        <f t="shared" si="7"/>
        <v>145100</v>
      </c>
      <c r="L64" s="14">
        <v>45597</v>
      </c>
      <c r="M64" s="20"/>
      <c r="N64" s="20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 spans="1:25" thickTop="1" thickBot="1">
      <c r="A65" s="15" t="s">
        <v>119</v>
      </c>
      <c r="B65" s="15">
        <v>0</v>
      </c>
      <c r="C65" s="19">
        <v>1500</v>
      </c>
      <c r="D65" s="25">
        <v>0</v>
      </c>
      <c r="E65" s="26" t="s">
        <v>354</v>
      </c>
      <c r="F65" s="26" t="s">
        <v>547</v>
      </c>
      <c r="G65" s="31">
        <v>44197</v>
      </c>
      <c r="H65" s="27"/>
      <c r="I65" s="34"/>
      <c r="J65" s="23">
        <f t="shared" si="7"/>
        <v>146600</v>
      </c>
      <c r="L65" s="14">
        <v>45627</v>
      </c>
      <c r="M65" s="20"/>
      <c r="N65" s="20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</row>
    <row r="66" spans="1:25" thickTop="1" thickBot="1">
      <c r="A66" s="15" t="s">
        <v>119</v>
      </c>
      <c r="B66" s="15">
        <v>0</v>
      </c>
      <c r="C66" s="19">
        <v>800</v>
      </c>
      <c r="D66" s="25">
        <v>0</v>
      </c>
      <c r="E66" s="26" t="s">
        <v>354</v>
      </c>
      <c r="F66" s="26" t="s">
        <v>547</v>
      </c>
      <c r="G66" s="31">
        <v>44197</v>
      </c>
      <c r="H66" s="27"/>
      <c r="I66" s="34"/>
      <c r="J66" s="23">
        <f t="shared" si="7"/>
        <v>147400</v>
      </c>
    </row>
    <row r="67" spans="1:25" thickTop="1" thickBot="1">
      <c r="A67" s="15" t="s">
        <v>304</v>
      </c>
      <c r="B67" s="15">
        <v>0</v>
      </c>
      <c r="C67" s="19">
        <v>1000</v>
      </c>
      <c r="D67" s="25">
        <v>1</v>
      </c>
      <c r="E67" s="26" t="s">
        <v>350</v>
      </c>
      <c r="F67" s="26" t="s">
        <v>549</v>
      </c>
      <c r="G67" s="31">
        <v>44228</v>
      </c>
      <c r="H67" s="27" t="s">
        <v>829</v>
      </c>
      <c r="I67" s="34" t="s">
        <v>831</v>
      </c>
      <c r="J67" s="23">
        <f t="shared" si="7"/>
        <v>148400</v>
      </c>
    </row>
    <row r="68" spans="1:25" thickTop="1" thickBot="1">
      <c r="A68" s="15" t="s">
        <v>305</v>
      </c>
      <c r="B68" s="15">
        <v>600</v>
      </c>
      <c r="C68" s="19">
        <v>0</v>
      </c>
      <c r="D68" s="25">
        <v>1</v>
      </c>
      <c r="E68" s="26" t="s">
        <v>348</v>
      </c>
      <c r="F68" s="26" t="s">
        <v>549</v>
      </c>
      <c r="G68" s="31">
        <v>44228</v>
      </c>
      <c r="H68" s="27"/>
      <c r="I68" s="34"/>
      <c r="J68" s="23">
        <f t="shared" si="7"/>
        <v>148400</v>
      </c>
    </row>
    <row r="69" spans="1:25" thickTop="1" thickBot="1">
      <c r="A69" s="15" t="s">
        <v>306</v>
      </c>
      <c r="B69" s="15">
        <v>0</v>
      </c>
      <c r="C69" s="19">
        <v>0</v>
      </c>
      <c r="D69" s="25">
        <v>1</v>
      </c>
      <c r="E69" s="26" t="s">
        <v>348</v>
      </c>
      <c r="F69" s="26" t="s">
        <v>549</v>
      </c>
      <c r="G69" s="31">
        <v>44228</v>
      </c>
      <c r="H69" s="27" t="s">
        <v>829</v>
      </c>
      <c r="I69" s="34" t="s">
        <v>830</v>
      </c>
      <c r="J69" s="23">
        <f t="shared" ref="J69:J132" si="15">SUM(C69,J68)</f>
        <v>148400</v>
      </c>
    </row>
    <row r="70" spans="1:25" thickTop="1" thickBot="1">
      <c r="A70" s="15" t="s">
        <v>308</v>
      </c>
      <c r="B70" s="15">
        <v>0</v>
      </c>
      <c r="C70" s="19">
        <v>3000</v>
      </c>
      <c r="D70" s="25">
        <v>1</v>
      </c>
      <c r="E70" s="26" t="s">
        <v>350</v>
      </c>
      <c r="F70" s="26" t="s">
        <v>549</v>
      </c>
      <c r="G70" s="31">
        <v>44228</v>
      </c>
      <c r="H70" s="27" t="s">
        <v>307</v>
      </c>
      <c r="I70" s="34" t="s">
        <v>684</v>
      </c>
      <c r="J70" s="23">
        <f t="shared" si="15"/>
        <v>151400</v>
      </c>
    </row>
    <row r="71" spans="1:25" thickTop="1" thickBot="1">
      <c r="A71" s="15" t="s">
        <v>309</v>
      </c>
      <c r="B71" s="15">
        <v>1500</v>
      </c>
      <c r="C71" s="19">
        <v>0</v>
      </c>
      <c r="D71" s="25">
        <v>1</v>
      </c>
      <c r="E71" s="26" t="s">
        <v>350</v>
      </c>
      <c r="F71" s="26" t="s">
        <v>549</v>
      </c>
      <c r="G71" s="31">
        <v>44228</v>
      </c>
      <c r="H71" s="27"/>
      <c r="I71" s="34"/>
      <c r="J71" s="23">
        <f t="shared" si="15"/>
        <v>151400</v>
      </c>
    </row>
    <row r="72" spans="1:25" thickTop="1" thickBot="1">
      <c r="A72" s="15" t="s">
        <v>310</v>
      </c>
      <c r="B72" s="15">
        <v>0</v>
      </c>
      <c r="C72" s="19">
        <v>0</v>
      </c>
      <c r="D72" s="25">
        <v>2</v>
      </c>
      <c r="E72" s="26" t="s">
        <v>357</v>
      </c>
      <c r="F72" s="26" t="s">
        <v>549</v>
      </c>
      <c r="G72" s="31">
        <v>44228</v>
      </c>
      <c r="H72" s="27"/>
      <c r="I72" s="34"/>
      <c r="J72" s="23">
        <f t="shared" si="15"/>
        <v>151400</v>
      </c>
    </row>
    <row r="73" spans="1:25" thickTop="1" thickBot="1">
      <c r="A73" s="15" t="s">
        <v>335</v>
      </c>
      <c r="B73" s="15">
        <v>0</v>
      </c>
      <c r="C73" s="19">
        <v>800</v>
      </c>
      <c r="D73" s="25">
        <v>0</v>
      </c>
      <c r="E73" s="26" t="s">
        <v>354</v>
      </c>
      <c r="F73" s="26" t="s">
        <v>547</v>
      </c>
      <c r="G73" s="31">
        <v>44228</v>
      </c>
      <c r="H73" s="27"/>
      <c r="I73" s="34"/>
      <c r="J73" s="23">
        <f t="shared" si="15"/>
        <v>152200</v>
      </c>
    </row>
    <row r="74" spans="1:25" thickTop="1" thickBot="1">
      <c r="A74" s="15" t="s">
        <v>341</v>
      </c>
      <c r="B74" s="15">
        <v>0</v>
      </c>
      <c r="C74" s="19">
        <v>1100</v>
      </c>
      <c r="D74" s="25">
        <v>1</v>
      </c>
      <c r="E74" s="26" t="s">
        <v>348</v>
      </c>
      <c r="F74" s="26" t="s">
        <v>548</v>
      </c>
      <c r="G74" s="31">
        <v>44256</v>
      </c>
      <c r="H74" s="27"/>
      <c r="I74" s="34"/>
      <c r="J74" s="23">
        <f t="shared" si="15"/>
        <v>153300</v>
      </c>
    </row>
    <row r="75" spans="1:25" thickTop="1" thickBot="1">
      <c r="A75" s="15" t="s">
        <v>342</v>
      </c>
      <c r="B75" s="15">
        <v>0</v>
      </c>
      <c r="C75" s="19">
        <v>400</v>
      </c>
      <c r="D75" s="25">
        <v>1</v>
      </c>
      <c r="E75" s="26" t="s">
        <v>349</v>
      </c>
      <c r="F75" s="26" t="s">
        <v>550</v>
      </c>
      <c r="G75" s="31">
        <v>44256</v>
      </c>
      <c r="H75" s="27"/>
      <c r="I75" s="34"/>
      <c r="J75" s="23">
        <f t="shared" si="15"/>
        <v>153700</v>
      </c>
    </row>
    <row r="76" spans="1:25" thickTop="1" thickBot="1">
      <c r="A76" s="15" t="s">
        <v>342</v>
      </c>
      <c r="B76" s="15">
        <v>0</v>
      </c>
      <c r="C76" s="19">
        <v>250</v>
      </c>
      <c r="D76" s="25">
        <v>1</v>
      </c>
      <c r="E76" s="26" t="s">
        <v>349</v>
      </c>
      <c r="F76" s="26" t="s">
        <v>550</v>
      </c>
      <c r="G76" s="31">
        <v>44256</v>
      </c>
      <c r="H76" s="27"/>
      <c r="I76" s="34"/>
      <c r="J76" s="23">
        <f t="shared" si="15"/>
        <v>153950</v>
      </c>
    </row>
    <row r="77" spans="1:25" thickTop="1" thickBot="1">
      <c r="A77" s="15" t="s">
        <v>342</v>
      </c>
      <c r="B77" s="15">
        <v>0</v>
      </c>
      <c r="C77" s="19">
        <v>150</v>
      </c>
      <c r="D77" s="25">
        <v>1</v>
      </c>
      <c r="E77" s="26" t="s">
        <v>349</v>
      </c>
      <c r="F77" s="26" t="s">
        <v>550</v>
      </c>
      <c r="G77" s="31">
        <v>44256</v>
      </c>
      <c r="H77" s="27"/>
      <c r="I77" s="34"/>
      <c r="J77" s="23">
        <f t="shared" si="15"/>
        <v>154100</v>
      </c>
    </row>
    <row r="78" spans="1:25" thickTop="1" thickBot="1">
      <c r="A78" s="15" t="s">
        <v>343</v>
      </c>
      <c r="B78" s="15">
        <v>0</v>
      </c>
      <c r="C78" s="19">
        <v>50</v>
      </c>
      <c r="D78" s="25">
        <v>1</v>
      </c>
      <c r="E78" s="26" t="s">
        <v>348</v>
      </c>
      <c r="F78" s="26" t="s">
        <v>550</v>
      </c>
      <c r="G78" s="31">
        <v>44256</v>
      </c>
      <c r="H78" s="27"/>
      <c r="I78" s="34"/>
      <c r="J78" s="23">
        <f t="shared" si="15"/>
        <v>154150</v>
      </c>
    </row>
    <row r="79" spans="1:25" thickTop="1" thickBot="1">
      <c r="A79" s="15" t="s">
        <v>344</v>
      </c>
      <c r="B79" s="15">
        <v>0</v>
      </c>
      <c r="C79" s="19">
        <v>300</v>
      </c>
      <c r="D79" s="25">
        <v>1</v>
      </c>
      <c r="E79" s="26" t="s">
        <v>348</v>
      </c>
      <c r="F79" s="26" t="s">
        <v>548</v>
      </c>
      <c r="G79" s="31">
        <v>44256</v>
      </c>
      <c r="H79" s="27" t="s">
        <v>834</v>
      </c>
      <c r="I79" s="34" t="s">
        <v>830</v>
      </c>
      <c r="J79" s="23">
        <f t="shared" si="15"/>
        <v>154450</v>
      </c>
    </row>
    <row r="80" spans="1:25" thickTop="1" thickBot="1">
      <c r="A80" s="15" t="s">
        <v>345</v>
      </c>
      <c r="B80" s="15">
        <v>0</v>
      </c>
      <c r="C80" s="19">
        <v>0</v>
      </c>
      <c r="D80" s="25">
        <v>1</v>
      </c>
      <c r="E80" s="26" t="s">
        <v>348</v>
      </c>
      <c r="F80" s="26" t="s">
        <v>549</v>
      </c>
      <c r="G80" s="31">
        <v>44256</v>
      </c>
      <c r="H80" s="27" t="s">
        <v>834</v>
      </c>
      <c r="I80" s="34" t="s">
        <v>830</v>
      </c>
      <c r="J80" s="23">
        <f t="shared" si="15"/>
        <v>154450</v>
      </c>
    </row>
    <row r="81" spans="1:10" thickTop="1" thickBot="1">
      <c r="A81" s="15" t="s">
        <v>363</v>
      </c>
      <c r="B81" s="15">
        <v>0</v>
      </c>
      <c r="C81" s="19">
        <v>500</v>
      </c>
      <c r="D81" s="25">
        <v>1</v>
      </c>
      <c r="E81" s="26" t="s">
        <v>349</v>
      </c>
      <c r="F81" s="26" t="s">
        <v>550</v>
      </c>
      <c r="G81" s="31">
        <v>44256</v>
      </c>
      <c r="H81" s="27"/>
      <c r="I81" s="34"/>
      <c r="J81" s="23">
        <f t="shared" si="15"/>
        <v>154950</v>
      </c>
    </row>
    <row r="82" spans="1:10" thickTop="1" thickBot="1">
      <c r="A82" s="15" t="s">
        <v>369</v>
      </c>
      <c r="B82" s="15">
        <v>2400</v>
      </c>
      <c r="C82" s="19">
        <v>750</v>
      </c>
      <c r="D82" s="25">
        <v>0</v>
      </c>
      <c r="E82" s="26" t="s">
        <v>49</v>
      </c>
      <c r="F82" s="26" t="s">
        <v>549</v>
      </c>
      <c r="G82" s="31">
        <v>44256</v>
      </c>
      <c r="H82" s="27"/>
      <c r="I82" s="34"/>
      <c r="J82" s="23">
        <f t="shared" si="15"/>
        <v>155700</v>
      </c>
    </row>
    <row r="83" spans="1:10" thickTop="1" thickBot="1">
      <c r="A83" s="15" t="s">
        <v>394</v>
      </c>
      <c r="B83" s="15">
        <v>0</v>
      </c>
      <c r="C83" s="19">
        <v>800</v>
      </c>
      <c r="D83" s="25">
        <v>3</v>
      </c>
      <c r="E83" s="26" t="s">
        <v>350</v>
      </c>
      <c r="F83" s="26" t="s">
        <v>550</v>
      </c>
      <c r="G83" s="31">
        <v>44287</v>
      </c>
      <c r="H83" s="27" t="s">
        <v>835</v>
      </c>
      <c r="I83" s="34" t="s">
        <v>684</v>
      </c>
      <c r="J83" s="23">
        <f t="shared" si="15"/>
        <v>156500</v>
      </c>
    </row>
    <row r="84" spans="1:10" thickTop="1" thickBot="1">
      <c r="A84" s="15" t="s">
        <v>395</v>
      </c>
      <c r="B84" s="15">
        <v>0</v>
      </c>
      <c r="C84" s="19">
        <v>0</v>
      </c>
      <c r="D84" s="25">
        <v>1</v>
      </c>
      <c r="E84" s="26" t="s">
        <v>350</v>
      </c>
      <c r="F84" s="26" t="s">
        <v>549</v>
      </c>
      <c r="G84" s="31">
        <v>44287</v>
      </c>
      <c r="H84" s="27" t="s">
        <v>431</v>
      </c>
      <c r="I84" s="34" t="s">
        <v>684</v>
      </c>
      <c r="J84" s="23">
        <f t="shared" si="15"/>
        <v>156500</v>
      </c>
    </row>
    <row r="85" spans="1:10" thickTop="1" thickBot="1">
      <c r="A85" s="15" t="s">
        <v>452</v>
      </c>
      <c r="B85" s="15">
        <v>1200</v>
      </c>
      <c r="C85" s="19">
        <v>500</v>
      </c>
      <c r="D85" s="25">
        <v>0</v>
      </c>
      <c r="E85" s="26" t="s">
        <v>49</v>
      </c>
      <c r="F85" s="26" t="s">
        <v>549</v>
      </c>
      <c r="G85" s="31">
        <v>44287</v>
      </c>
      <c r="H85" s="27"/>
      <c r="I85" s="34"/>
      <c r="J85" s="23">
        <f t="shared" si="15"/>
        <v>157000</v>
      </c>
    </row>
    <row r="86" spans="1:10" thickTop="1" thickBot="1">
      <c r="A86" s="15" t="s">
        <v>398</v>
      </c>
      <c r="B86" s="15">
        <v>0</v>
      </c>
      <c r="C86" s="19">
        <v>1600</v>
      </c>
      <c r="D86" s="25">
        <v>1</v>
      </c>
      <c r="E86" s="26" t="s">
        <v>349</v>
      </c>
      <c r="F86" s="26" t="s">
        <v>552</v>
      </c>
      <c r="G86" s="31">
        <v>44287</v>
      </c>
      <c r="H86" s="27"/>
      <c r="I86" s="34"/>
      <c r="J86" s="23">
        <f t="shared" si="15"/>
        <v>158600</v>
      </c>
    </row>
    <row r="87" spans="1:10" thickTop="1" thickBot="1">
      <c r="A87" s="15" t="s">
        <v>409</v>
      </c>
      <c r="B87" s="15">
        <v>0</v>
      </c>
      <c r="C87" s="19">
        <v>600</v>
      </c>
      <c r="D87" s="25">
        <v>1</v>
      </c>
      <c r="E87" s="26" t="s">
        <v>349</v>
      </c>
      <c r="F87" s="26" t="s">
        <v>552</v>
      </c>
      <c r="G87" s="31">
        <v>44317</v>
      </c>
      <c r="H87" s="27"/>
      <c r="I87" s="34"/>
      <c r="J87" s="23">
        <f t="shared" si="15"/>
        <v>159200</v>
      </c>
    </row>
    <row r="88" spans="1:10" thickTop="1" thickBot="1">
      <c r="A88" s="15" t="s">
        <v>409</v>
      </c>
      <c r="B88" s="15">
        <v>0</v>
      </c>
      <c r="C88" s="19">
        <v>1150</v>
      </c>
      <c r="D88" s="25">
        <v>1</v>
      </c>
      <c r="E88" s="26" t="s">
        <v>349</v>
      </c>
      <c r="F88" s="26" t="s">
        <v>552</v>
      </c>
      <c r="G88" s="31">
        <v>44317</v>
      </c>
      <c r="H88" s="27"/>
      <c r="I88" s="34"/>
      <c r="J88" s="23">
        <f t="shared" si="15"/>
        <v>160350</v>
      </c>
    </row>
    <row r="89" spans="1:10" thickTop="1" thickBot="1">
      <c r="A89" s="15" t="s">
        <v>431</v>
      </c>
      <c r="B89" s="15">
        <v>6000</v>
      </c>
      <c r="C89" s="19">
        <v>6000</v>
      </c>
      <c r="D89" s="25">
        <v>1</v>
      </c>
      <c r="E89" s="26" t="s">
        <v>350</v>
      </c>
      <c r="F89" s="26" t="s">
        <v>549</v>
      </c>
      <c r="G89" s="31">
        <v>44317</v>
      </c>
      <c r="H89" s="27"/>
      <c r="I89" s="34"/>
      <c r="J89" s="23">
        <f t="shared" si="15"/>
        <v>166350</v>
      </c>
    </row>
    <row r="90" spans="1:10" thickTop="1" thickBot="1">
      <c r="A90" s="15" t="s">
        <v>434</v>
      </c>
      <c r="B90" s="15">
        <v>0</v>
      </c>
      <c r="C90" s="19">
        <v>500</v>
      </c>
      <c r="D90" s="25">
        <v>1</v>
      </c>
      <c r="E90" s="26" t="s">
        <v>349</v>
      </c>
      <c r="F90" s="26" t="s">
        <v>552</v>
      </c>
      <c r="G90" s="31">
        <v>44317</v>
      </c>
      <c r="H90" s="27"/>
      <c r="I90" s="34"/>
      <c r="J90" s="23">
        <f t="shared" si="15"/>
        <v>166850</v>
      </c>
    </row>
    <row r="91" spans="1:10" thickTop="1" thickBot="1">
      <c r="A91" s="15" t="s">
        <v>437</v>
      </c>
      <c r="B91" s="15">
        <v>0</v>
      </c>
      <c r="C91" s="19">
        <v>600</v>
      </c>
      <c r="D91" s="25">
        <v>1</v>
      </c>
      <c r="E91" s="26" t="s">
        <v>349</v>
      </c>
      <c r="F91" s="26" t="s">
        <v>552</v>
      </c>
      <c r="G91" s="31">
        <v>44317</v>
      </c>
      <c r="H91" s="27" t="s">
        <v>685</v>
      </c>
      <c r="I91" s="34" t="s">
        <v>682</v>
      </c>
      <c r="J91" s="23">
        <f t="shared" si="15"/>
        <v>167450</v>
      </c>
    </row>
    <row r="92" spans="1:10" thickTop="1" thickBot="1">
      <c r="A92" s="15" t="s">
        <v>437</v>
      </c>
      <c r="B92" s="15">
        <v>0</v>
      </c>
      <c r="C92" s="19">
        <v>700</v>
      </c>
      <c r="D92" s="25">
        <v>1</v>
      </c>
      <c r="E92" s="26" t="s">
        <v>349</v>
      </c>
      <c r="F92" s="26" t="s">
        <v>552</v>
      </c>
      <c r="G92" s="31">
        <v>44317</v>
      </c>
      <c r="H92" s="27" t="s">
        <v>685</v>
      </c>
      <c r="I92" s="34" t="s">
        <v>682</v>
      </c>
      <c r="J92" s="23">
        <f t="shared" si="15"/>
        <v>168150</v>
      </c>
    </row>
    <row r="93" spans="1:10" thickTop="1" thickBot="1">
      <c r="A93" s="15" t="s">
        <v>437</v>
      </c>
      <c r="B93" s="15">
        <v>0</v>
      </c>
      <c r="C93" s="19">
        <v>250</v>
      </c>
      <c r="D93" s="25">
        <v>1</v>
      </c>
      <c r="E93" s="26" t="s">
        <v>349</v>
      </c>
      <c r="F93" s="26" t="s">
        <v>552</v>
      </c>
      <c r="G93" s="31">
        <v>44317</v>
      </c>
      <c r="H93" s="27" t="s">
        <v>685</v>
      </c>
      <c r="I93" s="34" t="s">
        <v>682</v>
      </c>
      <c r="J93" s="23">
        <f t="shared" si="15"/>
        <v>168400</v>
      </c>
    </row>
    <row r="94" spans="1:10" thickTop="1" thickBot="1">
      <c r="A94" s="15" t="s">
        <v>361</v>
      </c>
      <c r="B94" s="15">
        <v>0</v>
      </c>
      <c r="C94" s="19">
        <v>750</v>
      </c>
      <c r="D94" s="25">
        <v>1</v>
      </c>
      <c r="E94" s="26" t="s">
        <v>352</v>
      </c>
      <c r="F94" s="26" t="s">
        <v>552</v>
      </c>
      <c r="G94" s="31">
        <v>44317</v>
      </c>
      <c r="H94" s="27" t="s">
        <v>833</v>
      </c>
      <c r="I94" s="34" t="s">
        <v>830</v>
      </c>
      <c r="J94" s="23">
        <f t="shared" si="15"/>
        <v>169150</v>
      </c>
    </row>
    <row r="95" spans="1:10" thickTop="1" thickBot="1">
      <c r="A95" s="15" t="s">
        <v>454</v>
      </c>
      <c r="B95" s="15">
        <v>0</v>
      </c>
      <c r="C95" s="19">
        <v>0</v>
      </c>
      <c r="D95" s="25">
        <v>1</v>
      </c>
      <c r="E95" s="26" t="s">
        <v>350</v>
      </c>
      <c r="F95" s="26" t="s">
        <v>552</v>
      </c>
      <c r="G95" s="31">
        <v>44348</v>
      </c>
      <c r="H95" s="27"/>
      <c r="I95" s="34"/>
      <c r="J95" s="23">
        <f t="shared" si="15"/>
        <v>169150</v>
      </c>
    </row>
    <row r="96" spans="1:10" thickTop="1" thickBot="1">
      <c r="A96" s="15" t="s">
        <v>455</v>
      </c>
      <c r="B96" s="15">
        <v>0</v>
      </c>
      <c r="C96" s="19">
        <v>400</v>
      </c>
      <c r="D96" s="25">
        <v>1</v>
      </c>
      <c r="E96" s="26" t="s">
        <v>350</v>
      </c>
      <c r="F96" s="26" t="s">
        <v>549</v>
      </c>
      <c r="G96" s="31">
        <v>44348</v>
      </c>
      <c r="H96" s="27"/>
      <c r="I96" s="34"/>
      <c r="J96" s="23">
        <f t="shared" si="15"/>
        <v>169550</v>
      </c>
    </row>
    <row r="97" spans="1:10" thickTop="1" thickBot="1">
      <c r="A97" s="15" t="s">
        <v>456</v>
      </c>
      <c r="B97" s="15">
        <v>0</v>
      </c>
      <c r="C97" s="19">
        <v>8000</v>
      </c>
      <c r="D97" s="25">
        <v>2</v>
      </c>
      <c r="E97" s="26" t="s">
        <v>350</v>
      </c>
      <c r="F97" s="26" t="s">
        <v>549</v>
      </c>
      <c r="G97" s="31">
        <v>44348</v>
      </c>
      <c r="H97" s="27" t="s">
        <v>307</v>
      </c>
      <c r="I97" s="34" t="s">
        <v>830</v>
      </c>
      <c r="J97" s="23">
        <f t="shared" si="15"/>
        <v>177550</v>
      </c>
    </row>
    <row r="98" spans="1:10" thickTop="1" thickBot="1">
      <c r="A98" s="15" t="s">
        <v>308</v>
      </c>
      <c r="B98" s="15">
        <v>0</v>
      </c>
      <c r="C98" s="19">
        <v>4500</v>
      </c>
      <c r="D98" s="25">
        <v>1</v>
      </c>
      <c r="E98" s="26" t="s">
        <v>350</v>
      </c>
      <c r="F98" s="26" t="s">
        <v>549</v>
      </c>
      <c r="G98" s="31">
        <v>44348</v>
      </c>
      <c r="H98" s="27" t="s">
        <v>307</v>
      </c>
      <c r="I98" s="34" t="s">
        <v>830</v>
      </c>
      <c r="J98" s="23">
        <f t="shared" si="15"/>
        <v>182050</v>
      </c>
    </row>
    <row r="99" spans="1:10" thickTop="1" thickBot="1">
      <c r="A99" s="15" t="s">
        <v>458</v>
      </c>
      <c r="B99" s="15">
        <v>3000</v>
      </c>
      <c r="C99" s="19">
        <v>5800</v>
      </c>
      <c r="D99" s="25">
        <v>1</v>
      </c>
      <c r="E99" s="26" t="s">
        <v>460</v>
      </c>
      <c r="F99" s="26" t="s">
        <v>548</v>
      </c>
      <c r="G99" s="31">
        <v>44348</v>
      </c>
      <c r="H99" s="27"/>
      <c r="I99" s="34"/>
      <c r="J99" s="23">
        <f t="shared" si="15"/>
        <v>187850</v>
      </c>
    </row>
    <row r="100" spans="1:10" thickTop="1" thickBot="1">
      <c r="A100" s="15" t="s">
        <v>361</v>
      </c>
      <c r="B100" s="15">
        <v>0</v>
      </c>
      <c r="C100" s="19">
        <v>2000</v>
      </c>
      <c r="D100" s="25">
        <v>1</v>
      </c>
      <c r="E100" s="26" t="s">
        <v>352</v>
      </c>
      <c r="F100" s="26" t="s">
        <v>548</v>
      </c>
      <c r="G100" s="31">
        <v>44348</v>
      </c>
      <c r="H100" s="27" t="s">
        <v>833</v>
      </c>
      <c r="I100" s="34" t="s">
        <v>830</v>
      </c>
      <c r="J100" s="23">
        <f t="shared" si="15"/>
        <v>189850</v>
      </c>
    </row>
    <row r="101" spans="1:10" thickTop="1" thickBot="1">
      <c r="A101" s="15" t="s">
        <v>461</v>
      </c>
      <c r="B101" s="15">
        <v>30</v>
      </c>
      <c r="C101" s="19">
        <v>45</v>
      </c>
      <c r="D101" s="25">
        <v>0</v>
      </c>
      <c r="E101" s="26" t="s">
        <v>49</v>
      </c>
      <c r="F101" s="26" t="s">
        <v>548</v>
      </c>
      <c r="G101" s="31">
        <v>44348</v>
      </c>
      <c r="H101" s="27"/>
      <c r="I101" s="34"/>
      <c r="J101" s="23">
        <f t="shared" si="15"/>
        <v>189895</v>
      </c>
    </row>
    <row r="102" spans="1:10" thickTop="1" thickBot="1">
      <c r="A102" s="15" t="s">
        <v>462</v>
      </c>
      <c r="B102" s="15">
        <v>800</v>
      </c>
      <c r="C102" s="19">
        <v>0</v>
      </c>
      <c r="D102" s="25">
        <v>1</v>
      </c>
      <c r="E102" s="26" t="s">
        <v>352</v>
      </c>
      <c r="F102" s="26" t="s">
        <v>549</v>
      </c>
      <c r="G102" s="31">
        <v>44348</v>
      </c>
      <c r="H102" s="27"/>
      <c r="I102" s="34"/>
      <c r="J102" s="23">
        <f t="shared" si="15"/>
        <v>189895</v>
      </c>
    </row>
    <row r="103" spans="1:10" thickTop="1" thickBot="1">
      <c r="A103" s="15" t="s">
        <v>463</v>
      </c>
      <c r="B103" s="15">
        <v>400</v>
      </c>
      <c r="C103" s="19">
        <v>0</v>
      </c>
      <c r="D103" s="25">
        <v>1</v>
      </c>
      <c r="E103" s="26" t="s">
        <v>356</v>
      </c>
      <c r="F103" s="26" t="s">
        <v>549</v>
      </c>
      <c r="G103" s="31">
        <v>44348</v>
      </c>
      <c r="H103" s="27"/>
      <c r="I103" s="34"/>
      <c r="J103" s="23">
        <f t="shared" si="15"/>
        <v>189895</v>
      </c>
    </row>
    <row r="104" spans="1:10" thickTop="1" thickBot="1">
      <c r="A104" s="15" t="s">
        <v>395</v>
      </c>
      <c r="B104" s="15">
        <v>0</v>
      </c>
      <c r="C104" s="19">
        <v>0</v>
      </c>
      <c r="D104" s="25">
        <v>1</v>
      </c>
      <c r="E104" s="26" t="s">
        <v>350</v>
      </c>
      <c r="F104" s="26" t="s">
        <v>549</v>
      </c>
      <c r="G104" s="31">
        <v>44348</v>
      </c>
      <c r="H104" s="27" t="s">
        <v>431</v>
      </c>
      <c r="I104" s="34" t="s">
        <v>684</v>
      </c>
      <c r="J104" s="23">
        <f t="shared" si="15"/>
        <v>189895</v>
      </c>
    </row>
    <row r="105" spans="1:10" thickTop="1" thickBot="1">
      <c r="A105" s="15" t="s">
        <v>464</v>
      </c>
      <c r="B105" s="15">
        <v>0</v>
      </c>
      <c r="C105" s="19">
        <v>0</v>
      </c>
      <c r="D105" s="25">
        <v>1</v>
      </c>
      <c r="E105" s="26" t="s">
        <v>350</v>
      </c>
      <c r="F105" s="26" t="s">
        <v>549</v>
      </c>
      <c r="G105" s="31">
        <v>44348</v>
      </c>
      <c r="H105" s="27" t="s">
        <v>835</v>
      </c>
      <c r="I105" s="34" t="s">
        <v>684</v>
      </c>
      <c r="J105" s="23">
        <f t="shared" si="15"/>
        <v>189895</v>
      </c>
    </row>
    <row r="106" spans="1:10" thickTop="1" thickBot="1">
      <c r="A106" s="15" t="s">
        <v>465</v>
      </c>
      <c r="B106" s="15">
        <v>1500</v>
      </c>
      <c r="C106" s="19">
        <v>0</v>
      </c>
      <c r="D106" s="25">
        <v>1</v>
      </c>
      <c r="E106" s="26" t="s">
        <v>352</v>
      </c>
      <c r="F106" s="26" t="s">
        <v>549</v>
      </c>
      <c r="G106" s="31">
        <v>44348</v>
      </c>
      <c r="H106" s="27"/>
      <c r="I106" s="34"/>
      <c r="J106" s="23">
        <f t="shared" si="15"/>
        <v>189895</v>
      </c>
    </row>
    <row r="107" spans="1:10" thickTop="1" thickBot="1">
      <c r="A107" s="15" t="s">
        <v>346</v>
      </c>
      <c r="B107" s="15">
        <v>0</v>
      </c>
      <c r="C107" s="19">
        <v>1000</v>
      </c>
      <c r="D107" s="25">
        <v>1</v>
      </c>
      <c r="E107" s="26" t="s">
        <v>348</v>
      </c>
      <c r="F107" s="26" t="s">
        <v>550</v>
      </c>
      <c r="G107" s="31">
        <v>44348</v>
      </c>
      <c r="H107" s="27" t="s">
        <v>836</v>
      </c>
      <c r="I107" s="34" t="s">
        <v>830</v>
      </c>
      <c r="J107" s="23">
        <f t="shared" si="15"/>
        <v>190895</v>
      </c>
    </row>
    <row r="108" spans="1:10" thickTop="1" thickBot="1">
      <c r="A108" s="15" t="s">
        <v>468</v>
      </c>
      <c r="B108" s="15">
        <v>0</v>
      </c>
      <c r="C108" s="19">
        <v>0</v>
      </c>
      <c r="D108" s="25">
        <v>1</v>
      </c>
      <c r="E108" s="26" t="s">
        <v>348</v>
      </c>
      <c r="F108" s="26" t="s">
        <v>549</v>
      </c>
      <c r="G108" s="31">
        <v>44348</v>
      </c>
      <c r="H108" s="27" t="s">
        <v>836</v>
      </c>
      <c r="I108" s="34" t="s">
        <v>830</v>
      </c>
      <c r="J108" s="23">
        <f t="shared" si="15"/>
        <v>190895</v>
      </c>
    </row>
    <row r="109" spans="1:10" thickTop="1" thickBot="1">
      <c r="A109" s="15" t="s">
        <v>469</v>
      </c>
      <c r="B109" s="15">
        <v>200</v>
      </c>
      <c r="C109" s="19">
        <v>0</v>
      </c>
      <c r="D109" s="25">
        <v>1</v>
      </c>
      <c r="E109" s="26" t="s">
        <v>348</v>
      </c>
      <c r="F109" s="26" t="s">
        <v>549</v>
      </c>
      <c r="G109" s="31">
        <v>44348</v>
      </c>
      <c r="H109" s="27"/>
      <c r="I109" s="34"/>
      <c r="J109" s="23">
        <f t="shared" si="15"/>
        <v>190895</v>
      </c>
    </row>
    <row r="110" spans="1:10" thickTop="1" thickBot="1">
      <c r="A110" s="15" t="s">
        <v>399</v>
      </c>
      <c r="B110" s="15">
        <v>0</v>
      </c>
      <c r="C110" s="19">
        <v>0</v>
      </c>
      <c r="D110" s="25">
        <v>1</v>
      </c>
      <c r="E110" s="26" t="s">
        <v>473</v>
      </c>
      <c r="F110" s="26" t="s">
        <v>550</v>
      </c>
      <c r="G110" s="31">
        <v>44348</v>
      </c>
      <c r="H110" s="27"/>
      <c r="I110" s="34"/>
      <c r="J110" s="23">
        <f t="shared" si="15"/>
        <v>190895</v>
      </c>
    </row>
    <row r="111" spans="1:10" thickTop="1" thickBot="1">
      <c r="A111" s="15" t="s">
        <v>335</v>
      </c>
      <c r="B111" s="15">
        <v>0</v>
      </c>
      <c r="C111" s="19">
        <v>1200</v>
      </c>
      <c r="D111" s="25">
        <v>0</v>
      </c>
      <c r="E111" s="26" t="s">
        <v>354</v>
      </c>
      <c r="F111" s="26" t="s">
        <v>547</v>
      </c>
      <c r="G111" s="31">
        <v>44348</v>
      </c>
      <c r="H111" s="27"/>
      <c r="I111" s="34"/>
      <c r="J111" s="23">
        <f t="shared" si="15"/>
        <v>192095</v>
      </c>
    </row>
    <row r="112" spans="1:10" thickTop="1" thickBot="1">
      <c r="A112" s="15" t="s">
        <v>475</v>
      </c>
      <c r="B112" s="15">
        <v>0</v>
      </c>
      <c r="C112" s="19">
        <v>3000</v>
      </c>
      <c r="D112" s="25">
        <v>1</v>
      </c>
      <c r="E112" s="26" t="s">
        <v>350</v>
      </c>
      <c r="F112" s="26" t="s">
        <v>549</v>
      </c>
      <c r="G112" s="31">
        <v>44348</v>
      </c>
      <c r="H112" s="27" t="s">
        <v>402</v>
      </c>
      <c r="I112" s="34" t="s">
        <v>684</v>
      </c>
      <c r="J112" s="23">
        <f t="shared" si="15"/>
        <v>195095</v>
      </c>
    </row>
    <row r="113" spans="1:10" thickTop="1" thickBot="1">
      <c r="A113" s="15" t="s">
        <v>476</v>
      </c>
      <c r="B113" s="15">
        <v>0</v>
      </c>
      <c r="C113" s="19">
        <v>1500</v>
      </c>
      <c r="D113" s="25">
        <v>1</v>
      </c>
      <c r="E113" s="26" t="s">
        <v>350</v>
      </c>
      <c r="F113" s="26" t="s">
        <v>549</v>
      </c>
      <c r="G113" s="31">
        <v>44348</v>
      </c>
      <c r="H113" s="27" t="s">
        <v>402</v>
      </c>
      <c r="I113" s="34" t="s">
        <v>684</v>
      </c>
      <c r="J113" s="23">
        <f t="shared" si="15"/>
        <v>196595</v>
      </c>
    </row>
    <row r="114" spans="1:10" thickTop="1" thickBot="1">
      <c r="A114" s="15" t="s">
        <v>477</v>
      </c>
      <c r="B114" s="15">
        <v>0</v>
      </c>
      <c r="C114" s="19">
        <v>300</v>
      </c>
      <c r="D114" s="25">
        <v>1</v>
      </c>
      <c r="E114" s="26" t="s">
        <v>348</v>
      </c>
      <c r="F114" s="26" t="s">
        <v>549</v>
      </c>
      <c r="G114" s="31">
        <v>44348</v>
      </c>
      <c r="H114" s="27"/>
      <c r="I114" s="34"/>
      <c r="J114" s="23">
        <f t="shared" si="15"/>
        <v>196895</v>
      </c>
    </row>
    <row r="115" spans="1:10" thickTop="1" thickBot="1">
      <c r="A115" s="15" t="s">
        <v>478</v>
      </c>
      <c r="B115" s="15">
        <v>0</v>
      </c>
      <c r="C115" s="19">
        <v>0</v>
      </c>
      <c r="D115" s="25">
        <v>1</v>
      </c>
      <c r="E115" s="26" t="s">
        <v>357</v>
      </c>
      <c r="F115" s="26" t="s">
        <v>550</v>
      </c>
      <c r="G115" s="31">
        <v>44348</v>
      </c>
      <c r="H115" s="27" t="s">
        <v>399</v>
      </c>
      <c r="I115" s="34" t="s">
        <v>684</v>
      </c>
      <c r="J115" s="23">
        <f t="shared" si="15"/>
        <v>196895</v>
      </c>
    </row>
    <row r="116" spans="1:10" thickTop="1" thickBot="1">
      <c r="A116" s="15" t="s">
        <v>479</v>
      </c>
      <c r="B116" s="15">
        <v>1200</v>
      </c>
      <c r="C116" s="19">
        <v>1500</v>
      </c>
      <c r="D116" s="25">
        <v>1</v>
      </c>
      <c r="E116" s="26" t="s">
        <v>352</v>
      </c>
      <c r="F116" s="26" t="s">
        <v>549</v>
      </c>
      <c r="G116" s="31">
        <v>44378</v>
      </c>
      <c r="H116" s="27"/>
      <c r="I116" s="34"/>
      <c r="J116" s="23">
        <f t="shared" si="15"/>
        <v>198395</v>
      </c>
    </row>
    <row r="117" spans="1:10" thickTop="1" thickBot="1">
      <c r="A117" s="15" t="s">
        <v>480</v>
      </c>
      <c r="B117" s="15">
        <v>0</v>
      </c>
      <c r="C117" s="19">
        <v>1800</v>
      </c>
      <c r="D117" s="25">
        <v>1</v>
      </c>
      <c r="E117" s="26" t="s">
        <v>352</v>
      </c>
      <c r="F117" s="26" t="s">
        <v>549</v>
      </c>
      <c r="G117" s="31">
        <v>44378</v>
      </c>
      <c r="H117" s="27"/>
      <c r="I117" s="34"/>
      <c r="J117" s="23">
        <f t="shared" si="15"/>
        <v>200195</v>
      </c>
    </row>
    <row r="118" spans="1:10" thickTop="1" thickBot="1">
      <c r="A118" s="15" t="s">
        <v>360</v>
      </c>
      <c r="B118" s="15">
        <v>0</v>
      </c>
      <c r="C118" s="19">
        <v>500</v>
      </c>
      <c r="D118" s="25">
        <v>1</v>
      </c>
      <c r="E118" s="26" t="s">
        <v>352</v>
      </c>
      <c r="F118" s="26" t="s">
        <v>549</v>
      </c>
      <c r="G118" s="31">
        <v>44378</v>
      </c>
      <c r="H118" s="27" t="s">
        <v>340</v>
      </c>
      <c r="I118" s="34" t="s">
        <v>684</v>
      </c>
      <c r="J118" s="23">
        <f t="shared" si="15"/>
        <v>200695</v>
      </c>
    </row>
    <row r="119" spans="1:10" thickTop="1" thickBot="1">
      <c r="A119" s="15" t="s">
        <v>500</v>
      </c>
      <c r="B119" s="15">
        <v>0</v>
      </c>
      <c r="C119" s="19">
        <v>800</v>
      </c>
      <c r="D119" s="25">
        <v>1</v>
      </c>
      <c r="E119" s="26" t="s">
        <v>350</v>
      </c>
      <c r="F119" s="26" t="s">
        <v>547</v>
      </c>
      <c r="G119" s="31">
        <v>44378</v>
      </c>
      <c r="H119" s="27"/>
      <c r="I119" s="34"/>
      <c r="J119" s="23">
        <f t="shared" si="15"/>
        <v>201495</v>
      </c>
    </row>
    <row r="120" spans="1:10" thickTop="1" thickBot="1">
      <c r="A120" s="15" t="s">
        <v>501</v>
      </c>
      <c r="B120" s="15">
        <v>0</v>
      </c>
      <c r="C120" s="19">
        <v>350</v>
      </c>
      <c r="D120" s="25">
        <v>1</v>
      </c>
      <c r="E120" s="26" t="s">
        <v>349</v>
      </c>
      <c r="F120" s="26" t="s">
        <v>552</v>
      </c>
      <c r="G120" s="31">
        <v>44378</v>
      </c>
      <c r="H120" s="27"/>
      <c r="I120" s="34"/>
      <c r="J120" s="23">
        <f t="shared" si="15"/>
        <v>201845</v>
      </c>
    </row>
    <row r="121" spans="1:10" thickTop="1" thickBot="1">
      <c r="A121" s="15" t="s">
        <v>502</v>
      </c>
      <c r="B121" s="15">
        <v>0</v>
      </c>
      <c r="C121" s="19">
        <v>800</v>
      </c>
      <c r="D121" s="25">
        <v>0</v>
      </c>
      <c r="E121" s="26" t="s">
        <v>49</v>
      </c>
      <c r="F121" s="26" t="s">
        <v>548</v>
      </c>
      <c r="G121" s="31">
        <v>44378</v>
      </c>
      <c r="H121" s="27"/>
      <c r="I121" s="34"/>
      <c r="J121" s="23">
        <f t="shared" si="15"/>
        <v>202645</v>
      </c>
    </row>
    <row r="122" spans="1:10" thickTop="1" thickBot="1">
      <c r="A122" s="15" t="s">
        <v>503</v>
      </c>
      <c r="B122" s="15">
        <v>0</v>
      </c>
      <c r="C122" s="19">
        <v>100</v>
      </c>
      <c r="D122" s="25">
        <v>1</v>
      </c>
      <c r="E122" s="26" t="s">
        <v>513</v>
      </c>
      <c r="F122" s="26" t="s">
        <v>552</v>
      </c>
      <c r="G122" s="31">
        <v>44378</v>
      </c>
      <c r="H122" s="27"/>
      <c r="I122" s="34"/>
      <c r="J122" s="23">
        <f t="shared" si="15"/>
        <v>202745</v>
      </c>
    </row>
    <row r="123" spans="1:10" thickTop="1" thickBot="1">
      <c r="A123" s="15" t="s">
        <v>518</v>
      </c>
      <c r="B123" s="15">
        <v>0</v>
      </c>
      <c r="C123" s="19">
        <v>100</v>
      </c>
      <c r="D123" s="25">
        <v>1</v>
      </c>
      <c r="E123" s="26" t="s">
        <v>349</v>
      </c>
      <c r="F123" s="26" t="s">
        <v>552</v>
      </c>
      <c r="G123" s="31">
        <v>44378</v>
      </c>
      <c r="H123" s="27"/>
      <c r="I123" s="34"/>
      <c r="J123" s="23">
        <f t="shared" si="15"/>
        <v>202845</v>
      </c>
    </row>
    <row r="124" spans="1:10" thickTop="1" thickBot="1">
      <c r="A124" s="15" t="s">
        <v>519</v>
      </c>
      <c r="B124" s="15">
        <v>0</v>
      </c>
      <c r="C124" s="19">
        <v>100</v>
      </c>
      <c r="D124" s="25">
        <v>1</v>
      </c>
      <c r="E124" s="26" t="s">
        <v>355</v>
      </c>
      <c r="F124" s="26" t="s">
        <v>552</v>
      </c>
      <c r="G124" s="31">
        <v>44378</v>
      </c>
      <c r="H124" s="27"/>
      <c r="I124" s="34"/>
      <c r="J124" s="23">
        <f t="shared" si="15"/>
        <v>202945</v>
      </c>
    </row>
    <row r="125" spans="1:10" thickTop="1" thickBot="1">
      <c r="A125" s="15" t="s">
        <v>517</v>
      </c>
      <c r="B125" s="15">
        <v>0</v>
      </c>
      <c r="C125" s="19">
        <v>300</v>
      </c>
      <c r="D125" s="25">
        <v>1</v>
      </c>
      <c r="E125" s="26" t="s">
        <v>326</v>
      </c>
      <c r="F125" s="26" t="s">
        <v>547</v>
      </c>
      <c r="G125" s="31">
        <v>44378</v>
      </c>
      <c r="H125" s="27" t="s">
        <v>399</v>
      </c>
      <c r="I125" s="34" t="s">
        <v>684</v>
      </c>
      <c r="J125" s="23">
        <f t="shared" si="15"/>
        <v>203245</v>
      </c>
    </row>
    <row r="126" spans="1:10" thickTop="1" thickBot="1">
      <c r="A126" s="15" t="s">
        <v>519</v>
      </c>
      <c r="B126" s="15">
        <v>0</v>
      </c>
      <c r="C126" s="19">
        <v>150</v>
      </c>
      <c r="D126" s="25">
        <v>1</v>
      </c>
      <c r="E126" s="26" t="s">
        <v>355</v>
      </c>
      <c r="F126" s="26" t="s">
        <v>552</v>
      </c>
      <c r="G126" s="31">
        <v>44378</v>
      </c>
      <c r="H126" s="27"/>
      <c r="I126" s="34"/>
      <c r="J126" s="23">
        <f t="shared" si="15"/>
        <v>203395</v>
      </c>
    </row>
    <row r="127" spans="1:10" thickTop="1" thickBot="1">
      <c r="A127" s="15" t="s">
        <v>522</v>
      </c>
      <c r="B127" s="15">
        <v>0</v>
      </c>
      <c r="C127" s="19">
        <v>1000</v>
      </c>
      <c r="D127" s="25">
        <v>0</v>
      </c>
      <c r="E127" s="26" t="s">
        <v>460</v>
      </c>
      <c r="F127" s="26" t="s">
        <v>550</v>
      </c>
      <c r="G127" s="31">
        <v>44378</v>
      </c>
      <c r="H127" s="27" t="s">
        <v>788</v>
      </c>
      <c r="I127" s="34" t="s">
        <v>684</v>
      </c>
      <c r="J127" s="23">
        <f t="shared" si="15"/>
        <v>204395</v>
      </c>
    </row>
    <row r="128" spans="1:10" thickTop="1" thickBot="1">
      <c r="A128" s="15" t="s">
        <v>567</v>
      </c>
      <c r="B128" s="15">
        <v>0</v>
      </c>
      <c r="C128" s="19">
        <v>600</v>
      </c>
      <c r="D128" s="25">
        <v>1</v>
      </c>
      <c r="E128" s="26" t="s">
        <v>350</v>
      </c>
      <c r="F128" s="26" t="s">
        <v>548</v>
      </c>
      <c r="G128" s="31">
        <v>44378</v>
      </c>
      <c r="H128" s="27" t="s">
        <v>788</v>
      </c>
      <c r="I128" s="34" t="s">
        <v>684</v>
      </c>
      <c r="J128" s="23">
        <f t="shared" si="15"/>
        <v>204995</v>
      </c>
    </row>
    <row r="129" spans="1:10" thickTop="1" thickBot="1">
      <c r="A129" s="15" t="s">
        <v>519</v>
      </c>
      <c r="B129" s="15">
        <v>0</v>
      </c>
      <c r="C129" s="19">
        <v>100</v>
      </c>
      <c r="D129" s="25">
        <v>1</v>
      </c>
      <c r="E129" s="26" t="s">
        <v>355</v>
      </c>
      <c r="F129" s="26" t="s">
        <v>552</v>
      </c>
      <c r="G129" s="31">
        <v>44378</v>
      </c>
      <c r="H129" s="27"/>
      <c r="I129" s="34"/>
      <c r="J129" s="23">
        <f t="shared" si="15"/>
        <v>205095</v>
      </c>
    </row>
    <row r="130" spans="1:10" thickTop="1" thickBot="1">
      <c r="A130" s="15" t="s">
        <v>525</v>
      </c>
      <c r="B130" s="15">
        <v>0</v>
      </c>
      <c r="C130" s="19">
        <v>160</v>
      </c>
      <c r="D130" s="25">
        <v>0</v>
      </c>
      <c r="E130" s="26" t="s">
        <v>49</v>
      </c>
      <c r="F130" s="26" t="s">
        <v>548</v>
      </c>
      <c r="G130" s="31">
        <v>44378</v>
      </c>
      <c r="H130" s="27"/>
      <c r="I130" s="34"/>
      <c r="J130" s="23">
        <f t="shared" si="15"/>
        <v>205255</v>
      </c>
    </row>
    <row r="131" spans="1:10" thickTop="1" thickBot="1">
      <c r="A131" s="15" t="s">
        <v>533</v>
      </c>
      <c r="B131" s="15">
        <v>0</v>
      </c>
      <c r="C131" s="19">
        <v>750</v>
      </c>
      <c r="D131" s="25">
        <v>1</v>
      </c>
      <c r="E131" s="26" t="s">
        <v>350</v>
      </c>
      <c r="F131" s="26" t="s">
        <v>552</v>
      </c>
      <c r="G131" s="31">
        <v>44378</v>
      </c>
      <c r="H131" s="27" t="s">
        <v>829</v>
      </c>
      <c r="I131" s="34" t="s">
        <v>831</v>
      </c>
      <c r="J131" s="23">
        <f t="shared" si="15"/>
        <v>206005</v>
      </c>
    </row>
    <row r="132" spans="1:10" thickTop="1" thickBot="1">
      <c r="A132" s="15" t="s">
        <v>553</v>
      </c>
      <c r="B132" s="15">
        <v>0</v>
      </c>
      <c r="C132" s="19">
        <v>100</v>
      </c>
      <c r="D132" s="25">
        <v>1</v>
      </c>
      <c r="E132" s="26" t="s">
        <v>348</v>
      </c>
      <c r="F132" s="26" t="s">
        <v>552</v>
      </c>
      <c r="G132" s="31">
        <v>44409</v>
      </c>
      <c r="H132" s="27" t="s">
        <v>714</v>
      </c>
      <c r="I132" s="34" t="s">
        <v>684</v>
      </c>
      <c r="J132" s="23">
        <f t="shared" si="15"/>
        <v>206105</v>
      </c>
    </row>
    <row r="133" spans="1:10" thickTop="1" thickBot="1">
      <c r="A133" s="15" t="s">
        <v>554</v>
      </c>
      <c r="B133" s="15">
        <v>0</v>
      </c>
      <c r="C133" s="19">
        <v>300</v>
      </c>
      <c r="D133" s="25">
        <v>2</v>
      </c>
      <c r="E133" s="26" t="s">
        <v>348</v>
      </c>
      <c r="F133" s="26" t="s">
        <v>552</v>
      </c>
      <c r="G133" s="31">
        <v>44409</v>
      </c>
      <c r="H133" s="27" t="s">
        <v>837</v>
      </c>
      <c r="I133" s="34" t="s">
        <v>684</v>
      </c>
      <c r="J133" s="23">
        <f t="shared" ref="J133:J196" si="16">SUM(C133,J132)</f>
        <v>206405</v>
      </c>
    </row>
    <row r="134" spans="1:10" thickTop="1" thickBot="1">
      <c r="A134" s="15" t="s">
        <v>553</v>
      </c>
      <c r="B134" s="15">
        <v>0</v>
      </c>
      <c r="C134" s="19">
        <v>350</v>
      </c>
      <c r="D134" s="25">
        <v>1</v>
      </c>
      <c r="E134" s="26" t="s">
        <v>348</v>
      </c>
      <c r="F134" s="26" t="s">
        <v>552</v>
      </c>
      <c r="G134" s="31">
        <v>44409</v>
      </c>
      <c r="H134" s="27" t="s">
        <v>714</v>
      </c>
      <c r="I134" s="34" t="s">
        <v>684</v>
      </c>
      <c r="J134" s="23">
        <f t="shared" si="16"/>
        <v>206755</v>
      </c>
    </row>
    <row r="135" spans="1:10" thickTop="1" thickBot="1">
      <c r="A135" s="15" t="s">
        <v>558</v>
      </c>
      <c r="B135" s="15">
        <v>0</v>
      </c>
      <c r="C135" s="19">
        <v>1300</v>
      </c>
      <c r="D135" s="25">
        <v>1</v>
      </c>
      <c r="E135" s="26" t="s">
        <v>559</v>
      </c>
      <c r="F135" s="26" t="s">
        <v>548</v>
      </c>
      <c r="G135" s="31">
        <v>44409</v>
      </c>
      <c r="H135" s="27"/>
      <c r="I135" s="34"/>
      <c r="J135" s="23">
        <f t="shared" si="16"/>
        <v>208055</v>
      </c>
    </row>
    <row r="136" spans="1:10" thickTop="1" thickBot="1">
      <c r="A136" s="15" t="s">
        <v>557</v>
      </c>
      <c r="B136" s="15">
        <v>0</v>
      </c>
      <c r="C136" s="19">
        <v>500</v>
      </c>
      <c r="D136" s="25">
        <v>1</v>
      </c>
      <c r="E136" s="26" t="s">
        <v>513</v>
      </c>
      <c r="F136" s="26" t="s">
        <v>552</v>
      </c>
      <c r="G136" s="31">
        <v>44409</v>
      </c>
      <c r="H136" s="27"/>
      <c r="I136" s="34"/>
      <c r="J136" s="23">
        <f t="shared" si="16"/>
        <v>208555</v>
      </c>
    </row>
    <row r="137" spans="1:10" thickTop="1" thickBot="1">
      <c r="A137" s="15" t="s">
        <v>560</v>
      </c>
      <c r="B137" s="15">
        <v>1000</v>
      </c>
      <c r="C137" s="19">
        <v>1500</v>
      </c>
      <c r="D137" s="25">
        <v>1</v>
      </c>
      <c r="E137" s="26" t="s">
        <v>350</v>
      </c>
      <c r="F137" s="26" t="s">
        <v>548</v>
      </c>
      <c r="G137" s="31">
        <v>44409</v>
      </c>
      <c r="H137" s="27"/>
      <c r="I137" s="34"/>
      <c r="J137" s="23">
        <f t="shared" si="16"/>
        <v>210055</v>
      </c>
    </row>
    <row r="138" spans="1:10" thickTop="1" thickBot="1">
      <c r="A138" s="15" t="s">
        <v>589</v>
      </c>
      <c r="B138" s="15">
        <v>0</v>
      </c>
      <c r="C138" s="19">
        <v>4500</v>
      </c>
      <c r="D138" s="25">
        <v>1</v>
      </c>
      <c r="E138" s="26" t="s">
        <v>350</v>
      </c>
      <c r="F138" s="26" t="s">
        <v>548</v>
      </c>
      <c r="G138" s="31">
        <v>44409</v>
      </c>
      <c r="H138" s="27" t="s">
        <v>566</v>
      </c>
      <c r="I138" s="34" t="s">
        <v>684</v>
      </c>
      <c r="J138" s="23">
        <f t="shared" si="16"/>
        <v>214555</v>
      </c>
    </row>
    <row r="139" spans="1:10" thickTop="1" thickBot="1">
      <c r="A139" s="15" t="s">
        <v>562</v>
      </c>
      <c r="B139" s="15">
        <v>0</v>
      </c>
      <c r="C139" s="19">
        <v>285</v>
      </c>
      <c r="D139" s="25">
        <v>1</v>
      </c>
      <c r="E139" s="26" t="s">
        <v>355</v>
      </c>
      <c r="F139" s="26" t="s">
        <v>549</v>
      </c>
      <c r="G139" s="31">
        <v>44409</v>
      </c>
      <c r="H139" s="27"/>
      <c r="I139" s="34"/>
      <c r="J139" s="23">
        <f t="shared" si="16"/>
        <v>214840</v>
      </c>
    </row>
    <row r="140" spans="1:10" thickTop="1" thickBot="1">
      <c r="A140" s="15" t="s">
        <v>593</v>
      </c>
      <c r="B140" s="15">
        <v>3500</v>
      </c>
      <c r="C140" s="19">
        <v>0</v>
      </c>
      <c r="D140" s="25">
        <v>1</v>
      </c>
      <c r="E140" s="26" t="s">
        <v>348</v>
      </c>
      <c r="F140" s="26" t="s">
        <v>549</v>
      </c>
      <c r="G140" s="31">
        <v>44409</v>
      </c>
      <c r="H140" s="27"/>
      <c r="I140" s="34"/>
      <c r="J140" s="23">
        <f t="shared" si="16"/>
        <v>214840</v>
      </c>
    </row>
    <row r="141" spans="1:10" thickTop="1" thickBot="1">
      <c r="A141" s="15" t="s">
        <v>564</v>
      </c>
      <c r="B141" s="15">
        <v>300</v>
      </c>
      <c r="C141" s="19">
        <v>0</v>
      </c>
      <c r="D141" s="25">
        <v>1</v>
      </c>
      <c r="E141" s="26" t="s">
        <v>350</v>
      </c>
      <c r="F141" s="26" t="s">
        <v>549</v>
      </c>
      <c r="G141" s="31">
        <v>44409</v>
      </c>
      <c r="H141" s="27"/>
      <c r="I141" s="34"/>
      <c r="J141" s="23">
        <f t="shared" si="16"/>
        <v>214840</v>
      </c>
    </row>
    <row r="142" spans="1:10" thickTop="1" thickBot="1">
      <c r="A142" s="15" t="s">
        <v>594</v>
      </c>
      <c r="B142" s="15">
        <v>0</v>
      </c>
      <c r="C142" s="19">
        <v>0</v>
      </c>
      <c r="D142" s="25">
        <v>1</v>
      </c>
      <c r="E142" s="26" t="s">
        <v>356</v>
      </c>
      <c r="F142" s="26" t="s">
        <v>549</v>
      </c>
      <c r="G142" s="31">
        <v>44409</v>
      </c>
      <c r="H142" s="27"/>
      <c r="I142" s="34"/>
      <c r="J142" s="23">
        <f t="shared" si="16"/>
        <v>214840</v>
      </c>
    </row>
    <row r="143" spans="1:10" thickTop="1" thickBot="1">
      <c r="A143" s="15" t="s">
        <v>595</v>
      </c>
      <c r="B143" s="15">
        <v>0</v>
      </c>
      <c r="C143" s="19">
        <v>300</v>
      </c>
      <c r="D143" s="25">
        <v>1</v>
      </c>
      <c r="E143" s="26" t="s">
        <v>355</v>
      </c>
      <c r="F143" s="26" t="s">
        <v>552</v>
      </c>
      <c r="G143" s="31">
        <v>44409</v>
      </c>
      <c r="H143" s="27"/>
      <c r="I143" s="34"/>
      <c r="J143" s="23">
        <f t="shared" si="16"/>
        <v>215140</v>
      </c>
    </row>
    <row r="144" spans="1:10" thickTop="1" thickBot="1">
      <c r="A144" s="15" t="s">
        <v>597</v>
      </c>
      <c r="B144" s="15">
        <v>0</v>
      </c>
      <c r="C144" s="19">
        <v>2600</v>
      </c>
      <c r="D144" s="25">
        <v>1</v>
      </c>
      <c r="E144" s="26" t="s">
        <v>513</v>
      </c>
      <c r="F144" s="26" t="s">
        <v>547</v>
      </c>
      <c r="G144" s="31">
        <v>44440</v>
      </c>
      <c r="H144" s="27"/>
      <c r="I144" s="34"/>
      <c r="J144" s="23">
        <f t="shared" si="16"/>
        <v>217740</v>
      </c>
    </row>
    <row r="145" spans="1:10" thickTop="1" thickBot="1">
      <c r="A145" s="15" t="s">
        <v>563</v>
      </c>
      <c r="B145" s="15">
        <v>10000</v>
      </c>
      <c r="C145" s="19">
        <v>0</v>
      </c>
      <c r="D145" s="25">
        <v>1</v>
      </c>
      <c r="E145" s="26" t="s">
        <v>350</v>
      </c>
      <c r="F145" s="26" t="s">
        <v>549</v>
      </c>
      <c r="G145" s="31">
        <v>44440</v>
      </c>
      <c r="H145" s="27"/>
      <c r="I145" s="34"/>
      <c r="J145" s="23">
        <f t="shared" si="16"/>
        <v>217740</v>
      </c>
    </row>
    <row r="146" spans="1:10" thickTop="1" thickBot="1">
      <c r="A146" s="15" t="s">
        <v>598</v>
      </c>
      <c r="B146" s="15">
        <v>100</v>
      </c>
      <c r="C146" s="19">
        <v>125</v>
      </c>
      <c r="D146" s="25">
        <v>0</v>
      </c>
      <c r="E146" s="26" t="s">
        <v>49</v>
      </c>
      <c r="F146" s="26" t="s">
        <v>548</v>
      </c>
      <c r="G146" s="31">
        <v>44440</v>
      </c>
      <c r="H146" s="27"/>
      <c r="I146" s="34"/>
      <c r="J146" s="23">
        <f t="shared" si="16"/>
        <v>217865</v>
      </c>
    </row>
    <row r="147" spans="1:10" thickTop="1" thickBot="1">
      <c r="A147" s="15" t="s">
        <v>600</v>
      </c>
      <c r="B147" s="15">
        <v>0</v>
      </c>
      <c r="C147" s="19">
        <v>1000</v>
      </c>
      <c r="D147" s="25">
        <v>1</v>
      </c>
      <c r="E147" s="26" t="s">
        <v>348</v>
      </c>
      <c r="F147" s="26" t="s">
        <v>552</v>
      </c>
      <c r="G147" s="31">
        <v>44440</v>
      </c>
      <c r="H147" s="27" t="s">
        <v>714</v>
      </c>
      <c r="I147" s="34" t="s">
        <v>684</v>
      </c>
      <c r="J147" s="23">
        <f t="shared" si="16"/>
        <v>218865</v>
      </c>
    </row>
    <row r="148" spans="1:10" thickTop="1" thickBot="1">
      <c r="A148" s="15" t="s">
        <v>501</v>
      </c>
      <c r="B148" s="15">
        <v>0</v>
      </c>
      <c r="C148" s="19">
        <v>300</v>
      </c>
      <c r="D148" s="25">
        <v>1</v>
      </c>
      <c r="E148" s="26" t="s">
        <v>349</v>
      </c>
      <c r="F148" s="26" t="s">
        <v>552</v>
      </c>
      <c r="G148" s="31">
        <v>44440</v>
      </c>
      <c r="H148" s="27"/>
      <c r="I148" s="34"/>
      <c r="J148" s="23">
        <f t="shared" si="16"/>
        <v>219165</v>
      </c>
    </row>
    <row r="149" spans="1:10" thickTop="1" thickBot="1">
      <c r="A149" s="15" t="s">
        <v>601</v>
      </c>
      <c r="B149" s="15">
        <v>0</v>
      </c>
      <c r="C149" s="19">
        <v>350</v>
      </c>
      <c r="D149" s="25">
        <v>1</v>
      </c>
      <c r="E149" s="26" t="s">
        <v>352</v>
      </c>
      <c r="F149" s="26" t="s">
        <v>552</v>
      </c>
      <c r="G149" s="31">
        <v>44440</v>
      </c>
      <c r="H149" s="27" t="s">
        <v>833</v>
      </c>
      <c r="I149" s="34" t="s">
        <v>830</v>
      </c>
      <c r="J149" s="23">
        <f t="shared" si="16"/>
        <v>219515</v>
      </c>
    </row>
    <row r="150" spans="1:10" thickTop="1" thickBot="1">
      <c r="A150" s="15" t="s">
        <v>609</v>
      </c>
      <c r="B150" s="15">
        <v>0</v>
      </c>
      <c r="C150" s="19">
        <v>0</v>
      </c>
      <c r="D150" s="25">
        <v>1</v>
      </c>
      <c r="E150" s="26" t="s">
        <v>352</v>
      </c>
      <c r="F150" s="26" t="s">
        <v>552</v>
      </c>
      <c r="G150" s="31">
        <v>44440</v>
      </c>
      <c r="H150" s="27" t="s">
        <v>465</v>
      </c>
      <c r="I150" s="34" t="s">
        <v>684</v>
      </c>
      <c r="J150" s="23">
        <f t="shared" si="16"/>
        <v>219515</v>
      </c>
    </row>
    <row r="151" spans="1:10" thickTop="1" thickBot="1">
      <c r="A151" s="15" t="s">
        <v>501</v>
      </c>
      <c r="B151" s="15">
        <v>0</v>
      </c>
      <c r="C151" s="19">
        <v>350</v>
      </c>
      <c r="D151" s="25">
        <v>1</v>
      </c>
      <c r="E151" s="26" t="s">
        <v>349</v>
      </c>
      <c r="F151" s="26" t="s">
        <v>552</v>
      </c>
      <c r="G151" s="31">
        <v>44440</v>
      </c>
      <c r="H151" s="27"/>
      <c r="I151" s="34"/>
      <c r="J151" s="23">
        <f t="shared" si="16"/>
        <v>219865</v>
      </c>
    </row>
    <row r="152" spans="1:10" thickTop="1" thickBot="1">
      <c r="A152" s="15" t="s">
        <v>557</v>
      </c>
      <c r="B152" s="15">
        <v>0</v>
      </c>
      <c r="C152" s="19">
        <v>500</v>
      </c>
      <c r="D152" s="25">
        <v>1</v>
      </c>
      <c r="E152" s="26" t="s">
        <v>513</v>
      </c>
      <c r="F152" s="26" t="s">
        <v>552</v>
      </c>
      <c r="G152" s="31">
        <v>44440</v>
      </c>
      <c r="H152" s="27"/>
      <c r="I152" s="34"/>
      <c r="J152" s="23">
        <f t="shared" si="16"/>
        <v>220365</v>
      </c>
    </row>
    <row r="153" spans="1:10" thickTop="1" thickBot="1">
      <c r="A153" s="15" t="s">
        <v>611</v>
      </c>
      <c r="B153" s="15">
        <v>0</v>
      </c>
      <c r="C153" s="19">
        <v>150</v>
      </c>
      <c r="D153" s="25">
        <v>1</v>
      </c>
      <c r="E153" s="26" t="s">
        <v>49</v>
      </c>
      <c r="F153" s="26" t="s">
        <v>548</v>
      </c>
      <c r="G153" s="31">
        <v>44440</v>
      </c>
      <c r="H153" s="27" t="s">
        <v>467</v>
      </c>
      <c r="I153" s="34" t="s">
        <v>684</v>
      </c>
      <c r="J153" s="23">
        <f t="shared" si="16"/>
        <v>220515</v>
      </c>
    </row>
    <row r="154" spans="1:10" thickTop="1" thickBot="1">
      <c r="A154" s="15" t="s">
        <v>612</v>
      </c>
      <c r="B154" s="15">
        <v>0</v>
      </c>
      <c r="C154" s="19">
        <v>375</v>
      </c>
      <c r="D154" s="25">
        <v>1</v>
      </c>
      <c r="E154" s="26" t="s">
        <v>49</v>
      </c>
      <c r="F154" s="26" t="s">
        <v>552</v>
      </c>
      <c r="G154" s="31">
        <v>44440</v>
      </c>
      <c r="H154" s="27"/>
      <c r="I154" s="34"/>
      <c r="J154" s="23">
        <f t="shared" si="16"/>
        <v>220890</v>
      </c>
    </row>
    <row r="155" spans="1:10" thickTop="1" thickBot="1">
      <c r="A155" s="15" t="s">
        <v>558</v>
      </c>
      <c r="B155" s="15">
        <v>0</v>
      </c>
      <c r="C155" s="19">
        <v>850</v>
      </c>
      <c r="D155" s="25">
        <v>1</v>
      </c>
      <c r="E155" s="26" t="s">
        <v>559</v>
      </c>
      <c r="F155" s="26" t="s">
        <v>552</v>
      </c>
      <c r="G155" s="31">
        <v>44440</v>
      </c>
      <c r="H155" s="27"/>
      <c r="I155" s="34"/>
      <c r="J155" s="23">
        <f t="shared" si="16"/>
        <v>221740</v>
      </c>
    </row>
    <row r="156" spans="1:10" thickTop="1" thickBot="1">
      <c r="A156" s="15" t="s">
        <v>409</v>
      </c>
      <c r="B156" s="15">
        <v>0</v>
      </c>
      <c r="C156" s="19">
        <v>500</v>
      </c>
      <c r="D156" s="25">
        <v>1</v>
      </c>
      <c r="E156" s="26" t="s">
        <v>349</v>
      </c>
      <c r="F156" s="26" t="s">
        <v>552</v>
      </c>
      <c r="G156" s="31">
        <v>44440</v>
      </c>
      <c r="H156" s="27"/>
      <c r="I156" s="34"/>
      <c r="J156" s="23">
        <f t="shared" si="16"/>
        <v>222240</v>
      </c>
    </row>
    <row r="157" spans="1:10" thickTop="1" thickBot="1">
      <c r="A157" s="15" t="s">
        <v>627</v>
      </c>
      <c r="B157" s="15">
        <v>0</v>
      </c>
      <c r="C157" s="19">
        <v>2500</v>
      </c>
      <c r="D157" s="25">
        <v>1</v>
      </c>
      <c r="E157" s="26" t="s">
        <v>348</v>
      </c>
      <c r="F157" s="26" t="s">
        <v>549</v>
      </c>
      <c r="G157" s="31">
        <v>44440</v>
      </c>
      <c r="H157" s="27" t="s">
        <v>465</v>
      </c>
      <c r="I157" s="34" t="s">
        <v>684</v>
      </c>
      <c r="J157" s="23">
        <f t="shared" si="16"/>
        <v>224740</v>
      </c>
    </row>
    <row r="158" spans="1:10" thickTop="1" thickBot="1">
      <c r="A158" s="15" t="s">
        <v>628</v>
      </c>
      <c r="B158" s="15">
        <v>0</v>
      </c>
      <c r="C158" s="19">
        <v>6000</v>
      </c>
      <c r="D158" s="25">
        <v>1</v>
      </c>
      <c r="E158" s="26" t="s">
        <v>348</v>
      </c>
      <c r="F158" s="26" t="s">
        <v>549</v>
      </c>
      <c r="G158" s="31">
        <v>44440</v>
      </c>
      <c r="H158" s="27" t="s">
        <v>714</v>
      </c>
      <c r="I158" s="34" t="s">
        <v>684</v>
      </c>
      <c r="J158" s="23">
        <f t="shared" si="16"/>
        <v>230740</v>
      </c>
    </row>
    <row r="159" spans="1:10" thickTop="1" thickBot="1">
      <c r="A159" s="8" t="s">
        <v>409</v>
      </c>
      <c r="B159" s="15">
        <v>0</v>
      </c>
      <c r="C159" s="19">
        <v>305</v>
      </c>
      <c r="D159" s="25">
        <v>1</v>
      </c>
      <c r="E159" s="26" t="s">
        <v>349</v>
      </c>
      <c r="F159" s="26" t="s">
        <v>552</v>
      </c>
      <c r="G159" s="31">
        <v>44470</v>
      </c>
      <c r="H159" s="27"/>
      <c r="I159" s="34"/>
      <c r="J159" s="23">
        <f t="shared" si="16"/>
        <v>231045</v>
      </c>
    </row>
    <row r="160" spans="1:10" thickTop="1" thickBot="1">
      <c r="A160" s="8" t="s">
        <v>557</v>
      </c>
      <c r="B160" s="15">
        <v>0</v>
      </c>
      <c r="C160" s="19">
        <v>350</v>
      </c>
      <c r="D160" s="25">
        <v>1</v>
      </c>
      <c r="E160" s="26" t="s">
        <v>513</v>
      </c>
      <c r="F160" s="26" t="s">
        <v>552</v>
      </c>
      <c r="G160" s="31">
        <v>44470</v>
      </c>
      <c r="H160" s="27"/>
      <c r="I160" s="34"/>
      <c r="J160" s="23">
        <f t="shared" si="16"/>
        <v>231395</v>
      </c>
    </row>
    <row r="161" spans="1:10" thickTop="1" thickBot="1">
      <c r="A161" s="8" t="s">
        <v>629</v>
      </c>
      <c r="B161" s="15">
        <v>300</v>
      </c>
      <c r="C161" s="19">
        <v>400</v>
      </c>
      <c r="D161" s="25">
        <v>1</v>
      </c>
      <c r="E161" s="26" t="s">
        <v>473</v>
      </c>
      <c r="F161" s="26" t="s">
        <v>552</v>
      </c>
      <c r="G161" s="31">
        <v>44470</v>
      </c>
      <c r="H161" s="27" t="s">
        <v>463</v>
      </c>
      <c r="I161" s="34" t="s">
        <v>684</v>
      </c>
      <c r="J161" s="23">
        <f t="shared" si="16"/>
        <v>231795</v>
      </c>
    </row>
    <row r="162" spans="1:10" thickTop="1" thickBot="1">
      <c r="A162" s="15" t="s">
        <v>631</v>
      </c>
      <c r="B162" s="15">
        <v>0</v>
      </c>
      <c r="C162" s="19">
        <v>300</v>
      </c>
      <c r="D162" s="25">
        <v>1</v>
      </c>
      <c r="E162" s="26" t="s">
        <v>357</v>
      </c>
      <c r="F162" s="26" t="s">
        <v>552</v>
      </c>
      <c r="G162" s="31">
        <v>44470</v>
      </c>
      <c r="H162" s="27"/>
      <c r="I162" s="34"/>
      <c r="J162" s="23">
        <f t="shared" si="16"/>
        <v>232095</v>
      </c>
    </row>
    <row r="163" spans="1:10" thickTop="1" thickBot="1">
      <c r="A163" s="15" t="s">
        <v>632</v>
      </c>
      <c r="B163" s="15">
        <v>0</v>
      </c>
      <c r="C163" s="19">
        <v>450</v>
      </c>
      <c r="D163" s="25">
        <v>2</v>
      </c>
      <c r="E163" s="26" t="s">
        <v>357</v>
      </c>
      <c r="F163" s="26" t="s">
        <v>552</v>
      </c>
      <c r="G163" s="31">
        <v>44470</v>
      </c>
      <c r="H163" s="27"/>
      <c r="I163" s="34"/>
      <c r="J163" s="23">
        <f t="shared" si="16"/>
        <v>232545</v>
      </c>
    </row>
    <row r="164" spans="1:10" thickTop="1" thickBot="1">
      <c r="A164" s="15" t="s">
        <v>633</v>
      </c>
      <c r="B164" s="15">
        <v>300</v>
      </c>
      <c r="C164" s="19">
        <v>200</v>
      </c>
      <c r="D164" s="25">
        <v>1</v>
      </c>
      <c r="E164" s="26" t="s">
        <v>473</v>
      </c>
      <c r="F164" s="26" t="s">
        <v>552</v>
      </c>
      <c r="G164" s="31">
        <v>44470</v>
      </c>
      <c r="H164" s="27" t="s">
        <v>463</v>
      </c>
      <c r="I164" s="34" t="s">
        <v>684</v>
      </c>
      <c r="J164" s="23">
        <f t="shared" si="16"/>
        <v>232745</v>
      </c>
    </row>
    <row r="165" spans="1:10" thickTop="1" thickBot="1">
      <c r="A165" s="15" t="s">
        <v>501</v>
      </c>
      <c r="B165" s="15">
        <v>0</v>
      </c>
      <c r="C165" s="19">
        <v>400</v>
      </c>
      <c r="D165" s="25">
        <v>1</v>
      </c>
      <c r="E165" s="26" t="s">
        <v>349</v>
      </c>
      <c r="F165" s="26" t="s">
        <v>552</v>
      </c>
      <c r="G165" s="31">
        <v>44470</v>
      </c>
      <c r="H165" s="27"/>
      <c r="I165" s="34"/>
      <c r="J165" s="23">
        <f t="shared" si="16"/>
        <v>233145</v>
      </c>
    </row>
    <row r="166" spans="1:10" thickTop="1" thickBot="1">
      <c r="A166" s="15" t="s">
        <v>501</v>
      </c>
      <c r="B166" s="15">
        <v>0</v>
      </c>
      <c r="C166" s="19">
        <v>275</v>
      </c>
      <c r="D166" s="25">
        <v>1</v>
      </c>
      <c r="E166" s="26" t="s">
        <v>349</v>
      </c>
      <c r="F166" s="26" t="s">
        <v>552</v>
      </c>
      <c r="G166" s="31">
        <v>44470</v>
      </c>
      <c r="H166" s="27"/>
      <c r="I166" s="34"/>
      <c r="J166" s="23">
        <f t="shared" si="16"/>
        <v>233420</v>
      </c>
    </row>
    <row r="167" spans="1:10" thickTop="1" thickBot="1">
      <c r="A167" s="15" t="s">
        <v>501</v>
      </c>
      <c r="B167" s="15">
        <v>0</v>
      </c>
      <c r="C167" s="19">
        <v>400</v>
      </c>
      <c r="D167" s="25">
        <v>1</v>
      </c>
      <c r="E167" s="26" t="s">
        <v>349</v>
      </c>
      <c r="F167" s="26" t="s">
        <v>552</v>
      </c>
      <c r="G167" s="31">
        <v>44470</v>
      </c>
      <c r="H167" s="27"/>
      <c r="I167" s="34"/>
      <c r="J167" s="23">
        <f t="shared" si="16"/>
        <v>233820</v>
      </c>
    </row>
    <row r="168" spans="1:10" thickTop="1" thickBot="1">
      <c r="A168" s="15" t="s">
        <v>466</v>
      </c>
      <c r="B168" s="15">
        <v>0</v>
      </c>
      <c r="C168" s="19">
        <v>1500</v>
      </c>
      <c r="D168" s="25">
        <v>1</v>
      </c>
      <c r="E168" s="26" t="s">
        <v>350</v>
      </c>
      <c r="F168" s="26" t="s">
        <v>548</v>
      </c>
      <c r="G168" s="31">
        <v>44470</v>
      </c>
      <c r="H168" s="27" t="s">
        <v>829</v>
      </c>
      <c r="I168" s="34" t="s">
        <v>831</v>
      </c>
      <c r="J168" s="23">
        <f t="shared" si="16"/>
        <v>235320</v>
      </c>
    </row>
    <row r="169" spans="1:10" thickTop="1" thickBot="1">
      <c r="A169" s="15" t="s">
        <v>634</v>
      </c>
      <c r="B169" s="15">
        <v>0</v>
      </c>
      <c r="C169" s="19">
        <v>2000</v>
      </c>
      <c r="D169" s="25">
        <v>1</v>
      </c>
      <c r="E169" s="26" t="s">
        <v>352</v>
      </c>
      <c r="F169" s="26" t="s">
        <v>548</v>
      </c>
      <c r="G169" s="31">
        <v>44470</v>
      </c>
      <c r="H169" s="27" t="s">
        <v>479</v>
      </c>
      <c r="I169" s="34" t="s">
        <v>684</v>
      </c>
      <c r="J169" s="23">
        <f t="shared" si="16"/>
        <v>237320</v>
      </c>
    </row>
    <row r="170" spans="1:10" thickTop="1" thickBot="1">
      <c r="A170" s="15" t="s">
        <v>635</v>
      </c>
      <c r="B170" s="15">
        <v>0</v>
      </c>
      <c r="C170" s="19">
        <v>80</v>
      </c>
      <c r="D170" s="25">
        <v>0</v>
      </c>
      <c r="E170" s="26" t="s">
        <v>49</v>
      </c>
      <c r="F170" s="26" t="s">
        <v>548</v>
      </c>
      <c r="G170" s="31">
        <v>44470</v>
      </c>
      <c r="H170" s="27"/>
      <c r="I170" s="34"/>
      <c r="J170" s="23">
        <f t="shared" si="16"/>
        <v>237400</v>
      </c>
    </row>
    <row r="171" spans="1:10" thickTop="1" thickBot="1">
      <c r="A171" s="15" t="s">
        <v>557</v>
      </c>
      <c r="B171" s="15">
        <v>0</v>
      </c>
      <c r="C171" s="19">
        <v>250</v>
      </c>
      <c r="D171" s="25">
        <v>1</v>
      </c>
      <c r="E171" s="26" t="s">
        <v>513</v>
      </c>
      <c r="F171" s="26" t="s">
        <v>552</v>
      </c>
      <c r="G171" s="31">
        <v>44470</v>
      </c>
      <c r="H171" s="27"/>
      <c r="I171" s="34"/>
      <c r="J171" s="23">
        <f t="shared" si="16"/>
        <v>237650</v>
      </c>
    </row>
    <row r="172" spans="1:10" thickTop="1" thickBot="1">
      <c r="A172" s="15" t="s">
        <v>501</v>
      </c>
      <c r="B172" s="15">
        <v>0</v>
      </c>
      <c r="C172" s="19">
        <v>350</v>
      </c>
      <c r="D172" s="25">
        <v>1</v>
      </c>
      <c r="E172" s="26" t="s">
        <v>349</v>
      </c>
      <c r="F172" s="26" t="s">
        <v>552</v>
      </c>
      <c r="G172" s="31">
        <v>44470</v>
      </c>
      <c r="H172" s="27"/>
      <c r="I172" s="34"/>
      <c r="J172" s="23">
        <f t="shared" si="16"/>
        <v>238000</v>
      </c>
    </row>
    <row r="173" spans="1:10" thickTop="1" thickBot="1">
      <c r="A173" s="15" t="s">
        <v>683</v>
      </c>
      <c r="B173" s="15">
        <v>0</v>
      </c>
      <c r="C173" s="19">
        <v>12000</v>
      </c>
      <c r="D173" s="25">
        <v>1</v>
      </c>
      <c r="E173" s="26" t="s">
        <v>350</v>
      </c>
      <c r="F173" s="26" t="s">
        <v>549</v>
      </c>
      <c r="G173" s="31">
        <v>44501</v>
      </c>
      <c r="H173" s="27" t="s">
        <v>838</v>
      </c>
      <c r="I173" s="34" t="s">
        <v>684</v>
      </c>
      <c r="J173" s="23">
        <f t="shared" si="16"/>
        <v>250000</v>
      </c>
    </row>
    <row r="174" spans="1:10" thickTop="1" thickBot="1">
      <c r="A174" s="15" t="s">
        <v>686</v>
      </c>
      <c r="B174" s="15">
        <v>0</v>
      </c>
      <c r="C174" s="19">
        <v>1500</v>
      </c>
      <c r="D174" s="25">
        <v>1</v>
      </c>
      <c r="E174" s="26" t="s">
        <v>350</v>
      </c>
      <c r="F174" s="26" t="s">
        <v>549</v>
      </c>
      <c r="G174" s="31">
        <v>44501</v>
      </c>
      <c r="H174" s="27"/>
      <c r="I174" s="34"/>
      <c r="J174" s="23">
        <f t="shared" si="16"/>
        <v>251500</v>
      </c>
    </row>
    <row r="175" spans="1:10" thickTop="1" thickBot="1">
      <c r="A175" s="15" t="s">
        <v>685</v>
      </c>
      <c r="B175" s="15">
        <v>0</v>
      </c>
      <c r="C175" s="19">
        <v>350</v>
      </c>
      <c r="D175" s="25">
        <v>1</v>
      </c>
      <c r="E175" s="26" t="s">
        <v>349</v>
      </c>
      <c r="F175" s="26" t="s">
        <v>552</v>
      </c>
      <c r="G175" s="31">
        <v>44501</v>
      </c>
      <c r="H175" s="27"/>
      <c r="I175" s="34"/>
      <c r="J175" s="23">
        <f t="shared" si="16"/>
        <v>251850</v>
      </c>
    </row>
    <row r="176" spans="1:10" thickTop="1" thickBot="1">
      <c r="A176" s="15" t="s">
        <v>683</v>
      </c>
      <c r="B176" s="15">
        <v>0</v>
      </c>
      <c r="C176" s="19">
        <v>5000</v>
      </c>
      <c r="D176" s="25">
        <v>1</v>
      </c>
      <c r="E176" s="26" t="s">
        <v>350</v>
      </c>
      <c r="F176" s="26" t="s">
        <v>549</v>
      </c>
      <c r="G176" s="31">
        <v>44501</v>
      </c>
      <c r="H176" s="27" t="s">
        <v>838</v>
      </c>
      <c r="I176" s="34" t="s">
        <v>684</v>
      </c>
      <c r="J176" s="23">
        <f t="shared" si="16"/>
        <v>256850</v>
      </c>
    </row>
    <row r="177" spans="1:10" thickTop="1" thickBot="1">
      <c r="A177" s="15" t="s">
        <v>709</v>
      </c>
      <c r="B177" s="15">
        <v>3000</v>
      </c>
      <c r="C177" s="19">
        <v>0</v>
      </c>
      <c r="D177" s="25">
        <v>2</v>
      </c>
      <c r="E177" s="26" t="s">
        <v>350</v>
      </c>
      <c r="F177" s="26" t="s">
        <v>549</v>
      </c>
      <c r="G177" s="31">
        <v>44501</v>
      </c>
      <c r="H177" s="27"/>
      <c r="I177" s="34"/>
      <c r="J177" s="23">
        <f t="shared" si="16"/>
        <v>256850</v>
      </c>
    </row>
    <row r="178" spans="1:10" thickTop="1" thickBot="1">
      <c r="A178" s="15" t="s">
        <v>46</v>
      </c>
      <c r="B178" s="15">
        <v>0</v>
      </c>
      <c r="C178" s="19">
        <v>270</v>
      </c>
      <c r="D178" s="25">
        <v>0</v>
      </c>
      <c r="E178" s="26" t="s">
        <v>49</v>
      </c>
      <c r="F178" s="26" t="s">
        <v>548</v>
      </c>
      <c r="G178" s="31">
        <v>44501</v>
      </c>
      <c r="H178" s="27"/>
      <c r="I178" s="34"/>
      <c r="J178" s="23">
        <f t="shared" si="16"/>
        <v>257120</v>
      </c>
    </row>
    <row r="179" spans="1:10" thickTop="1" thickBot="1">
      <c r="A179" s="15" t="s">
        <v>723</v>
      </c>
      <c r="B179" s="15">
        <v>0</v>
      </c>
      <c r="C179" s="19">
        <v>60</v>
      </c>
      <c r="D179" s="25">
        <v>0</v>
      </c>
      <c r="E179" s="26" t="s">
        <v>49</v>
      </c>
      <c r="F179" s="26" t="s">
        <v>548</v>
      </c>
      <c r="G179" s="31">
        <v>44501</v>
      </c>
      <c r="H179" s="27"/>
      <c r="I179" s="34"/>
      <c r="J179" s="23">
        <f t="shared" si="16"/>
        <v>257180</v>
      </c>
    </row>
    <row r="180" spans="1:10" thickTop="1" thickBot="1">
      <c r="A180" s="15" t="s">
        <v>724</v>
      </c>
      <c r="B180" s="15">
        <v>0</v>
      </c>
      <c r="C180" s="19">
        <v>10</v>
      </c>
      <c r="D180" s="25">
        <v>0</v>
      </c>
      <c r="E180" s="26" t="s">
        <v>49</v>
      </c>
      <c r="F180" s="26" t="s">
        <v>548</v>
      </c>
      <c r="G180" s="31">
        <v>44501</v>
      </c>
      <c r="H180" s="27"/>
      <c r="I180" s="34"/>
      <c r="J180" s="23">
        <f t="shared" si="16"/>
        <v>257190</v>
      </c>
    </row>
    <row r="181" spans="1:10" thickTop="1" thickBot="1">
      <c r="A181" s="15">
        <v>441</v>
      </c>
      <c r="B181" s="15">
        <v>0</v>
      </c>
      <c r="C181" s="19">
        <v>740</v>
      </c>
      <c r="D181" s="25">
        <v>0</v>
      </c>
      <c r="E181" s="26" t="s">
        <v>49</v>
      </c>
      <c r="F181" s="26" t="s">
        <v>548</v>
      </c>
      <c r="G181" s="31">
        <v>44501</v>
      </c>
      <c r="H181" s="27"/>
      <c r="I181" s="34"/>
      <c r="J181" s="23">
        <f t="shared" si="16"/>
        <v>257930</v>
      </c>
    </row>
    <row r="182" spans="1:10" thickTop="1" thickBot="1">
      <c r="A182" s="15" t="s">
        <v>501</v>
      </c>
      <c r="B182" s="15">
        <v>0</v>
      </c>
      <c r="C182" s="19">
        <v>700</v>
      </c>
      <c r="D182" s="25">
        <v>1</v>
      </c>
      <c r="E182" s="26" t="s">
        <v>349</v>
      </c>
      <c r="F182" s="26" t="s">
        <v>552</v>
      </c>
      <c r="G182" s="31">
        <v>44531</v>
      </c>
      <c r="H182" s="27"/>
      <c r="I182" s="34"/>
      <c r="J182" s="23">
        <f t="shared" si="16"/>
        <v>258630</v>
      </c>
    </row>
    <row r="183" spans="1:10" thickTop="1" thickBot="1">
      <c r="A183" s="15">
        <v>11</v>
      </c>
      <c r="B183" s="15">
        <v>6000</v>
      </c>
      <c r="C183" s="19">
        <v>2800</v>
      </c>
      <c r="D183" s="25">
        <v>1</v>
      </c>
      <c r="E183" s="26" t="s">
        <v>350</v>
      </c>
      <c r="F183" s="26" t="s">
        <v>552</v>
      </c>
      <c r="G183" s="31">
        <v>44531</v>
      </c>
      <c r="H183" s="27"/>
      <c r="I183" s="34"/>
      <c r="J183" s="23">
        <f t="shared" si="16"/>
        <v>261430</v>
      </c>
    </row>
    <row r="184" spans="1:10" thickTop="1" thickBot="1">
      <c r="A184" s="15" t="s">
        <v>712</v>
      </c>
      <c r="B184" s="15">
        <v>0</v>
      </c>
      <c r="C184" s="19">
        <v>0</v>
      </c>
      <c r="D184" s="25">
        <v>1</v>
      </c>
      <c r="E184" s="26" t="s">
        <v>352</v>
      </c>
      <c r="F184" s="26" t="s">
        <v>549</v>
      </c>
      <c r="G184" s="31">
        <v>44531</v>
      </c>
      <c r="H184" s="27" t="s">
        <v>340</v>
      </c>
      <c r="I184" s="34" t="s">
        <v>684</v>
      </c>
      <c r="J184" s="23">
        <f t="shared" si="16"/>
        <v>261430</v>
      </c>
    </row>
    <row r="185" spans="1:10" thickTop="1" thickBot="1">
      <c r="A185" s="15" t="s">
        <v>713</v>
      </c>
      <c r="B185" s="15">
        <v>0</v>
      </c>
      <c r="C185" s="19">
        <v>0</v>
      </c>
      <c r="D185" s="25">
        <v>1</v>
      </c>
      <c r="E185" s="26" t="s">
        <v>350</v>
      </c>
      <c r="F185" s="26" t="s">
        <v>549</v>
      </c>
      <c r="G185" s="31">
        <v>44531</v>
      </c>
      <c r="H185" s="27" t="s">
        <v>340</v>
      </c>
      <c r="I185" s="34" t="s">
        <v>684</v>
      </c>
      <c r="J185" s="23">
        <f t="shared" si="16"/>
        <v>261430</v>
      </c>
    </row>
    <row r="186" spans="1:10" thickTop="1" thickBot="1">
      <c r="A186" s="15" t="s">
        <v>402</v>
      </c>
      <c r="B186" s="15">
        <v>0</v>
      </c>
      <c r="C186" s="19">
        <v>1000</v>
      </c>
      <c r="D186" s="25">
        <v>1</v>
      </c>
      <c r="E186" s="26" t="s">
        <v>348</v>
      </c>
      <c r="F186" s="26" t="s">
        <v>549</v>
      </c>
      <c r="G186" s="31">
        <v>44531</v>
      </c>
      <c r="H186" s="27"/>
      <c r="I186" s="34"/>
      <c r="J186" s="23">
        <f t="shared" si="16"/>
        <v>262430</v>
      </c>
    </row>
    <row r="187" spans="1:10" thickTop="1" thickBot="1">
      <c r="A187" s="15" t="s">
        <v>714</v>
      </c>
      <c r="B187" s="15">
        <v>0</v>
      </c>
      <c r="C187" s="19">
        <v>0</v>
      </c>
      <c r="D187" s="25">
        <v>1</v>
      </c>
      <c r="E187" s="26" t="s">
        <v>352</v>
      </c>
      <c r="F187" s="26" t="s">
        <v>549</v>
      </c>
      <c r="G187" s="31">
        <v>44531</v>
      </c>
      <c r="H187" s="27"/>
      <c r="I187" s="34"/>
      <c r="J187" s="23">
        <f t="shared" si="16"/>
        <v>262430</v>
      </c>
    </row>
    <row r="188" spans="1:10" thickTop="1" thickBot="1">
      <c r="A188" s="15" t="s">
        <v>715</v>
      </c>
      <c r="B188" s="15">
        <v>0</v>
      </c>
      <c r="C188" s="19">
        <v>0</v>
      </c>
      <c r="D188" s="25">
        <v>1</v>
      </c>
      <c r="E188" s="26" t="s">
        <v>350</v>
      </c>
      <c r="F188" s="26" t="s">
        <v>549</v>
      </c>
      <c r="G188" s="31">
        <v>44531</v>
      </c>
      <c r="H188" s="27" t="s">
        <v>594</v>
      </c>
      <c r="I188" s="34" t="s">
        <v>684</v>
      </c>
      <c r="J188" s="23">
        <f t="shared" si="16"/>
        <v>262430</v>
      </c>
    </row>
    <row r="189" spans="1:10" thickTop="1" thickBot="1">
      <c r="A189" s="15" t="s">
        <v>716</v>
      </c>
      <c r="B189" s="15">
        <v>0</v>
      </c>
      <c r="C189" s="19">
        <v>150</v>
      </c>
      <c r="D189" s="25">
        <v>1</v>
      </c>
      <c r="E189" s="26" t="s">
        <v>349</v>
      </c>
      <c r="F189" s="26" t="s">
        <v>552</v>
      </c>
      <c r="G189" s="31">
        <v>44531</v>
      </c>
      <c r="H189" s="27"/>
      <c r="I189" s="34"/>
      <c r="J189" s="23">
        <f t="shared" si="16"/>
        <v>262580</v>
      </c>
    </row>
    <row r="190" spans="1:10" thickTop="1" thickBot="1">
      <c r="A190" s="15" t="s">
        <v>717</v>
      </c>
      <c r="B190" s="15">
        <v>2500</v>
      </c>
      <c r="C190" s="19">
        <v>0</v>
      </c>
      <c r="D190" s="25">
        <v>1</v>
      </c>
      <c r="E190" s="26" t="s">
        <v>350</v>
      </c>
      <c r="F190" s="26" t="s">
        <v>549</v>
      </c>
      <c r="G190" s="31">
        <v>44531</v>
      </c>
      <c r="H190" s="27"/>
      <c r="I190" s="34"/>
      <c r="J190" s="23">
        <f t="shared" si="16"/>
        <v>262580</v>
      </c>
    </row>
    <row r="191" spans="1:10" thickTop="1" thickBot="1">
      <c r="A191" s="15" t="s">
        <v>718</v>
      </c>
      <c r="B191" s="15">
        <v>0</v>
      </c>
      <c r="C191" s="19">
        <v>725</v>
      </c>
      <c r="D191" s="25">
        <v>1</v>
      </c>
      <c r="E191" s="26" t="s">
        <v>349</v>
      </c>
      <c r="F191" s="26" t="s">
        <v>552</v>
      </c>
      <c r="G191" s="31">
        <v>44531</v>
      </c>
      <c r="H191" s="27"/>
      <c r="I191" s="34"/>
      <c r="J191" s="23">
        <f t="shared" si="16"/>
        <v>263305</v>
      </c>
    </row>
    <row r="192" spans="1:10" thickTop="1" thickBot="1">
      <c r="A192" s="15" t="s">
        <v>719</v>
      </c>
      <c r="B192" s="15">
        <v>0</v>
      </c>
      <c r="C192" s="19">
        <v>150</v>
      </c>
      <c r="D192" s="25">
        <v>1</v>
      </c>
      <c r="E192" s="26" t="s">
        <v>350</v>
      </c>
      <c r="F192" s="26" t="s">
        <v>552</v>
      </c>
      <c r="G192" s="31">
        <v>44531</v>
      </c>
      <c r="H192" s="27" t="s">
        <v>829</v>
      </c>
      <c r="I192" s="34" t="s">
        <v>831</v>
      </c>
      <c r="J192" s="23">
        <f t="shared" si="16"/>
        <v>263455</v>
      </c>
    </row>
    <row r="193" spans="1:10" thickTop="1" thickBot="1">
      <c r="A193" s="15" t="s">
        <v>720</v>
      </c>
      <c r="B193" s="15">
        <v>0</v>
      </c>
      <c r="C193" s="19">
        <v>600</v>
      </c>
      <c r="D193" s="25">
        <v>1</v>
      </c>
      <c r="E193" s="26" t="s">
        <v>348</v>
      </c>
      <c r="F193" s="26" t="s">
        <v>549</v>
      </c>
      <c r="G193" s="31">
        <v>44531</v>
      </c>
      <c r="H193" s="27" t="s">
        <v>837</v>
      </c>
      <c r="I193" s="34" t="s">
        <v>684</v>
      </c>
      <c r="J193" s="23">
        <f t="shared" si="16"/>
        <v>264055</v>
      </c>
    </row>
    <row r="194" spans="1:10" thickTop="1" thickBot="1">
      <c r="A194" s="8" t="s">
        <v>467</v>
      </c>
      <c r="B194" s="15">
        <v>300</v>
      </c>
      <c r="C194" s="19">
        <v>200</v>
      </c>
      <c r="D194" s="25">
        <v>1</v>
      </c>
      <c r="E194" s="26" t="s">
        <v>467</v>
      </c>
      <c r="F194" s="26" t="s">
        <v>552</v>
      </c>
      <c r="G194" s="31">
        <v>44531</v>
      </c>
      <c r="H194" s="27"/>
      <c r="I194" s="34"/>
      <c r="J194" s="23">
        <f t="shared" si="16"/>
        <v>264255</v>
      </c>
    </row>
    <row r="195" spans="1:10" thickTop="1" thickBot="1">
      <c r="A195" s="8" t="s">
        <v>721</v>
      </c>
      <c r="B195" s="15">
        <v>0</v>
      </c>
      <c r="C195" s="19">
        <v>100</v>
      </c>
      <c r="D195" s="25">
        <v>1</v>
      </c>
      <c r="E195" s="26" t="s">
        <v>350</v>
      </c>
      <c r="F195" s="26" t="s">
        <v>552</v>
      </c>
      <c r="G195" s="31">
        <v>44531</v>
      </c>
      <c r="H195" s="27" t="s">
        <v>467</v>
      </c>
      <c r="I195" s="34" t="s">
        <v>684</v>
      </c>
      <c r="J195" s="23">
        <f t="shared" si="16"/>
        <v>264355</v>
      </c>
    </row>
    <row r="196" spans="1:10" thickTop="1" thickBot="1">
      <c r="A196" s="8" t="s">
        <v>722</v>
      </c>
      <c r="B196" s="15">
        <v>0</v>
      </c>
      <c r="C196" s="19">
        <v>790</v>
      </c>
      <c r="D196" s="25">
        <v>1</v>
      </c>
      <c r="E196" s="26" t="s">
        <v>352</v>
      </c>
      <c r="F196" s="26" t="s">
        <v>552</v>
      </c>
      <c r="G196" s="31">
        <v>44531</v>
      </c>
      <c r="H196" s="27" t="s">
        <v>833</v>
      </c>
      <c r="I196" s="34" t="s">
        <v>682</v>
      </c>
      <c r="J196" s="23">
        <f t="shared" si="16"/>
        <v>265145</v>
      </c>
    </row>
    <row r="197" spans="1:10" thickTop="1" thickBot="1">
      <c r="A197" s="15" t="s">
        <v>591</v>
      </c>
      <c r="B197" s="15">
        <v>0</v>
      </c>
      <c r="C197" s="19">
        <v>0</v>
      </c>
      <c r="D197" s="25">
        <v>1</v>
      </c>
      <c r="E197" s="26" t="s">
        <v>352</v>
      </c>
      <c r="F197" s="26" t="s">
        <v>549</v>
      </c>
      <c r="G197" s="31">
        <v>44531</v>
      </c>
      <c r="H197" s="27"/>
      <c r="I197" s="34"/>
      <c r="J197" s="23">
        <f t="shared" ref="J197:J260" si="17">SUM(C197,J196)</f>
        <v>265145</v>
      </c>
    </row>
    <row r="198" spans="1:10" thickTop="1" thickBot="1">
      <c r="A198" s="15" t="s">
        <v>592</v>
      </c>
      <c r="B198" s="15">
        <v>0</v>
      </c>
      <c r="C198" s="19">
        <v>0</v>
      </c>
      <c r="D198" s="25">
        <v>1</v>
      </c>
      <c r="E198" s="26" t="s">
        <v>352</v>
      </c>
      <c r="F198" s="26" t="s">
        <v>549</v>
      </c>
      <c r="G198" s="31">
        <v>44531</v>
      </c>
      <c r="H198" s="27"/>
      <c r="I198" s="34"/>
      <c r="J198" s="23">
        <f t="shared" si="17"/>
        <v>265145</v>
      </c>
    </row>
    <row r="199" spans="1:10" thickTop="1" thickBot="1">
      <c r="A199" s="15" t="s">
        <v>735</v>
      </c>
      <c r="B199" s="15">
        <v>0</v>
      </c>
      <c r="C199" s="19">
        <v>600</v>
      </c>
      <c r="D199" s="25">
        <v>1</v>
      </c>
      <c r="E199" s="26" t="s">
        <v>350</v>
      </c>
      <c r="F199" s="26" t="s">
        <v>552</v>
      </c>
      <c r="G199" s="31">
        <v>44531</v>
      </c>
      <c r="H199" s="27" t="s">
        <v>736</v>
      </c>
      <c r="I199" s="34" t="s">
        <v>684</v>
      </c>
      <c r="J199" s="23">
        <f t="shared" si="17"/>
        <v>265745</v>
      </c>
    </row>
    <row r="200" spans="1:10" thickTop="1" thickBot="1">
      <c r="A200" s="15" t="s">
        <v>787</v>
      </c>
      <c r="B200" s="15">
        <v>0</v>
      </c>
      <c r="C200" s="19">
        <v>8000</v>
      </c>
      <c r="D200" s="25">
        <v>1</v>
      </c>
      <c r="E200" s="26" t="s">
        <v>350</v>
      </c>
      <c r="F200" s="26" t="s">
        <v>548</v>
      </c>
      <c r="G200" s="31">
        <v>44531</v>
      </c>
      <c r="H200" s="27"/>
      <c r="I200" s="34"/>
      <c r="J200" s="23">
        <f t="shared" si="17"/>
        <v>273745</v>
      </c>
    </row>
    <row r="201" spans="1:10" thickTop="1" thickBot="1">
      <c r="A201" s="15" t="s">
        <v>738</v>
      </c>
      <c r="B201" s="15">
        <v>0</v>
      </c>
      <c r="C201" s="19">
        <v>500</v>
      </c>
      <c r="D201" s="25">
        <v>2</v>
      </c>
      <c r="E201" s="26" t="s">
        <v>513</v>
      </c>
      <c r="F201" s="26" t="s">
        <v>549</v>
      </c>
      <c r="G201" s="31">
        <v>44531</v>
      </c>
      <c r="H201" s="27" t="s">
        <v>457</v>
      </c>
      <c r="I201" s="34" t="s">
        <v>684</v>
      </c>
      <c r="J201" s="23">
        <f t="shared" si="17"/>
        <v>274245</v>
      </c>
    </row>
    <row r="202" spans="1:10" thickTop="1" thickBot="1">
      <c r="A202" s="15" t="s">
        <v>740</v>
      </c>
      <c r="B202" s="15">
        <v>0</v>
      </c>
      <c r="C202" s="19">
        <v>1000</v>
      </c>
      <c r="D202" s="25">
        <v>1</v>
      </c>
      <c r="E202" s="26" t="s">
        <v>350</v>
      </c>
      <c r="F202" s="26" t="s">
        <v>549</v>
      </c>
      <c r="G202" s="31">
        <v>44531</v>
      </c>
      <c r="H202" s="27" t="s">
        <v>566</v>
      </c>
      <c r="I202" s="34" t="s">
        <v>830</v>
      </c>
      <c r="J202" s="23">
        <f t="shared" si="17"/>
        <v>275245</v>
      </c>
    </row>
    <row r="203" spans="1:10" thickTop="1" thickBot="1">
      <c r="A203" s="15" t="s">
        <v>748</v>
      </c>
      <c r="B203" s="15">
        <v>0</v>
      </c>
      <c r="C203" s="19">
        <v>140</v>
      </c>
      <c r="D203" s="25">
        <v>0</v>
      </c>
      <c r="E203" s="26" t="s">
        <v>49</v>
      </c>
      <c r="F203" s="26" t="s">
        <v>548</v>
      </c>
      <c r="G203" s="31">
        <v>44531</v>
      </c>
      <c r="H203" s="27"/>
      <c r="I203" s="34"/>
      <c r="J203" s="23">
        <f t="shared" si="17"/>
        <v>275385</v>
      </c>
    </row>
    <row r="204" spans="1:10" thickTop="1" thickBot="1">
      <c r="A204" s="15" t="s">
        <v>749</v>
      </c>
      <c r="B204" s="15">
        <v>0</v>
      </c>
      <c r="C204" s="19">
        <v>200</v>
      </c>
      <c r="D204" s="25">
        <v>0</v>
      </c>
      <c r="E204" s="26" t="s">
        <v>49</v>
      </c>
      <c r="F204" s="26" t="s">
        <v>549</v>
      </c>
      <c r="G204" s="31">
        <v>44531</v>
      </c>
      <c r="H204" s="27"/>
      <c r="I204" s="34"/>
      <c r="J204" s="23">
        <f t="shared" si="17"/>
        <v>275585</v>
      </c>
    </row>
    <row r="205" spans="1:10" thickTop="1" thickBot="1">
      <c r="A205" s="15" t="s">
        <v>750</v>
      </c>
      <c r="B205" s="15">
        <v>0</v>
      </c>
      <c r="C205" s="19">
        <v>350</v>
      </c>
      <c r="D205" s="25">
        <v>1</v>
      </c>
      <c r="E205" s="26" t="s">
        <v>350</v>
      </c>
      <c r="F205" s="26" t="s">
        <v>552</v>
      </c>
      <c r="G205" s="31">
        <v>44531</v>
      </c>
      <c r="H205" s="27"/>
      <c r="I205" s="34"/>
      <c r="J205" s="23">
        <f t="shared" si="17"/>
        <v>275935</v>
      </c>
    </row>
    <row r="206" spans="1:10" thickTop="1" thickBot="1">
      <c r="A206" s="15" t="s">
        <v>756</v>
      </c>
      <c r="B206" s="15">
        <v>0</v>
      </c>
      <c r="C206" s="19">
        <v>0</v>
      </c>
      <c r="D206" s="25">
        <v>3</v>
      </c>
      <c r="E206" s="26" t="s">
        <v>348</v>
      </c>
      <c r="F206" s="26" t="s">
        <v>549</v>
      </c>
      <c r="G206" s="31">
        <v>44562</v>
      </c>
      <c r="H206" s="27" t="s">
        <v>402</v>
      </c>
      <c r="I206" s="34" t="s">
        <v>830</v>
      </c>
      <c r="J206" s="23">
        <f t="shared" si="17"/>
        <v>275935</v>
      </c>
    </row>
    <row r="207" spans="1:10" thickTop="1" thickBot="1">
      <c r="A207" s="15" t="s">
        <v>757</v>
      </c>
      <c r="B207" s="15">
        <v>0</v>
      </c>
      <c r="C207" s="19">
        <v>500</v>
      </c>
      <c r="D207" s="25">
        <v>4</v>
      </c>
      <c r="E207" s="26" t="s">
        <v>348</v>
      </c>
      <c r="F207" s="26" t="s">
        <v>549</v>
      </c>
      <c r="G207" s="31">
        <v>44562</v>
      </c>
      <c r="H207" s="27" t="s">
        <v>340</v>
      </c>
      <c r="I207" s="34" t="s">
        <v>830</v>
      </c>
      <c r="J207" s="23">
        <f t="shared" si="17"/>
        <v>276435</v>
      </c>
    </row>
    <row r="208" spans="1:10" thickTop="1" thickBot="1">
      <c r="A208" s="15" t="s">
        <v>560</v>
      </c>
      <c r="B208" s="15">
        <v>0</v>
      </c>
      <c r="C208" s="19">
        <v>500</v>
      </c>
      <c r="D208" s="25">
        <v>1</v>
      </c>
      <c r="E208" s="26" t="s">
        <v>350</v>
      </c>
      <c r="F208" s="26" t="s">
        <v>552</v>
      </c>
      <c r="G208" s="31">
        <v>44562</v>
      </c>
      <c r="H208" s="27"/>
      <c r="I208" s="34"/>
      <c r="J208" s="23">
        <f t="shared" si="17"/>
        <v>276935</v>
      </c>
    </row>
    <row r="209" spans="1:10" thickTop="1" thickBot="1">
      <c r="A209" s="15" t="s">
        <v>758</v>
      </c>
      <c r="B209" s="15">
        <v>0</v>
      </c>
      <c r="C209" s="19">
        <v>700</v>
      </c>
      <c r="D209" s="25">
        <v>1</v>
      </c>
      <c r="E209" s="26" t="s">
        <v>349</v>
      </c>
      <c r="F209" s="26" t="s">
        <v>549</v>
      </c>
      <c r="G209" s="31">
        <v>44562</v>
      </c>
      <c r="H209" s="27"/>
      <c r="I209" s="34"/>
      <c r="J209" s="23">
        <f t="shared" si="17"/>
        <v>277635</v>
      </c>
    </row>
    <row r="210" spans="1:10" thickTop="1" thickBot="1">
      <c r="A210" s="15" t="s">
        <v>610</v>
      </c>
      <c r="B210" s="15">
        <v>0</v>
      </c>
      <c r="C210" s="19">
        <v>1000</v>
      </c>
      <c r="D210" s="25">
        <v>1</v>
      </c>
      <c r="E210" s="26" t="s">
        <v>350</v>
      </c>
      <c r="F210" s="26" t="s">
        <v>550</v>
      </c>
      <c r="G210" s="31">
        <v>44562</v>
      </c>
      <c r="H210" s="27" t="s">
        <v>566</v>
      </c>
      <c r="I210" s="34" t="s">
        <v>830</v>
      </c>
      <c r="J210" s="23">
        <f t="shared" si="17"/>
        <v>278635</v>
      </c>
    </row>
    <row r="211" spans="1:10" thickTop="1" thickBot="1">
      <c r="A211" s="15" t="s">
        <v>760</v>
      </c>
      <c r="B211" s="15">
        <v>0</v>
      </c>
      <c r="C211" s="19">
        <v>150</v>
      </c>
      <c r="D211" s="25">
        <v>1</v>
      </c>
      <c r="E211" s="26" t="s">
        <v>351</v>
      </c>
      <c r="F211" s="26" t="s">
        <v>552</v>
      </c>
      <c r="G211" s="31">
        <v>44562</v>
      </c>
      <c r="H211" s="27" t="s">
        <v>457</v>
      </c>
      <c r="I211" s="34" t="s">
        <v>684</v>
      </c>
      <c r="J211" s="23">
        <f t="shared" si="17"/>
        <v>278785</v>
      </c>
    </row>
    <row r="212" spans="1:10" thickTop="1" thickBot="1">
      <c r="A212" s="15" t="s">
        <v>760</v>
      </c>
      <c r="B212" s="15">
        <v>0</v>
      </c>
      <c r="C212" s="19">
        <v>150</v>
      </c>
      <c r="D212" s="25">
        <v>1</v>
      </c>
      <c r="E212" s="26" t="s">
        <v>351</v>
      </c>
      <c r="F212" s="26" t="s">
        <v>552</v>
      </c>
      <c r="G212" s="31">
        <v>44562</v>
      </c>
      <c r="H212" s="27" t="s">
        <v>457</v>
      </c>
      <c r="I212" s="34" t="s">
        <v>684</v>
      </c>
      <c r="J212" s="23">
        <f t="shared" si="17"/>
        <v>278935</v>
      </c>
    </row>
    <row r="213" spans="1:10" thickTop="1" thickBot="1">
      <c r="A213" s="15" t="s">
        <v>768</v>
      </c>
      <c r="B213" s="15">
        <v>0</v>
      </c>
      <c r="C213" s="19">
        <v>100</v>
      </c>
      <c r="D213" s="25">
        <v>1</v>
      </c>
      <c r="E213" s="26" t="s">
        <v>559</v>
      </c>
      <c r="F213" s="26" t="s">
        <v>552</v>
      </c>
      <c r="G213" s="31">
        <v>44562</v>
      </c>
      <c r="H213" s="27"/>
      <c r="I213" s="34"/>
      <c r="J213" s="23">
        <f t="shared" si="17"/>
        <v>279035</v>
      </c>
    </row>
    <row r="214" spans="1:10" thickTop="1" thickBot="1">
      <c r="A214" s="15" t="s">
        <v>769</v>
      </c>
      <c r="B214" s="15">
        <v>0</v>
      </c>
      <c r="C214" s="19">
        <v>1100</v>
      </c>
      <c r="D214" s="25">
        <v>1</v>
      </c>
      <c r="E214" s="26" t="s">
        <v>350</v>
      </c>
      <c r="F214" s="26" t="s">
        <v>550</v>
      </c>
      <c r="G214" s="31">
        <v>44562</v>
      </c>
      <c r="H214" s="27" t="s">
        <v>307</v>
      </c>
      <c r="I214" s="34" t="s">
        <v>682</v>
      </c>
      <c r="J214" s="23">
        <f t="shared" si="17"/>
        <v>280135</v>
      </c>
    </row>
    <row r="215" spans="1:10" thickTop="1" thickBot="1">
      <c r="A215" s="15" t="s">
        <v>775</v>
      </c>
      <c r="B215" s="15">
        <v>0</v>
      </c>
      <c r="C215" s="19">
        <v>400</v>
      </c>
      <c r="D215" s="25">
        <v>0</v>
      </c>
      <c r="E215" s="26" t="s">
        <v>49</v>
      </c>
      <c r="F215" s="26" t="s">
        <v>550</v>
      </c>
      <c r="G215" s="31">
        <v>44562</v>
      </c>
      <c r="H215" s="27"/>
      <c r="I215" s="34"/>
      <c r="J215" s="23">
        <f t="shared" si="17"/>
        <v>280535</v>
      </c>
    </row>
    <row r="216" spans="1:10" thickTop="1" thickBot="1">
      <c r="A216" s="15" t="s">
        <v>769</v>
      </c>
      <c r="B216" s="15">
        <v>0</v>
      </c>
      <c r="C216" s="19">
        <v>1000</v>
      </c>
      <c r="D216" s="25">
        <v>1</v>
      </c>
      <c r="E216" s="26" t="s">
        <v>350</v>
      </c>
      <c r="F216" s="26" t="s">
        <v>550</v>
      </c>
      <c r="G216" s="31">
        <v>44562</v>
      </c>
      <c r="H216" s="27" t="s">
        <v>307</v>
      </c>
      <c r="I216" s="34" t="s">
        <v>682</v>
      </c>
      <c r="J216" s="23">
        <f t="shared" si="17"/>
        <v>281535</v>
      </c>
    </row>
    <row r="217" spans="1:10" thickTop="1" thickBot="1">
      <c r="A217" s="15" t="s">
        <v>776</v>
      </c>
      <c r="B217" s="15">
        <v>0</v>
      </c>
      <c r="C217" s="19">
        <v>1500</v>
      </c>
      <c r="D217" s="25">
        <v>1</v>
      </c>
      <c r="E217" s="26" t="s">
        <v>350</v>
      </c>
      <c r="F217" s="26" t="s">
        <v>549</v>
      </c>
      <c r="G217" s="31">
        <v>44562</v>
      </c>
      <c r="H217" s="27" t="s">
        <v>340</v>
      </c>
      <c r="I217" s="34" t="s">
        <v>830</v>
      </c>
      <c r="J217" s="23">
        <f t="shared" si="17"/>
        <v>283035</v>
      </c>
    </row>
    <row r="218" spans="1:10" thickTop="1" thickBot="1">
      <c r="A218" s="15" t="s">
        <v>780</v>
      </c>
      <c r="B218" s="15">
        <v>0</v>
      </c>
      <c r="C218" s="19">
        <v>0</v>
      </c>
      <c r="D218" s="25">
        <v>3</v>
      </c>
      <c r="E218" s="26" t="s">
        <v>348</v>
      </c>
      <c r="F218" s="26" t="s">
        <v>549</v>
      </c>
      <c r="G218" s="31">
        <v>44593</v>
      </c>
      <c r="H218" s="27" t="s">
        <v>788</v>
      </c>
      <c r="I218" s="34" t="s">
        <v>830</v>
      </c>
      <c r="J218" s="23">
        <f t="shared" si="17"/>
        <v>283035</v>
      </c>
    </row>
    <row r="219" spans="1:10" thickTop="1" thickBot="1">
      <c r="A219" s="15" t="s">
        <v>781</v>
      </c>
      <c r="B219" s="15">
        <v>0</v>
      </c>
      <c r="C219" s="19">
        <v>0</v>
      </c>
      <c r="D219" s="25">
        <v>2</v>
      </c>
      <c r="E219" s="26" t="s">
        <v>348</v>
      </c>
      <c r="F219" s="26" t="s">
        <v>549</v>
      </c>
      <c r="G219" s="31">
        <v>44593</v>
      </c>
      <c r="H219" s="27" t="s">
        <v>362</v>
      </c>
      <c r="I219" s="34" t="s">
        <v>684</v>
      </c>
      <c r="J219" s="23">
        <f t="shared" si="17"/>
        <v>283035</v>
      </c>
    </row>
    <row r="220" spans="1:10" thickTop="1" thickBot="1">
      <c r="A220" s="15" t="s">
        <v>782</v>
      </c>
      <c r="B220" s="15">
        <v>0</v>
      </c>
      <c r="C220" s="19">
        <v>0</v>
      </c>
      <c r="D220" s="25">
        <v>1</v>
      </c>
      <c r="E220" s="26" t="s">
        <v>350</v>
      </c>
      <c r="F220" s="26" t="s">
        <v>549</v>
      </c>
      <c r="G220" s="31">
        <v>44593</v>
      </c>
      <c r="H220" s="27" t="s">
        <v>736</v>
      </c>
      <c r="I220" s="34" t="s">
        <v>684</v>
      </c>
      <c r="J220" s="23">
        <f t="shared" si="17"/>
        <v>283035</v>
      </c>
    </row>
    <row r="221" spans="1:10" thickTop="1" thickBot="1">
      <c r="A221" s="15" t="s">
        <v>783</v>
      </c>
      <c r="B221" s="15">
        <v>0</v>
      </c>
      <c r="C221" s="19">
        <v>0</v>
      </c>
      <c r="D221" s="25">
        <v>1</v>
      </c>
      <c r="E221" s="26" t="s">
        <v>348</v>
      </c>
      <c r="F221" s="26" t="s">
        <v>549</v>
      </c>
      <c r="G221" s="31">
        <v>44593</v>
      </c>
      <c r="H221" s="27" t="s">
        <v>829</v>
      </c>
      <c r="I221" s="34" t="s">
        <v>832</v>
      </c>
      <c r="J221" s="23">
        <f t="shared" si="17"/>
        <v>283035</v>
      </c>
    </row>
    <row r="222" spans="1:10" thickTop="1" thickBot="1">
      <c r="A222" s="15" t="s">
        <v>784</v>
      </c>
      <c r="B222" s="15">
        <v>0</v>
      </c>
      <c r="C222" s="19">
        <v>0</v>
      </c>
      <c r="D222" s="25">
        <v>1</v>
      </c>
      <c r="E222" s="26" t="s">
        <v>350</v>
      </c>
      <c r="F222" s="26" t="s">
        <v>549</v>
      </c>
      <c r="G222" s="31">
        <v>44593</v>
      </c>
      <c r="H222" s="27"/>
      <c r="I222" s="34"/>
      <c r="J222" s="23">
        <f t="shared" si="17"/>
        <v>283035</v>
      </c>
    </row>
    <row r="223" spans="1:10" thickTop="1" thickBot="1">
      <c r="A223" s="15" t="s">
        <v>785</v>
      </c>
      <c r="B223" s="15">
        <v>0</v>
      </c>
      <c r="C223" s="19">
        <v>0</v>
      </c>
      <c r="D223" s="25">
        <v>1</v>
      </c>
      <c r="E223" s="26" t="s">
        <v>348</v>
      </c>
      <c r="F223" s="26" t="s">
        <v>549</v>
      </c>
      <c r="G223" s="31">
        <v>44593</v>
      </c>
      <c r="H223" s="27" t="s">
        <v>714</v>
      </c>
      <c r="I223" s="34" t="s">
        <v>684</v>
      </c>
      <c r="J223" s="23">
        <f t="shared" si="17"/>
        <v>283035</v>
      </c>
    </row>
    <row r="224" spans="1:10" thickTop="1" thickBot="1">
      <c r="A224" s="15" t="s">
        <v>786</v>
      </c>
      <c r="B224" s="15">
        <v>0</v>
      </c>
      <c r="C224" s="19">
        <v>2000</v>
      </c>
      <c r="D224" s="25">
        <v>1</v>
      </c>
      <c r="E224" s="26" t="s">
        <v>350</v>
      </c>
      <c r="F224" s="26" t="s">
        <v>549</v>
      </c>
      <c r="G224" s="31">
        <v>44593</v>
      </c>
      <c r="H224" s="27"/>
      <c r="I224" s="34"/>
      <c r="J224" s="23">
        <f t="shared" si="17"/>
        <v>285035</v>
      </c>
    </row>
    <row r="225" spans="1:10" thickTop="1" thickBot="1">
      <c r="A225" s="15" t="s">
        <v>788</v>
      </c>
      <c r="B225" s="15">
        <v>0</v>
      </c>
      <c r="C225" s="19">
        <v>1500</v>
      </c>
      <c r="D225" s="25">
        <v>1</v>
      </c>
      <c r="E225" s="26" t="s">
        <v>348</v>
      </c>
      <c r="F225" s="26" t="s">
        <v>549</v>
      </c>
      <c r="G225" s="31">
        <v>44593</v>
      </c>
      <c r="H225" s="27"/>
      <c r="I225" s="34"/>
      <c r="J225" s="23">
        <f t="shared" si="17"/>
        <v>286535</v>
      </c>
    </row>
    <row r="226" spans="1:10" thickTop="1" thickBot="1">
      <c r="A226" s="15" t="s">
        <v>759</v>
      </c>
      <c r="B226" s="15">
        <v>0</v>
      </c>
      <c r="C226" s="19">
        <v>1500</v>
      </c>
      <c r="D226" s="25">
        <v>1</v>
      </c>
      <c r="E226" s="26" t="s">
        <v>350</v>
      </c>
      <c r="F226" s="26" t="s">
        <v>549</v>
      </c>
      <c r="G226" s="31">
        <v>44593</v>
      </c>
      <c r="H226" s="27" t="s">
        <v>566</v>
      </c>
      <c r="I226" s="34" t="s">
        <v>830</v>
      </c>
      <c r="J226" s="23">
        <f t="shared" si="17"/>
        <v>288035</v>
      </c>
    </row>
    <row r="227" spans="1:10" thickTop="1" thickBot="1">
      <c r="A227" s="15" t="s">
        <v>790</v>
      </c>
      <c r="B227" s="15">
        <v>0</v>
      </c>
      <c r="C227" s="19">
        <v>0</v>
      </c>
      <c r="D227" s="25">
        <v>2</v>
      </c>
      <c r="E227" s="26" t="s">
        <v>348</v>
      </c>
      <c r="F227" s="26" t="s">
        <v>549</v>
      </c>
      <c r="G227" s="31">
        <v>44593</v>
      </c>
      <c r="H227" s="27" t="s">
        <v>399</v>
      </c>
      <c r="I227" s="34" t="s">
        <v>684</v>
      </c>
      <c r="J227" s="23">
        <f t="shared" si="17"/>
        <v>288035</v>
      </c>
    </row>
    <row r="228" spans="1:10" thickTop="1" thickBot="1">
      <c r="A228" s="15" t="s">
        <v>791</v>
      </c>
      <c r="B228" s="15">
        <v>0</v>
      </c>
      <c r="C228" s="19">
        <v>250</v>
      </c>
      <c r="D228" s="25">
        <v>1</v>
      </c>
      <c r="E228" s="26" t="s">
        <v>348</v>
      </c>
      <c r="F228" s="26" t="s">
        <v>552</v>
      </c>
      <c r="G228" s="31">
        <v>44593</v>
      </c>
      <c r="H228" s="27" t="s">
        <v>836</v>
      </c>
      <c r="I228" s="34" t="s">
        <v>682</v>
      </c>
      <c r="J228" s="23">
        <f t="shared" si="17"/>
        <v>288285</v>
      </c>
    </row>
    <row r="229" spans="1:10" thickTop="1" thickBot="1">
      <c r="A229" s="15" t="s">
        <v>798</v>
      </c>
      <c r="B229" s="15">
        <v>0</v>
      </c>
      <c r="C229" s="19">
        <v>600</v>
      </c>
      <c r="D229" s="25">
        <v>0</v>
      </c>
      <c r="E229" s="26" t="s">
        <v>49</v>
      </c>
      <c r="F229" s="26" t="s">
        <v>549</v>
      </c>
      <c r="G229" s="31">
        <v>44593</v>
      </c>
      <c r="H229" s="27"/>
      <c r="I229" s="34"/>
      <c r="J229" s="23">
        <f t="shared" si="17"/>
        <v>288885</v>
      </c>
    </row>
    <row r="230" spans="1:10" thickTop="1" thickBot="1">
      <c r="A230" s="15" t="s">
        <v>799</v>
      </c>
      <c r="B230" s="15">
        <v>0</v>
      </c>
      <c r="C230" s="19">
        <v>400</v>
      </c>
      <c r="D230" s="25">
        <v>0</v>
      </c>
      <c r="E230" s="26" t="s">
        <v>49</v>
      </c>
      <c r="F230" s="26" t="s">
        <v>548</v>
      </c>
      <c r="G230" s="31">
        <v>44593</v>
      </c>
      <c r="H230" s="27"/>
      <c r="I230" s="34"/>
      <c r="J230" s="23">
        <f t="shared" si="17"/>
        <v>289285</v>
      </c>
    </row>
    <row r="231" spans="1:10" thickTop="1" thickBot="1">
      <c r="A231" s="15" t="s">
        <v>800</v>
      </c>
      <c r="B231" s="15">
        <v>0</v>
      </c>
      <c r="C231" s="19">
        <v>385</v>
      </c>
      <c r="D231" s="25">
        <v>0</v>
      </c>
      <c r="E231" s="26" t="s">
        <v>49</v>
      </c>
      <c r="F231" s="26" t="s">
        <v>549</v>
      </c>
      <c r="G231" s="31">
        <v>44593</v>
      </c>
      <c r="H231" s="27"/>
      <c r="I231" s="34"/>
      <c r="J231" s="23">
        <f t="shared" si="17"/>
        <v>289670</v>
      </c>
    </row>
    <row r="232" spans="1:10" thickTop="1" thickBot="1">
      <c r="A232" s="15" t="s">
        <v>501</v>
      </c>
      <c r="B232" s="15">
        <v>0</v>
      </c>
      <c r="C232" s="19">
        <v>150</v>
      </c>
      <c r="D232" s="25">
        <v>1</v>
      </c>
      <c r="E232" s="26" t="s">
        <v>349</v>
      </c>
      <c r="F232" s="26" t="s">
        <v>552</v>
      </c>
      <c r="G232" s="31">
        <v>44593</v>
      </c>
      <c r="H232" s="27"/>
      <c r="I232" s="34"/>
      <c r="J232" s="23">
        <f t="shared" si="17"/>
        <v>289820</v>
      </c>
    </row>
    <row r="233" spans="1:10" thickTop="1" thickBot="1">
      <c r="A233" s="15" t="s">
        <v>501</v>
      </c>
      <c r="B233" s="15">
        <v>0</v>
      </c>
      <c r="C233" s="19">
        <v>300</v>
      </c>
      <c r="D233" s="25">
        <v>1</v>
      </c>
      <c r="E233" s="26" t="s">
        <v>349</v>
      </c>
      <c r="F233" s="26" t="s">
        <v>552</v>
      </c>
      <c r="G233" s="31">
        <v>44593</v>
      </c>
      <c r="H233" s="27"/>
      <c r="I233" s="34"/>
      <c r="J233" s="23">
        <f t="shared" si="17"/>
        <v>290120</v>
      </c>
    </row>
    <row r="234" spans="1:10" thickTop="1" thickBot="1">
      <c r="A234" s="15" t="s">
        <v>801</v>
      </c>
      <c r="B234" s="15">
        <v>0</v>
      </c>
      <c r="C234" s="19">
        <v>400</v>
      </c>
      <c r="D234" s="25">
        <v>0</v>
      </c>
      <c r="E234" s="26" t="s">
        <v>49</v>
      </c>
      <c r="F234" s="26" t="s">
        <v>548</v>
      </c>
      <c r="G234" s="31">
        <v>44593</v>
      </c>
      <c r="H234" s="27"/>
      <c r="I234" s="34"/>
      <c r="J234" s="23">
        <f t="shared" si="17"/>
        <v>290520</v>
      </c>
    </row>
    <row r="235" spans="1:10" thickTop="1" thickBot="1">
      <c r="A235" s="15" t="s">
        <v>802</v>
      </c>
      <c r="B235" s="15">
        <v>0</v>
      </c>
      <c r="C235" s="19">
        <v>180</v>
      </c>
      <c r="D235" s="25">
        <v>0</v>
      </c>
      <c r="E235" s="26" t="s">
        <v>49</v>
      </c>
      <c r="F235" s="26" t="s">
        <v>548</v>
      </c>
      <c r="G235" s="31">
        <v>44593</v>
      </c>
      <c r="H235" s="27"/>
      <c r="I235" s="34"/>
      <c r="J235" s="23">
        <f t="shared" si="17"/>
        <v>290700</v>
      </c>
    </row>
    <row r="236" spans="1:10" thickTop="1" thickBot="1">
      <c r="A236" s="15" t="s">
        <v>46</v>
      </c>
      <c r="B236" s="15">
        <v>0</v>
      </c>
      <c r="C236" s="19">
        <v>160</v>
      </c>
      <c r="D236" s="25">
        <v>0</v>
      </c>
      <c r="E236" s="26" t="s">
        <v>49</v>
      </c>
      <c r="F236" s="26" t="s">
        <v>548</v>
      </c>
      <c r="G236" s="31">
        <v>44593</v>
      </c>
      <c r="H236" s="27"/>
      <c r="I236" s="34"/>
      <c r="J236" s="23">
        <f t="shared" si="17"/>
        <v>290860</v>
      </c>
    </row>
    <row r="237" spans="1:10" thickTop="1" thickBot="1">
      <c r="A237" s="15" t="s">
        <v>805</v>
      </c>
      <c r="B237" s="15">
        <v>0</v>
      </c>
      <c r="C237" s="19">
        <v>500</v>
      </c>
      <c r="D237" s="25">
        <v>1</v>
      </c>
      <c r="E237" s="26" t="s">
        <v>350</v>
      </c>
      <c r="F237" s="26" t="s">
        <v>552</v>
      </c>
      <c r="G237" s="31">
        <v>44621</v>
      </c>
      <c r="H237" s="27"/>
      <c r="I237" s="34"/>
      <c r="J237" s="23">
        <f t="shared" si="17"/>
        <v>291360</v>
      </c>
    </row>
    <row r="238" spans="1:10" thickTop="1" thickBot="1">
      <c r="A238" s="15" t="s">
        <v>807</v>
      </c>
      <c r="B238" s="15">
        <v>0</v>
      </c>
      <c r="C238" s="19">
        <v>850</v>
      </c>
      <c r="D238" s="25">
        <v>1</v>
      </c>
      <c r="E238" s="26" t="s">
        <v>348</v>
      </c>
      <c r="F238" s="26" t="s">
        <v>552</v>
      </c>
      <c r="G238" s="31">
        <v>44621</v>
      </c>
      <c r="H238" s="27"/>
      <c r="I238" s="34"/>
      <c r="J238" s="23">
        <f t="shared" si="17"/>
        <v>292210</v>
      </c>
    </row>
    <row r="239" spans="1:10" thickTop="1" thickBot="1">
      <c r="A239" s="15" t="s">
        <v>739</v>
      </c>
      <c r="B239" s="15">
        <v>0</v>
      </c>
      <c r="C239" s="19">
        <v>1200</v>
      </c>
      <c r="D239" s="25">
        <v>1</v>
      </c>
      <c r="E239" s="26" t="s">
        <v>350</v>
      </c>
      <c r="F239" s="26" t="s">
        <v>550</v>
      </c>
      <c r="G239" s="31">
        <v>44621</v>
      </c>
      <c r="H239" s="27" t="s">
        <v>524</v>
      </c>
      <c r="I239" s="34" t="s">
        <v>684</v>
      </c>
      <c r="J239" s="23">
        <f t="shared" si="17"/>
        <v>293410</v>
      </c>
    </row>
    <row r="240" spans="1:10" thickTop="1" thickBot="1">
      <c r="A240" s="15" t="s">
        <v>457</v>
      </c>
      <c r="B240" s="15">
        <v>0</v>
      </c>
      <c r="C240" s="19">
        <v>200</v>
      </c>
      <c r="D240" s="25">
        <v>1</v>
      </c>
      <c r="E240" s="26" t="s">
        <v>351</v>
      </c>
      <c r="F240" s="26" t="s">
        <v>552</v>
      </c>
      <c r="G240" s="31">
        <v>44621</v>
      </c>
      <c r="H240" s="27"/>
      <c r="I240" s="34"/>
      <c r="J240" s="23">
        <f t="shared" si="17"/>
        <v>293610</v>
      </c>
    </row>
    <row r="241" spans="1:10" thickTop="1" thickBot="1">
      <c r="A241" s="15" t="s">
        <v>813</v>
      </c>
      <c r="B241" s="15">
        <v>0</v>
      </c>
      <c r="C241" s="19">
        <v>1500</v>
      </c>
      <c r="D241" s="25">
        <v>2</v>
      </c>
      <c r="E241" s="26" t="s">
        <v>350</v>
      </c>
      <c r="F241" s="26" t="s">
        <v>550</v>
      </c>
      <c r="G241" s="31">
        <v>44621</v>
      </c>
      <c r="H241" s="27" t="s">
        <v>524</v>
      </c>
      <c r="I241" s="34" t="s">
        <v>684</v>
      </c>
      <c r="J241" s="23">
        <f t="shared" si="17"/>
        <v>295110</v>
      </c>
    </row>
    <row r="242" spans="1:10" thickTop="1" thickBot="1">
      <c r="A242" s="15" t="s">
        <v>814</v>
      </c>
      <c r="B242" s="15">
        <v>0</v>
      </c>
      <c r="C242" s="19">
        <v>1200</v>
      </c>
      <c r="D242" s="25">
        <v>1</v>
      </c>
      <c r="E242" s="26" t="s">
        <v>348</v>
      </c>
      <c r="F242" s="26" t="s">
        <v>550</v>
      </c>
      <c r="G242" s="31">
        <v>44621</v>
      </c>
      <c r="H242" s="27" t="s">
        <v>465</v>
      </c>
      <c r="I242" s="34" t="s">
        <v>830</v>
      </c>
      <c r="J242" s="23">
        <f t="shared" si="17"/>
        <v>296310</v>
      </c>
    </row>
    <row r="243" spans="1:10" thickTop="1" thickBot="1">
      <c r="A243" s="15" t="s">
        <v>825</v>
      </c>
      <c r="B243" s="15">
        <v>0</v>
      </c>
      <c r="C243" s="19">
        <v>420</v>
      </c>
      <c r="D243" s="25">
        <v>1</v>
      </c>
      <c r="E243" s="26" t="s">
        <v>348</v>
      </c>
      <c r="F243" s="26" t="s">
        <v>552</v>
      </c>
      <c r="G243" s="31">
        <v>44621</v>
      </c>
      <c r="H243" s="27" t="s">
        <v>829</v>
      </c>
      <c r="I243" s="34" t="s">
        <v>832</v>
      </c>
      <c r="J243" s="23">
        <f t="shared" si="17"/>
        <v>296730</v>
      </c>
    </row>
    <row r="244" spans="1:10" thickTop="1" thickBot="1">
      <c r="A244" s="15" t="s">
        <v>850</v>
      </c>
      <c r="B244" s="15">
        <v>0</v>
      </c>
      <c r="C244" s="19">
        <v>250</v>
      </c>
      <c r="D244" s="25">
        <v>2</v>
      </c>
      <c r="E244" s="26" t="s">
        <v>348</v>
      </c>
      <c r="F244" s="26" t="s">
        <v>552</v>
      </c>
      <c r="G244" s="31">
        <v>44621</v>
      </c>
      <c r="H244" s="27" t="s">
        <v>829</v>
      </c>
      <c r="I244" s="34" t="s">
        <v>832</v>
      </c>
      <c r="J244" s="23">
        <f t="shared" si="17"/>
        <v>296980</v>
      </c>
    </row>
    <row r="245" spans="1:10" thickTop="1" thickBot="1">
      <c r="A245" s="15" t="s">
        <v>852</v>
      </c>
      <c r="B245" s="15">
        <v>0</v>
      </c>
      <c r="C245" s="19">
        <v>0</v>
      </c>
      <c r="D245" s="25">
        <v>1</v>
      </c>
      <c r="E245" s="26" t="s">
        <v>348</v>
      </c>
      <c r="F245" s="26" t="s">
        <v>549</v>
      </c>
      <c r="G245" s="31">
        <v>44621</v>
      </c>
      <c r="H245" s="27"/>
      <c r="I245" s="34"/>
      <c r="J245" s="23">
        <f t="shared" si="17"/>
        <v>296980</v>
      </c>
    </row>
    <row r="246" spans="1:10" thickTop="1" thickBot="1">
      <c r="A246" s="15" t="s">
        <v>853</v>
      </c>
      <c r="B246" s="15">
        <v>0</v>
      </c>
      <c r="C246" s="19">
        <v>0</v>
      </c>
      <c r="D246" s="25">
        <v>1</v>
      </c>
      <c r="E246" s="26" t="s">
        <v>349</v>
      </c>
      <c r="F246" s="26" t="s">
        <v>549</v>
      </c>
      <c r="G246" s="31">
        <v>44621</v>
      </c>
      <c r="H246" s="27"/>
      <c r="I246" s="34"/>
      <c r="J246" s="23">
        <f t="shared" si="17"/>
        <v>296980</v>
      </c>
    </row>
    <row r="247" spans="1:10" thickTop="1" thickBot="1">
      <c r="A247" s="15" t="s">
        <v>861</v>
      </c>
      <c r="B247" s="15">
        <v>0</v>
      </c>
      <c r="C247" s="19">
        <v>6000</v>
      </c>
      <c r="D247" s="25">
        <v>1</v>
      </c>
      <c r="E247" s="26" t="s">
        <v>350</v>
      </c>
      <c r="F247" s="26" t="s">
        <v>547</v>
      </c>
      <c r="G247" s="31">
        <v>44652</v>
      </c>
      <c r="H247" s="27" t="s">
        <v>307</v>
      </c>
      <c r="I247" s="34" t="s">
        <v>682</v>
      </c>
      <c r="J247" s="23">
        <f t="shared" si="17"/>
        <v>302980</v>
      </c>
    </row>
    <row r="248" spans="1:10" thickTop="1" thickBot="1">
      <c r="A248" s="15" t="s">
        <v>307</v>
      </c>
      <c r="B248" s="15">
        <v>0</v>
      </c>
      <c r="C248" s="19">
        <v>3000</v>
      </c>
      <c r="D248" s="25">
        <v>1</v>
      </c>
      <c r="E248" s="26" t="s">
        <v>350</v>
      </c>
      <c r="F248" s="26" t="s">
        <v>549</v>
      </c>
      <c r="G248" s="31">
        <v>44652</v>
      </c>
      <c r="H248" s="27"/>
      <c r="I248" s="34"/>
      <c r="J248" s="23">
        <f t="shared" si="17"/>
        <v>305980</v>
      </c>
    </row>
    <row r="249" spans="1:10" thickTop="1" thickBot="1">
      <c r="A249" s="15" t="s">
        <v>862</v>
      </c>
      <c r="B249" s="15">
        <v>0</v>
      </c>
      <c r="C249" s="19">
        <v>190</v>
      </c>
      <c r="D249" s="25">
        <v>0</v>
      </c>
      <c r="E249" s="26" t="s">
        <v>49</v>
      </c>
      <c r="F249" s="26" t="s">
        <v>549</v>
      </c>
      <c r="G249" s="31">
        <v>44652</v>
      </c>
      <c r="H249" s="27"/>
      <c r="I249" s="34"/>
      <c r="J249" s="23">
        <f t="shared" si="17"/>
        <v>306170</v>
      </c>
    </row>
    <row r="250" spans="1:10" thickTop="1" thickBot="1">
      <c r="A250" s="15" t="s">
        <v>444</v>
      </c>
      <c r="B250" s="15">
        <v>0</v>
      </c>
      <c r="C250" s="19">
        <v>50</v>
      </c>
      <c r="D250" s="25">
        <v>0</v>
      </c>
      <c r="E250" s="26" t="s">
        <v>49</v>
      </c>
      <c r="F250" s="26" t="s">
        <v>549</v>
      </c>
      <c r="G250" s="31">
        <v>44652</v>
      </c>
      <c r="H250" s="27"/>
      <c r="I250" s="34"/>
      <c r="J250" s="23">
        <f t="shared" si="17"/>
        <v>306220</v>
      </c>
    </row>
    <row r="251" spans="1:10" thickTop="1" thickBot="1">
      <c r="A251" s="15" t="s">
        <v>863</v>
      </c>
      <c r="B251" s="15">
        <v>0</v>
      </c>
      <c r="C251" s="19">
        <v>250</v>
      </c>
      <c r="D251" s="25">
        <v>1</v>
      </c>
      <c r="E251" s="26" t="s">
        <v>348</v>
      </c>
      <c r="F251" s="26" t="s">
        <v>552</v>
      </c>
      <c r="G251" s="31">
        <v>44652</v>
      </c>
      <c r="H251" s="27" t="s">
        <v>362</v>
      </c>
      <c r="I251" s="34" t="s">
        <v>684</v>
      </c>
      <c r="J251" s="23">
        <f t="shared" si="17"/>
        <v>306470</v>
      </c>
    </row>
    <row r="252" spans="1:10" thickTop="1" thickBot="1">
      <c r="A252" s="15" t="s">
        <v>779</v>
      </c>
      <c r="B252" s="15">
        <v>0</v>
      </c>
      <c r="C252" s="19">
        <v>4700</v>
      </c>
      <c r="D252" s="25">
        <v>1</v>
      </c>
      <c r="E252" s="26" t="s">
        <v>350</v>
      </c>
      <c r="F252" s="26" t="s">
        <v>550</v>
      </c>
      <c r="G252" s="31">
        <v>44652</v>
      </c>
      <c r="H252" s="27"/>
      <c r="I252" s="34"/>
      <c r="J252" s="23">
        <f t="shared" si="17"/>
        <v>311170</v>
      </c>
    </row>
    <row r="253" spans="1:10" thickTop="1" thickBot="1">
      <c r="A253" s="15" t="s">
        <v>874</v>
      </c>
      <c r="B253" s="15">
        <v>0</v>
      </c>
      <c r="C253" s="19">
        <v>650</v>
      </c>
      <c r="D253" s="25">
        <v>1</v>
      </c>
      <c r="E253" s="26" t="s">
        <v>350</v>
      </c>
      <c r="F253" s="26" t="s">
        <v>552</v>
      </c>
      <c r="G253" s="31">
        <v>44682</v>
      </c>
      <c r="H253" s="27" t="s">
        <v>876</v>
      </c>
      <c r="I253" s="34" t="s">
        <v>684</v>
      </c>
      <c r="J253" s="23">
        <f t="shared" si="17"/>
        <v>311820</v>
      </c>
    </row>
    <row r="254" spans="1:10" thickTop="1" thickBot="1">
      <c r="A254" s="15" t="s">
        <v>557</v>
      </c>
      <c r="B254" s="15">
        <v>0</v>
      </c>
      <c r="C254" s="19">
        <v>500</v>
      </c>
      <c r="D254" s="25">
        <v>1</v>
      </c>
      <c r="E254" s="26" t="s">
        <v>513</v>
      </c>
      <c r="F254" s="26" t="s">
        <v>552</v>
      </c>
      <c r="G254" s="31">
        <v>44682</v>
      </c>
      <c r="H254" s="27"/>
      <c r="I254" s="34"/>
      <c r="J254" s="23">
        <f t="shared" si="17"/>
        <v>312320</v>
      </c>
    </row>
    <row r="255" spans="1:10" thickTop="1" thickBot="1">
      <c r="A255" s="15" t="s">
        <v>898</v>
      </c>
      <c r="B255" s="15">
        <v>0</v>
      </c>
      <c r="C255" s="19">
        <v>1000</v>
      </c>
      <c r="D255" s="25">
        <v>2</v>
      </c>
      <c r="E255" s="26" t="s">
        <v>350</v>
      </c>
      <c r="F255" s="26" t="s">
        <v>549</v>
      </c>
      <c r="G255" s="31">
        <v>44682</v>
      </c>
      <c r="H255" s="27" t="s">
        <v>524</v>
      </c>
      <c r="I255" s="34" t="s">
        <v>830</v>
      </c>
      <c r="J255" s="23">
        <f t="shared" si="17"/>
        <v>313320</v>
      </c>
    </row>
    <row r="256" spans="1:10" thickTop="1" thickBot="1">
      <c r="A256" s="15" t="s">
        <v>596</v>
      </c>
      <c r="B256" s="15">
        <v>0</v>
      </c>
      <c r="C256" s="19">
        <v>1500</v>
      </c>
      <c r="D256" s="25">
        <v>1</v>
      </c>
      <c r="E256" s="26" t="s">
        <v>460</v>
      </c>
      <c r="F256" s="26" t="s">
        <v>549</v>
      </c>
      <c r="G256" s="31">
        <v>44682</v>
      </c>
      <c r="H256" s="27" t="s">
        <v>836</v>
      </c>
      <c r="I256" s="34" t="s">
        <v>682</v>
      </c>
      <c r="J256" s="23">
        <f t="shared" si="17"/>
        <v>314820</v>
      </c>
    </row>
    <row r="257" spans="1:10" thickTop="1" thickBot="1">
      <c r="A257" s="15" t="s">
        <v>877</v>
      </c>
      <c r="B257" s="15">
        <v>0</v>
      </c>
      <c r="C257" s="19">
        <v>0</v>
      </c>
      <c r="D257" s="25">
        <v>1</v>
      </c>
      <c r="E257" s="26" t="s">
        <v>880</v>
      </c>
      <c r="F257" s="26" t="s">
        <v>549</v>
      </c>
      <c r="G257" s="31">
        <v>44682</v>
      </c>
      <c r="H257" s="27"/>
      <c r="I257" s="34"/>
      <c r="J257" s="23">
        <f t="shared" si="17"/>
        <v>314820</v>
      </c>
    </row>
    <row r="258" spans="1:10" thickTop="1" thickBot="1">
      <c r="A258" s="15" t="s">
        <v>878</v>
      </c>
      <c r="B258" s="15">
        <v>0</v>
      </c>
      <c r="C258" s="19">
        <v>0</v>
      </c>
      <c r="D258" s="25">
        <v>1</v>
      </c>
      <c r="E258" s="26" t="s">
        <v>352</v>
      </c>
      <c r="F258" s="26" t="s">
        <v>549</v>
      </c>
      <c r="G258" s="31">
        <v>44682</v>
      </c>
      <c r="H258" s="27" t="s">
        <v>479</v>
      </c>
      <c r="I258" s="34" t="s">
        <v>684</v>
      </c>
      <c r="J258" s="23">
        <f t="shared" si="17"/>
        <v>314820</v>
      </c>
    </row>
    <row r="259" spans="1:10" thickTop="1" thickBot="1">
      <c r="A259" s="15" t="s">
        <v>879</v>
      </c>
      <c r="B259" s="15">
        <v>0</v>
      </c>
      <c r="C259" s="19">
        <v>1500</v>
      </c>
      <c r="D259" s="25">
        <v>1</v>
      </c>
      <c r="E259" s="26" t="s">
        <v>357</v>
      </c>
      <c r="F259" s="26" t="s">
        <v>549</v>
      </c>
      <c r="G259" s="31">
        <v>44682</v>
      </c>
      <c r="H259" s="27" t="s">
        <v>399</v>
      </c>
      <c r="I259" s="34" t="s">
        <v>684</v>
      </c>
      <c r="J259" s="23">
        <f t="shared" si="17"/>
        <v>316320</v>
      </c>
    </row>
    <row r="260" spans="1:10" thickTop="1" thickBot="1">
      <c r="A260" s="15" t="s">
        <v>881</v>
      </c>
      <c r="B260" s="15">
        <v>0</v>
      </c>
      <c r="C260" s="19">
        <v>0</v>
      </c>
      <c r="D260" s="25">
        <v>1</v>
      </c>
      <c r="E260" s="26" t="s">
        <v>348</v>
      </c>
      <c r="F260" s="26" t="s">
        <v>549</v>
      </c>
      <c r="G260" s="31">
        <v>44682</v>
      </c>
      <c r="H260" s="27" t="s">
        <v>362</v>
      </c>
      <c r="I260" s="34" t="s">
        <v>684</v>
      </c>
      <c r="J260" s="23">
        <f t="shared" si="17"/>
        <v>316320</v>
      </c>
    </row>
    <row r="261" spans="1:10" thickTop="1" thickBot="1">
      <c r="A261" s="15" t="s">
        <v>883</v>
      </c>
      <c r="B261" s="15">
        <v>0</v>
      </c>
      <c r="C261" s="19">
        <v>0</v>
      </c>
      <c r="D261" s="25">
        <v>2</v>
      </c>
      <c r="E261" s="26" t="s">
        <v>349</v>
      </c>
      <c r="F261" s="26" t="s">
        <v>549</v>
      </c>
      <c r="G261" s="31">
        <v>44682</v>
      </c>
      <c r="H261" s="27" t="s">
        <v>474</v>
      </c>
      <c r="I261" s="34" t="s">
        <v>684</v>
      </c>
      <c r="J261" s="23">
        <f t="shared" ref="J261:J325" si="18">SUM(C261,J260)</f>
        <v>316320</v>
      </c>
    </row>
    <row r="262" spans="1:10" thickTop="1" thickBot="1">
      <c r="A262" s="15" t="s">
        <v>884</v>
      </c>
      <c r="B262" s="15">
        <v>0</v>
      </c>
      <c r="C262" s="19">
        <v>0</v>
      </c>
      <c r="D262" s="25">
        <v>1</v>
      </c>
      <c r="E262" s="26" t="s">
        <v>349</v>
      </c>
      <c r="F262" s="26" t="s">
        <v>549</v>
      </c>
      <c r="G262" s="31">
        <v>44682</v>
      </c>
      <c r="H262" s="27"/>
      <c r="I262" s="34"/>
      <c r="J262" s="23">
        <f t="shared" si="18"/>
        <v>316320</v>
      </c>
    </row>
    <row r="263" spans="1:10" thickTop="1" thickBot="1">
      <c r="A263" s="15" t="s">
        <v>736</v>
      </c>
      <c r="B263" s="15">
        <v>0</v>
      </c>
      <c r="C263" s="19">
        <v>0</v>
      </c>
      <c r="D263" s="25">
        <v>1</v>
      </c>
      <c r="E263" s="26" t="s">
        <v>349</v>
      </c>
      <c r="F263" s="26" t="s">
        <v>549</v>
      </c>
      <c r="G263" s="31">
        <v>44682</v>
      </c>
      <c r="H263" s="27"/>
      <c r="I263" s="34"/>
      <c r="J263" s="23">
        <f t="shared" si="18"/>
        <v>316320</v>
      </c>
    </row>
    <row r="264" spans="1:10" thickTop="1" thickBot="1">
      <c r="A264" s="15" t="s">
        <v>885</v>
      </c>
      <c r="B264" s="15">
        <v>0</v>
      </c>
      <c r="C264" s="19">
        <v>0</v>
      </c>
      <c r="D264" s="25">
        <v>1</v>
      </c>
      <c r="E264" s="26" t="s">
        <v>350</v>
      </c>
      <c r="F264" s="26" t="s">
        <v>549</v>
      </c>
      <c r="G264" s="31">
        <v>44682</v>
      </c>
      <c r="H264" s="27" t="s">
        <v>736</v>
      </c>
      <c r="I264" s="34" t="s">
        <v>684</v>
      </c>
      <c r="J264" s="23">
        <f t="shared" si="18"/>
        <v>316320</v>
      </c>
    </row>
    <row r="265" spans="1:10" thickTop="1" thickBot="1">
      <c r="A265" s="8" t="s">
        <v>886</v>
      </c>
      <c r="B265" s="15">
        <v>0</v>
      </c>
      <c r="C265" s="19">
        <v>150</v>
      </c>
      <c r="D265" s="25">
        <v>1</v>
      </c>
      <c r="E265" s="26" t="s">
        <v>348</v>
      </c>
      <c r="F265" s="26" t="s">
        <v>552</v>
      </c>
      <c r="G265" s="31">
        <v>44682</v>
      </c>
      <c r="H265" s="27" t="s">
        <v>829</v>
      </c>
      <c r="I265" s="34" t="s">
        <v>832</v>
      </c>
      <c r="J265" s="23">
        <f t="shared" si="18"/>
        <v>316470</v>
      </c>
    </row>
    <row r="266" spans="1:10" thickTop="1" thickBot="1">
      <c r="A266" s="8" t="s">
        <v>887</v>
      </c>
      <c r="B266" s="15">
        <v>0</v>
      </c>
      <c r="C266" s="19">
        <v>1000</v>
      </c>
      <c r="D266" s="25">
        <v>1</v>
      </c>
      <c r="E266" s="26" t="s">
        <v>348</v>
      </c>
      <c r="F266" s="26" t="s">
        <v>552</v>
      </c>
      <c r="G266" s="31">
        <v>44682</v>
      </c>
      <c r="H266" s="27"/>
      <c r="I266" s="34"/>
      <c r="J266" s="23">
        <f t="shared" si="18"/>
        <v>317470</v>
      </c>
    </row>
    <row r="267" spans="1:10" thickTop="1" thickBot="1">
      <c r="A267" s="8" t="s">
        <v>501</v>
      </c>
      <c r="B267" s="15">
        <v>0</v>
      </c>
      <c r="C267" s="19">
        <v>300</v>
      </c>
      <c r="D267" s="25">
        <v>1</v>
      </c>
      <c r="E267" s="26" t="s">
        <v>349</v>
      </c>
      <c r="F267" s="26" t="s">
        <v>552</v>
      </c>
      <c r="G267" s="31">
        <v>44682</v>
      </c>
      <c r="H267" s="27"/>
      <c r="I267" s="34"/>
      <c r="J267" s="23">
        <f t="shared" si="18"/>
        <v>317770</v>
      </c>
    </row>
    <row r="268" spans="1:10" thickTop="1" thickBot="1">
      <c r="A268" s="15" t="s">
        <v>892</v>
      </c>
      <c r="B268" s="15">
        <v>0</v>
      </c>
      <c r="C268" s="19">
        <v>1300</v>
      </c>
      <c r="D268" s="25">
        <v>1</v>
      </c>
      <c r="E268" s="26" t="s">
        <v>349</v>
      </c>
      <c r="F268" s="26" t="s">
        <v>550</v>
      </c>
      <c r="G268" s="31">
        <v>44682</v>
      </c>
      <c r="H268" s="27" t="s">
        <v>474</v>
      </c>
      <c r="I268" s="34" t="s">
        <v>684</v>
      </c>
      <c r="J268" s="23">
        <f t="shared" si="18"/>
        <v>319070</v>
      </c>
    </row>
    <row r="269" spans="1:10" thickTop="1" thickBot="1">
      <c r="A269" s="15" t="s">
        <v>681</v>
      </c>
      <c r="B269" s="15">
        <v>0</v>
      </c>
      <c r="C269" s="19">
        <v>500</v>
      </c>
      <c r="D269" s="25">
        <v>1</v>
      </c>
      <c r="E269" s="26" t="s">
        <v>350</v>
      </c>
      <c r="F269" s="26" t="s">
        <v>549</v>
      </c>
      <c r="G269" s="31">
        <v>44682</v>
      </c>
      <c r="H269" s="27"/>
      <c r="I269" s="34"/>
      <c r="J269" s="23">
        <f t="shared" si="18"/>
        <v>319570</v>
      </c>
    </row>
    <row r="270" spans="1:10" thickTop="1" thickBot="1">
      <c r="A270" s="15" t="s">
        <v>875</v>
      </c>
      <c r="B270" s="15">
        <v>0</v>
      </c>
      <c r="C270" s="19">
        <v>166</v>
      </c>
      <c r="D270" s="25">
        <v>1</v>
      </c>
      <c r="E270" s="26" t="s">
        <v>350</v>
      </c>
      <c r="F270" s="26" t="s">
        <v>549</v>
      </c>
      <c r="G270" s="31">
        <v>44682</v>
      </c>
      <c r="H270" s="27" t="s">
        <v>681</v>
      </c>
      <c r="I270" s="34" t="s">
        <v>684</v>
      </c>
      <c r="J270" s="23">
        <f t="shared" si="18"/>
        <v>319736</v>
      </c>
    </row>
    <row r="271" spans="1:10" thickTop="1" thickBot="1">
      <c r="A271" s="15" t="s">
        <v>893</v>
      </c>
      <c r="B271" s="15">
        <v>0</v>
      </c>
      <c r="C271" s="19">
        <v>0</v>
      </c>
      <c r="D271" s="25">
        <v>1</v>
      </c>
      <c r="E271" s="26" t="s">
        <v>350</v>
      </c>
      <c r="F271" s="26" t="s">
        <v>549</v>
      </c>
      <c r="G271" s="31">
        <v>44682</v>
      </c>
      <c r="H271" s="27" t="s">
        <v>465</v>
      </c>
      <c r="I271" s="34" t="s">
        <v>830</v>
      </c>
      <c r="J271" s="23">
        <f t="shared" si="18"/>
        <v>319736</v>
      </c>
    </row>
    <row r="272" spans="1:10" thickTop="1" thickBot="1">
      <c r="A272" s="15" t="s">
        <v>895</v>
      </c>
      <c r="B272" s="15">
        <v>0</v>
      </c>
      <c r="C272" s="19">
        <v>666</v>
      </c>
      <c r="D272" s="25">
        <v>2</v>
      </c>
      <c r="E272" s="26" t="s">
        <v>350</v>
      </c>
      <c r="F272" s="26" t="s">
        <v>549</v>
      </c>
      <c r="G272" s="31">
        <v>44682</v>
      </c>
      <c r="H272" s="27" t="s">
        <v>896</v>
      </c>
      <c r="I272" s="34" t="s">
        <v>684</v>
      </c>
      <c r="J272" s="23">
        <f t="shared" si="18"/>
        <v>320402</v>
      </c>
    </row>
    <row r="273" spans="1:10" thickTop="1" thickBot="1">
      <c r="A273" s="15" t="s">
        <v>902</v>
      </c>
      <c r="B273" s="15">
        <v>0</v>
      </c>
      <c r="C273" s="19">
        <v>260</v>
      </c>
      <c r="D273" s="25">
        <v>1</v>
      </c>
      <c r="E273" s="26" t="s">
        <v>513</v>
      </c>
      <c r="F273" s="26" t="s">
        <v>552</v>
      </c>
      <c r="G273" s="31">
        <v>44682</v>
      </c>
      <c r="H273" s="27"/>
      <c r="I273" s="34"/>
      <c r="J273" s="23">
        <f t="shared" si="18"/>
        <v>320662</v>
      </c>
    </row>
    <row r="274" spans="1:10" thickTop="1" thickBot="1">
      <c r="A274" s="15" t="s">
        <v>897</v>
      </c>
      <c r="B274" s="15">
        <v>0</v>
      </c>
      <c r="C274" s="19">
        <v>400</v>
      </c>
      <c r="D274" s="25">
        <v>1</v>
      </c>
      <c r="E274" s="26" t="s">
        <v>350</v>
      </c>
      <c r="F274" s="26" t="s">
        <v>552</v>
      </c>
      <c r="G274" s="31">
        <v>44713</v>
      </c>
      <c r="H274" s="27" t="s">
        <v>876</v>
      </c>
      <c r="I274" s="34" t="s">
        <v>684</v>
      </c>
      <c r="J274" s="23">
        <f t="shared" si="18"/>
        <v>321062</v>
      </c>
    </row>
    <row r="275" spans="1:10" thickTop="1" thickBot="1">
      <c r="A275" s="15" t="s">
        <v>905</v>
      </c>
      <c r="B275" s="15">
        <v>0</v>
      </c>
      <c r="C275" s="19">
        <v>1600</v>
      </c>
      <c r="D275" s="25">
        <v>1</v>
      </c>
      <c r="E275" s="26" t="s">
        <v>350</v>
      </c>
      <c r="F275" s="26" t="s">
        <v>552</v>
      </c>
      <c r="G275" s="31">
        <v>44713</v>
      </c>
      <c r="H275" s="27" t="s">
        <v>524</v>
      </c>
      <c r="I275" s="34" t="s">
        <v>830</v>
      </c>
      <c r="J275" s="23">
        <f t="shared" si="18"/>
        <v>322662</v>
      </c>
    </row>
    <row r="276" spans="1:10" thickTop="1" thickBot="1">
      <c r="A276" s="15" t="s">
        <v>907</v>
      </c>
      <c r="B276" s="15">
        <v>0</v>
      </c>
      <c r="C276" s="19">
        <v>600</v>
      </c>
      <c r="D276" s="25">
        <v>1</v>
      </c>
      <c r="E276" s="26" t="s">
        <v>348</v>
      </c>
      <c r="F276" s="26" t="s">
        <v>552</v>
      </c>
      <c r="G276" s="31">
        <v>44713</v>
      </c>
      <c r="H276" s="27" t="s">
        <v>362</v>
      </c>
      <c r="I276" s="34" t="s">
        <v>684</v>
      </c>
      <c r="J276" s="23">
        <f t="shared" si="18"/>
        <v>323262</v>
      </c>
    </row>
    <row r="277" spans="1:10" thickTop="1" thickBot="1">
      <c r="A277" s="15" t="s">
        <v>908</v>
      </c>
      <c r="B277" s="15">
        <v>0</v>
      </c>
      <c r="C277" s="19">
        <v>600</v>
      </c>
      <c r="D277" s="25">
        <v>1</v>
      </c>
      <c r="E277" s="26" t="s">
        <v>349</v>
      </c>
      <c r="F277" s="26" t="s">
        <v>552</v>
      </c>
      <c r="G277" s="31">
        <v>44713</v>
      </c>
      <c r="H277" s="27" t="s">
        <v>474</v>
      </c>
      <c r="I277" s="34" t="s">
        <v>684</v>
      </c>
      <c r="J277" s="23">
        <f t="shared" si="18"/>
        <v>323862</v>
      </c>
    </row>
    <row r="278" spans="1:10" thickTop="1" thickBot="1">
      <c r="A278" s="15" t="s">
        <v>909</v>
      </c>
      <c r="B278" s="15">
        <v>0</v>
      </c>
      <c r="C278" s="19">
        <v>100</v>
      </c>
      <c r="D278" s="25">
        <v>1</v>
      </c>
      <c r="E278" s="26" t="s">
        <v>349</v>
      </c>
      <c r="F278" s="26" t="s">
        <v>552</v>
      </c>
      <c r="G278" s="31">
        <v>44713</v>
      </c>
      <c r="H278" s="27"/>
      <c r="I278" s="34"/>
      <c r="J278" s="23">
        <f t="shared" si="18"/>
        <v>323962</v>
      </c>
    </row>
    <row r="279" spans="1:10" thickTop="1" thickBot="1">
      <c r="A279" s="15" t="s">
        <v>910</v>
      </c>
      <c r="B279" s="15">
        <v>0</v>
      </c>
      <c r="C279" s="19">
        <v>50</v>
      </c>
      <c r="D279" s="25">
        <v>1</v>
      </c>
      <c r="E279" s="26" t="s">
        <v>349</v>
      </c>
      <c r="F279" s="26" t="s">
        <v>552</v>
      </c>
      <c r="G279" s="31">
        <v>44713</v>
      </c>
      <c r="H279" s="27"/>
      <c r="I279" s="34"/>
      <c r="J279" s="23">
        <f t="shared" si="18"/>
        <v>324012</v>
      </c>
    </row>
    <row r="280" spans="1:10" thickTop="1" thickBot="1">
      <c r="A280" s="15" t="s">
        <v>911</v>
      </c>
      <c r="B280" s="15">
        <v>0</v>
      </c>
      <c r="C280" s="19">
        <v>1500</v>
      </c>
      <c r="D280" s="25">
        <v>0</v>
      </c>
      <c r="E280" s="26" t="s">
        <v>350</v>
      </c>
      <c r="F280" s="26" t="s">
        <v>549</v>
      </c>
      <c r="G280" s="31">
        <v>44713</v>
      </c>
      <c r="H280" s="27" t="s">
        <v>524</v>
      </c>
      <c r="I280" s="34" t="s">
        <v>830</v>
      </c>
      <c r="J280" s="23">
        <f t="shared" si="18"/>
        <v>325512</v>
      </c>
    </row>
    <row r="281" spans="1:10" thickTop="1" thickBot="1">
      <c r="A281" s="15" t="s">
        <v>912</v>
      </c>
      <c r="B281" s="15">
        <v>0</v>
      </c>
      <c r="C281" s="19">
        <v>500</v>
      </c>
      <c r="D281" s="25">
        <v>0</v>
      </c>
      <c r="E281" s="26" t="s">
        <v>350</v>
      </c>
      <c r="F281" s="26" t="s">
        <v>549</v>
      </c>
      <c r="G281" s="31">
        <v>44713</v>
      </c>
      <c r="H281" s="27" t="s">
        <v>896</v>
      </c>
      <c r="I281" s="34" t="s">
        <v>684</v>
      </c>
      <c r="J281" s="23">
        <f t="shared" si="18"/>
        <v>326012</v>
      </c>
    </row>
    <row r="282" spans="1:10" thickTop="1" thickBot="1">
      <c r="A282" s="15" t="s">
        <v>920</v>
      </c>
      <c r="B282" s="15">
        <v>0</v>
      </c>
      <c r="C282" s="19">
        <v>27</v>
      </c>
      <c r="D282" s="25">
        <v>0</v>
      </c>
      <c r="E282" s="26" t="s">
        <v>49</v>
      </c>
      <c r="F282" s="26" t="s">
        <v>548</v>
      </c>
      <c r="G282" s="31">
        <v>44713</v>
      </c>
      <c r="H282" s="27"/>
      <c r="I282" s="34"/>
      <c r="J282" s="23">
        <f t="shared" si="18"/>
        <v>326039</v>
      </c>
    </row>
    <row r="283" spans="1:10" thickTop="1" thickBot="1">
      <c r="A283" s="15">
        <v>441</v>
      </c>
      <c r="B283" s="15">
        <v>0</v>
      </c>
      <c r="C283" s="19">
        <v>240</v>
      </c>
      <c r="D283" s="25">
        <v>0</v>
      </c>
      <c r="E283" s="26" t="s">
        <v>49</v>
      </c>
      <c r="F283" s="26" t="s">
        <v>548</v>
      </c>
      <c r="G283" s="31">
        <v>44713</v>
      </c>
      <c r="H283" s="27"/>
      <c r="I283" s="34"/>
      <c r="J283" s="23">
        <f t="shared" si="18"/>
        <v>326279</v>
      </c>
    </row>
    <row r="284" spans="1:10" thickTop="1" thickBot="1">
      <c r="A284" s="15" t="s">
        <v>558</v>
      </c>
      <c r="B284" s="15">
        <v>0</v>
      </c>
      <c r="C284" s="19">
        <v>750</v>
      </c>
      <c r="D284" s="25">
        <v>1</v>
      </c>
      <c r="E284" s="26" t="s">
        <v>559</v>
      </c>
      <c r="F284" s="26" t="s">
        <v>552</v>
      </c>
      <c r="G284" s="31">
        <v>44713</v>
      </c>
      <c r="H284" s="27"/>
      <c r="I284" s="34"/>
      <c r="J284" s="23">
        <f t="shared" si="18"/>
        <v>327029</v>
      </c>
    </row>
    <row r="285" spans="1:10" thickTop="1" thickBot="1">
      <c r="A285" s="15" t="s">
        <v>559</v>
      </c>
      <c r="B285" s="15">
        <v>0</v>
      </c>
      <c r="C285" s="19">
        <v>1450</v>
      </c>
      <c r="D285" s="25">
        <v>1</v>
      </c>
      <c r="E285" s="26" t="s">
        <v>559</v>
      </c>
      <c r="F285" s="26" t="s">
        <v>552</v>
      </c>
      <c r="G285" s="31">
        <v>44713</v>
      </c>
      <c r="H285" s="27"/>
      <c r="I285" s="34"/>
      <c r="J285" s="23">
        <f t="shared" si="18"/>
        <v>328479</v>
      </c>
    </row>
    <row r="286" spans="1:10" thickTop="1" thickBot="1">
      <c r="A286" s="15" t="s">
        <v>313</v>
      </c>
      <c r="B286" s="15">
        <v>0</v>
      </c>
      <c r="C286" s="19">
        <v>340</v>
      </c>
      <c r="D286" s="25">
        <v>0</v>
      </c>
      <c r="E286" s="26" t="s">
        <v>49</v>
      </c>
      <c r="F286" s="26" t="s">
        <v>549</v>
      </c>
      <c r="G286" s="31">
        <v>44713</v>
      </c>
      <c r="H286" s="27"/>
      <c r="I286" s="34"/>
      <c r="J286" s="23">
        <f t="shared" si="18"/>
        <v>328819</v>
      </c>
    </row>
    <row r="287" spans="1:10" thickTop="1" thickBot="1">
      <c r="A287" s="15" t="s">
        <v>923</v>
      </c>
      <c r="B287" s="15">
        <v>0</v>
      </c>
      <c r="C287" s="19">
        <v>170</v>
      </c>
      <c r="D287" s="25">
        <v>0</v>
      </c>
      <c r="E287" s="26" t="s">
        <v>49</v>
      </c>
      <c r="F287" s="26" t="s">
        <v>549</v>
      </c>
      <c r="G287" s="31">
        <v>44713</v>
      </c>
      <c r="H287" s="27"/>
      <c r="I287" s="34"/>
      <c r="J287" s="23">
        <f t="shared" si="18"/>
        <v>328989</v>
      </c>
    </row>
    <row r="288" spans="1:10" thickTop="1" thickBot="1">
      <c r="A288" s="15" t="s">
        <v>557</v>
      </c>
      <c r="B288" s="15">
        <v>0</v>
      </c>
      <c r="C288" s="19">
        <v>750</v>
      </c>
      <c r="D288" s="25">
        <v>1</v>
      </c>
      <c r="E288" s="26" t="s">
        <v>513</v>
      </c>
      <c r="F288" s="26" t="s">
        <v>552</v>
      </c>
      <c r="G288" s="31">
        <v>44743</v>
      </c>
      <c r="H288" s="27"/>
      <c r="I288" s="34"/>
      <c r="J288" s="23">
        <f t="shared" si="18"/>
        <v>329739</v>
      </c>
    </row>
    <row r="289" spans="1:10" thickTop="1" thickBot="1">
      <c r="A289" s="15" t="s">
        <v>362</v>
      </c>
      <c r="B289" s="15">
        <v>0</v>
      </c>
      <c r="C289" s="19">
        <v>0</v>
      </c>
      <c r="D289" s="25">
        <v>1</v>
      </c>
      <c r="E289" s="26" t="s">
        <v>348</v>
      </c>
      <c r="F289" s="26" t="s">
        <v>549</v>
      </c>
      <c r="G289" s="31">
        <v>44743</v>
      </c>
      <c r="H289" s="27"/>
      <c r="I289" s="34"/>
      <c r="J289" s="23">
        <f t="shared" si="18"/>
        <v>329739</v>
      </c>
    </row>
    <row r="290" spans="1:10" thickTop="1" thickBot="1">
      <c r="A290" s="15" t="s">
        <v>924</v>
      </c>
      <c r="B290" s="15">
        <v>0</v>
      </c>
      <c r="C290" s="19">
        <v>0</v>
      </c>
      <c r="D290" s="25">
        <v>2</v>
      </c>
      <c r="E290" s="26" t="s">
        <v>348</v>
      </c>
      <c r="F290" s="26" t="s">
        <v>549</v>
      </c>
      <c r="G290" s="31">
        <v>44743</v>
      </c>
      <c r="H290" s="27"/>
      <c r="I290" s="34"/>
      <c r="J290" s="23">
        <f t="shared" si="18"/>
        <v>329739</v>
      </c>
    </row>
    <row r="291" spans="1:10" thickTop="1" thickBot="1">
      <c r="A291" s="15" t="s">
        <v>876</v>
      </c>
      <c r="B291" s="15">
        <v>0</v>
      </c>
      <c r="C291" s="19">
        <v>0</v>
      </c>
      <c r="D291" s="25">
        <v>1</v>
      </c>
      <c r="E291" s="26" t="s">
        <v>348</v>
      </c>
      <c r="F291" s="26" t="s">
        <v>549</v>
      </c>
      <c r="G291" s="31">
        <v>44743</v>
      </c>
      <c r="H291" s="27"/>
      <c r="I291" s="34"/>
      <c r="J291" s="23">
        <f t="shared" si="18"/>
        <v>329739</v>
      </c>
    </row>
    <row r="292" spans="1:10" thickTop="1" thickBot="1">
      <c r="A292" s="15" t="s">
        <v>925</v>
      </c>
      <c r="B292" s="15">
        <v>0</v>
      </c>
      <c r="C292" s="19">
        <v>0</v>
      </c>
      <c r="D292" s="25">
        <v>2</v>
      </c>
      <c r="E292" s="26" t="s">
        <v>348</v>
      </c>
      <c r="F292" s="26" t="s">
        <v>549</v>
      </c>
      <c r="G292" s="31">
        <v>44743</v>
      </c>
      <c r="H292" s="27"/>
      <c r="I292" s="34"/>
      <c r="J292" s="23">
        <f t="shared" si="18"/>
        <v>329739</v>
      </c>
    </row>
    <row r="293" spans="1:10" thickTop="1" thickBot="1">
      <c r="A293" s="15" t="s">
        <v>926</v>
      </c>
      <c r="B293" s="15">
        <v>0</v>
      </c>
      <c r="C293" s="19">
        <v>0</v>
      </c>
      <c r="D293" s="25">
        <v>1</v>
      </c>
      <c r="E293" s="26" t="s">
        <v>460</v>
      </c>
      <c r="F293" s="26" t="s">
        <v>549</v>
      </c>
      <c r="G293" s="31">
        <v>44743</v>
      </c>
      <c r="H293" s="27"/>
      <c r="I293" s="34"/>
      <c r="J293" s="23">
        <f t="shared" si="18"/>
        <v>329739</v>
      </c>
    </row>
    <row r="294" spans="1:10" thickTop="1" thickBot="1">
      <c r="A294" s="15" t="s">
        <v>927</v>
      </c>
      <c r="B294" s="15">
        <v>0</v>
      </c>
      <c r="C294" s="19">
        <v>0</v>
      </c>
      <c r="D294" s="25">
        <v>2</v>
      </c>
      <c r="E294" s="26" t="s">
        <v>348</v>
      </c>
      <c r="F294" s="26" t="s">
        <v>549</v>
      </c>
      <c r="G294" s="31">
        <v>44743</v>
      </c>
      <c r="H294" s="27"/>
      <c r="I294" s="34"/>
      <c r="J294" s="23">
        <f t="shared" si="18"/>
        <v>329739</v>
      </c>
    </row>
    <row r="295" spans="1:10" thickTop="1" thickBot="1">
      <c r="A295" s="15" t="s">
        <v>811</v>
      </c>
      <c r="B295" s="15">
        <v>0</v>
      </c>
      <c r="C295" s="19">
        <v>0</v>
      </c>
      <c r="D295" s="25">
        <v>1</v>
      </c>
      <c r="E295" s="26" t="s">
        <v>350</v>
      </c>
      <c r="F295" s="26" t="s">
        <v>549</v>
      </c>
      <c r="G295" s="31">
        <v>44743</v>
      </c>
      <c r="H295" s="27"/>
      <c r="I295" s="34"/>
      <c r="J295" s="23">
        <f t="shared" si="18"/>
        <v>329739</v>
      </c>
    </row>
    <row r="296" spans="1:10" thickTop="1" thickBot="1">
      <c r="A296" s="15" t="s">
        <v>936</v>
      </c>
      <c r="B296" s="15">
        <v>0</v>
      </c>
      <c r="C296" s="19">
        <v>300</v>
      </c>
      <c r="D296" s="25">
        <v>1</v>
      </c>
      <c r="E296" s="26" t="s">
        <v>349</v>
      </c>
      <c r="F296" s="26" t="s">
        <v>552</v>
      </c>
      <c r="G296" s="31">
        <v>44743</v>
      </c>
      <c r="H296" s="27" t="s">
        <v>809</v>
      </c>
      <c r="I296" s="34" t="s">
        <v>684</v>
      </c>
      <c r="J296" s="23">
        <f t="shared" si="18"/>
        <v>330039</v>
      </c>
    </row>
    <row r="297" spans="1:10" thickTop="1" thickBot="1">
      <c r="A297" s="15" t="s">
        <v>935</v>
      </c>
      <c r="B297" s="15">
        <v>0</v>
      </c>
      <c r="C297" s="19">
        <v>30</v>
      </c>
      <c r="D297" s="25">
        <v>0</v>
      </c>
      <c r="E297" s="26" t="s">
        <v>49</v>
      </c>
      <c r="F297" s="26" t="s">
        <v>548</v>
      </c>
      <c r="G297" s="31">
        <v>44743</v>
      </c>
      <c r="H297" s="27"/>
      <c r="I297" s="34"/>
      <c r="J297" s="23">
        <f t="shared" si="18"/>
        <v>330069</v>
      </c>
    </row>
    <row r="298" spans="1:10" thickTop="1" thickBot="1">
      <c r="A298" s="15" t="s">
        <v>313</v>
      </c>
      <c r="B298" s="15">
        <v>0</v>
      </c>
      <c r="C298" s="19">
        <v>680</v>
      </c>
      <c r="D298" s="25">
        <v>0</v>
      </c>
      <c r="E298" s="26" t="s">
        <v>49</v>
      </c>
      <c r="F298" s="26" t="s">
        <v>549</v>
      </c>
      <c r="G298" s="31">
        <v>44743</v>
      </c>
      <c r="H298" s="27"/>
      <c r="I298" s="34"/>
      <c r="J298" s="23">
        <f t="shared" si="18"/>
        <v>330749</v>
      </c>
    </row>
    <row r="299" spans="1:10" thickTop="1" thickBot="1">
      <c r="A299" s="15" t="s">
        <v>937</v>
      </c>
      <c r="B299" s="15">
        <v>0</v>
      </c>
      <c r="C299" s="19">
        <v>200</v>
      </c>
      <c r="D299" s="25">
        <v>1</v>
      </c>
      <c r="E299" s="26" t="s">
        <v>513</v>
      </c>
      <c r="F299" s="26" t="s">
        <v>552</v>
      </c>
      <c r="G299" s="31">
        <v>44743</v>
      </c>
      <c r="H299" s="27"/>
      <c r="I299" s="34"/>
      <c r="J299" s="23">
        <f t="shared" si="18"/>
        <v>330949</v>
      </c>
    </row>
    <row r="300" spans="1:10" thickTop="1" thickBot="1">
      <c r="A300" s="15" t="s">
        <v>938</v>
      </c>
      <c r="B300" s="15">
        <v>0</v>
      </c>
      <c r="C300" s="19">
        <v>1000</v>
      </c>
      <c r="D300" s="25">
        <v>1</v>
      </c>
      <c r="E300" s="26" t="s">
        <v>559</v>
      </c>
      <c r="F300" s="26" t="s">
        <v>552</v>
      </c>
      <c r="G300" s="31">
        <v>44743</v>
      </c>
      <c r="H300" s="27"/>
      <c r="I300" s="34"/>
      <c r="J300" s="23">
        <f t="shared" si="18"/>
        <v>331949</v>
      </c>
    </row>
    <row r="301" spans="1:10" thickTop="1" thickBot="1">
      <c r="A301" s="15" t="s">
        <v>942</v>
      </c>
      <c r="B301" s="15">
        <v>0</v>
      </c>
      <c r="C301" s="19">
        <v>1800</v>
      </c>
      <c r="D301" s="25">
        <v>1</v>
      </c>
      <c r="E301" s="26" t="s">
        <v>350</v>
      </c>
      <c r="F301" s="26" t="s">
        <v>547</v>
      </c>
      <c r="G301" s="31">
        <v>44774</v>
      </c>
      <c r="H301" s="27" t="s">
        <v>523</v>
      </c>
      <c r="I301" s="34" t="s">
        <v>682</v>
      </c>
      <c r="J301" s="23">
        <f t="shared" si="18"/>
        <v>333749</v>
      </c>
    </row>
    <row r="302" spans="1:10" thickTop="1" thickBot="1">
      <c r="A302" s="15" t="s">
        <v>941</v>
      </c>
      <c r="B302" s="15">
        <v>0</v>
      </c>
      <c r="C302" s="19">
        <v>2000</v>
      </c>
      <c r="D302" s="25">
        <v>1</v>
      </c>
      <c r="E302" s="26" t="s">
        <v>350</v>
      </c>
      <c r="F302" s="26" t="s">
        <v>547</v>
      </c>
      <c r="G302" s="31">
        <v>44774</v>
      </c>
      <c r="H302" s="27" t="s">
        <v>523</v>
      </c>
      <c r="I302" s="34" t="s">
        <v>682</v>
      </c>
      <c r="J302" s="23">
        <f t="shared" si="18"/>
        <v>335749</v>
      </c>
    </row>
    <row r="303" spans="1:10" thickTop="1" thickBot="1">
      <c r="A303" s="15" t="s">
        <v>981</v>
      </c>
      <c r="B303" s="15">
        <v>0</v>
      </c>
      <c r="C303" s="19">
        <v>1300</v>
      </c>
      <c r="D303" s="25">
        <v>1</v>
      </c>
      <c r="E303" s="26" t="s">
        <v>352</v>
      </c>
      <c r="F303" s="26" t="s">
        <v>547</v>
      </c>
      <c r="G303" s="31">
        <v>44774</v>
      </c>
      <c r="H303" s="27" t="s">
        <v>876</v>
      </c>
      <c r="I303" s="34" t="s">
        <v>830</v>
      </c>
      <c r="J303" s="23">
        <f t="shared" si="18"/>
        <v>337049</v>
      </c>
    </row>
    <row r="304" spans="1:10" thickTop="1" thickBot="1">
      <c r="A304" s="15" t="s">
        <v>943</v>
      </c>
      <c r="B304" s="15">
        <v>0</v>
      </c>
      <c r="C304" s="19">
        <v>3000</v>
      </c>
      <c r="D304" s="25">
        <v>1</v>
      </c>
      <c r="E304" s="26" t="s">
        <v>350</v>
      </c>
      <c r="F304" s="26" t="s">
        <v>548</v>
      </c>
      <c r="G304" s="31">
        <v>44774</v>
      </c>
      <c r="H304" s="27" t="s">
        <v>838</v>
      </c>
      <c r="I304" s="34" t="s">
        <v>682</v>
      </c>
      <c r="J304" s="23">
        <f t="shared" si="18"/>
        <v>340049</v>
      </c>
    </row>
    <row r="305" spans="1:10" thickTop="1" thickBot="1">
      <c r="A305" s="15" t="s">
        <v>949</v>
      </c>
      <c r="B305" s="15">
        <v>0</v>
      </c>
      <c r="C305" s="19">
        <v>0</v>
      </c>
      <c r="D305" s="25">
        <v>1</v>
      </c>
      <c r="E305" s="26" t="s">
        <v>352</v>
      </c>
      <c r="F305" s="26" t="s">
        <v>549</v>
      </c>
      <c r="G305" s="31">
        <v>44774</v>
      </c>
      <c r="H305" s="27" t="s">
        <v>876</v>
      </c>
      <c r="I305" s="34" t="s">
        <v>830</v>
      </c>
      <c r="J305" s="23">
        <f t="shared" si="18"/>
        <v>340049</v>
      </c>
    </row>
    <row r="306" spans="1:10" thickTop="1" thickBot="1">
      <c r="A306" s="15" t="s">
        <v>944</v>
      </c>
      <c r="B306" s="15">
        <v>0</v>
      </c>
      <c r="C306" s="19">
        <v>0</v>
      </c>
      <c r="D306" s="25">
        <v>1</v>
      </c>
      <c r="E306" s="26" t="s">
        <v>352</v>
      </c>
      <c r="F306" s="26" t="s">
        <v>549</v>
      </c>
      <c r="G306" s="31">
        <v>44774</v>
      </c>
      <c r="H306" s="27" t="s">
        <v>876</v>
      </c>
      <c r="I306" s="34" t="s">
        <v>830</v>
      </c>
      <c r="J306" s="23">
        <f t="shared" si="18"/>
        <v>340049</v>
      </c>
    </row>
    <row r="307" spans="1:10" thickTop="1" thickBot="1">
      <c r="A307" s="15" t="s">
        <v>945</v>
      </c>
      <c r="B307" s="15">
        <v>0</v>
      </c>
      <c r="C307" s="19">
        <v>600</v>
      </c>
      <c r="D307" s="25">
        <v>1</v>
      </c>
      <c r="E307" s="26" t="s">
        <v>350</v>
      </c>
      <c r="F307" s="26" t="s">
        <v>549</v>
      </c>
      <c r="G307" s="31">
        <v>44774</v>
      </c>
      <c r="H307" s="27" t="s">
        <v>829</v>
      </c>
      <c r="I307" s="34" t="s">
        <v>831</v>
      </c>
      <c r="J307" s="23">
        <f t="shared" si="18"/>
        <v>340649</v>
      </c>
    </row>
    <row r="308" spans="1:10" thickTop="1" thickBot="1">
      <c r="A308" s="15" t="s">
        <v>946</v>
      </c>
      <c r="B308" s="15">
        <v>0</v>
      </c>
      <c r="C308" s="19">
        <v>0</v>
      </c>
      <c r="D308" s="25">
        <v>1</v>
      </c>
      <c r="E308" s="26" t="s">
        <v>350</v>
      </c>
      <c r="F308" s="26" t="s">
        <v>549</v>
      </c>
      <c r="G308" s="31">
        <v>44774</v>
      </c>
      <c r="H308" s="27" t="s">
        <v>524</v>
      </c>
      <c r="I308" s="34" t="s">
        <v>682</v>
      </c>
      <c r="J308" s="23">
        <f t="shared" si="18"/>
        <v>340649</v>
      </c>
    </row>
    <row r="309" spans="1:10" thickTop="1" thickBot="1">
      <c r="A309" s="15" t="s">
        <v>947</v>
      </c>
      <c r="B309" s="15">
        <v>0</v>
      </c>
      <c r="C309" s="19">
        <v>0</v>
      </c>
      <c r="D309" s="25">
        <v>1</v>
      </c>
      <c r="E309" s="26" t="s">
        <v>352</v>
      </c>
      <c r="F309" s="26" t="s">
        <v>549</v>
      </c>
      <c r="G309" s="31">
        <v>44774</v>
      </c>
      <c r="H309" s="27" t="s">
        <v>812</v>
      </c>
      <c r="I309" s="34" t="s">
        <v>684</v>
      </c>
      <c r="J309" s="23">
        <f t="shared" si="18"/>
        <v>340649</v>
      </c>
    </row>
    <row r="310" spans="1:10" thickTop="1" thickBot="1">
      <c r="A310" s="15" t="s">
        <v>948</v>
      </c>
      <c r="B310" s="15">
        <v>0</v>
      </c>
      <c r="C310" s="19">
        <v>0</v>
      </c>
      <c r="D310" s="25">
        <v>1</v>
      </c>
      <c r="E310" s="26" t="s">
        <v>350</v>
      </c>
      <c r="F310" s="26" t="s">
        <v>549</v>
      </c>
      <c r="G310" s="31">
        <v>44774</v>
      </c>
      <c r="H310" s="27" t="s">
        <v>811</v>
      </c>
      <c r="I310" s="34" t="s">
        <v>684</v>
      </c>
      <c r="J310" s="23">
        <f t="shared" si="18"/>
        <v>340649</v>
      </c>
    </row>
    <row r="311" spans="1:10" thickTop="1" thickBot="1">
      <c r="A311" s="15" t="s">
        <v>950</v>
      </c>
      <c r="B311" s="15">
        <v>0</v>
      </c>
      <c r="C311" s="19">
        <v>1000</v>
      </c>
      <c r="D311" s="25">
        <v>1</v>
      </c>
      <c r="E311" s="26" t="s">
        <v>350</v>
      </c>
      <c r="F311" s="26" t="s">
        <v>547</v>
      </c>
      <c r="G311" s="31">
        <v>44774</v>
      </c>
      <c r="H311" s="27" t="s">
        <v>523</v>
      </c>
      <c r="I311" s="34" t="s">
        <v>682</v>
      </c>
      <c r="J311" s="23">
        <f t="shared" si="18"/>
        <v>341649</v>
      </c>
    </row>
    <row r="312" spans="1:10" thickTop="1" thickBot="1">
      <c r="A312" s="15" t="s">
        <v>951</v>
      </c>
      <c r="B312" s="15">
        <v>0</v>
      </c>
      <c r="C312" s="19">
        <v>2000</v>
      </c>
      <c r="D312" s="25">
        <v>2</v>
      </c>
      <c r="E312" s="26" t="s">
        <v>350</v>
      </c>
      <c r="F312" s="26" t="s">
        <v>549</v>
      </c>
      <c r="G312" s="31">
        <v>44774</v>
      </c>
      <c r="H312" s="27" t="s">
        <v>952</v>
      </c>
      <c r="I312" s="34" t="s">
        <v>830</v>
      </c>
      <c r="J312" s="23">
        <f t="shared" si="18"/>
        <v>343649</v>
      </c>
    </row>
    <row r="313" spans="1:10" thickTop="1" thickBot="1">
      <c r="A313" s="15" t="s">
        <v>954</v>
      </c>
      <c r="B313" s="15">
        <v>0</v>
      </c>
      <c r="C313" s="19">
        <v>0</v>
      </c>
      <c r="D313" s="25">
        <v>2</v>
      </c>
      <c r="E313" s="26" t="s">
        <v>350</v>
      </c>
      <c r="F313" s="26" t="s">
        <v>549</v>
      </c>
      <c r="G313" s="31">
        <v>44774</v>
      </c>
      <c r="H313" s="27" t="s">
        <v>952</v>
      </c>
      <c r="I313" s="34" t="s">
        <v>684</v>
      </c>
      <c r="J313" s="23">
        <f t="shared" si="18"/>
        <v>343649</v>
      </c>
    </row>
    <row r="314" spans="1:10" thickTop="1" thickBot="1">
      <c r="A314" s="15" t="s">
        <v>953</v>
      </c>
      <c r="B314" s="15">
        <v>0</v>
      </c>
      <c r="C314" s="19">
        <v>0</v>
      </c>
      <c r="D314" s="25">
        <v>2</v>
      </c>
      <c r="E314" s="26" t="s">
        <v>350</v>
      </c>
      <c r="F314" s="26" t="s">
        <v>549</v>
      </c>
      <c r="G314" s="31">
        <v>44774</v>
      </c>
      <c r="H314" s="27" t="s">
        <v>565</v>
      </c>
      <c r="I314" s="34" t="s">
        <v>684</v>
      </c>
      <c r="J314" s="23">
        <f t="shared" si="18"/>
        <v>343649</v>
      </c>
    </row>
    <row r="315" spans="1:10" thickTop="1" thickBot="1">
      <c r="A315" s="15" t="s">
        <v>955</v>
      </c>
      <c r="B315" s="15">
        <v>0</v>
      </c>
      <c r="C315" s="19">
        <v>0</v>
      </c>
      <c r="D315" s="25">
        <v>1</v>
      </c>
      <c r="E315" s="26" t="s">
        <v>350</v>
      </c>
      <c r="F315" s="26" t="s">
        <v>549</v>
      </c>
      <c r="G315" s="31">
        <v>44774</v>
      </c>
      <c r="H315" s="27" t="s">
        <v>952</v>
      </c>
      <c r="I315" s="34" t="s">
        <v>684</v>
      </c>
      <c r="J315" s="23">
        <f t="shared" si="18"/>
        <v>343649</v>
      </c>
    </row>
    <row r="316" spans="1:10" thickTop="1" thickBot="1">
      <c r="A316" s="15" t="s">
        <v>956</v>
      </c>
      <c r="B316" s="15">
        <v>0</v>
      </c>
      <c r="C316" s="19">
        <v>0</v>
      </c>
      <c r="D316" s="25">
        <v>1</v>
      </c>
      <c r="E316" s="26" t="s">
        <v>352</v>
      </c>
      <c r="F316" s="26" t="s">
        <v>549</v>
      </c>
      <c r="G316" s="31">
        <v>44774</v>
      </c>
      <c r="H316" s="27" t="s">
        <v>896</v>
      </c>
      <c r="I316" s="34" t="s">
        <v>684</v>
      </c>
      <c r="J316" s="23">
        <f t="shared" si="18"/>
        <v>343649</v>
      </c>
    </row>
    <row r="317" spans="1:10" thickTop="1" thickBot="1">
      <c r="A317" s="15" t="s">
        <v>957</v>
      </c>
      <c r="B317" s="15">
        <v>0</v>
      </c>
      <c r="C317" s="19">
        <v>0</v>
      </c>
      <c r="D317" s="25">
        <v>1</v>
      </c>
      <c r="E317" s="26" t="s">
        <v>350</v>
      </c>
      <c r="F317" s="26" t="s">
        <v>549</v>
      </c>
      <c r="G317" s="31">
        <v>44774</v>
      </c>
      <c r="H317" s="27" t="s">
        <v>523</v>
      </c>
      <c r="I317" s="34" t="s">
        <v>682</v>
      </c>
      <c r="J317" s="23">
        <f t="shared" si="18"/>
        <v>343649</v>
      </c>
    </row>
    <row r="318" spans="1:10" thickTop="1" thickBot="1">
      <c r="A318" s="15" t="s">
        <v>958</v>
      </c>
      <c r="B318" s="15">
        <v>0</v>
      </c>
      <c r="C318" s="19">
        <v>1000</v>
      </c>
      <c r="D318" s="25">
        <v>1</v>
      </c>
      <c r="E318" s="26" t="s">
        <v>350</v>
      </c>
      <c r="F318" s="26" t="s">
        <v>549</v>
      </c>
      <c r="G318" s="31">
        <v>44774</v>
      </c>
      <c r="H318" s="27" t="s">
        <v>566</v>
      </c>
      <c r="I318" s="34" t="s">
        <v>684</v>
      </c>
      <c r="J318" s="23">
        <f t="shared" si="18"/>
        <v>344649</v>
      </c>
    </row>
    <row r="319" spans="1:10" thickTop="1" thickBot="1">
      <c r="A319" s="15" t="s">
        <v>959</v>
      </c>
      <c r="B319" s="15">
        <v>0</v>
      </c>
      <c r="C319" s="19">
        <v>1000</v>
      </c>
      <c r="D319" s="25">
        <v>1</v>
      </c>
      <c r="E319" s="26" t="s">
        <v>460</v>
      </c>
      <c r="F319" s="26" t="s">
        <v>549</v>
      </c>
      <c r="G319" s="31">
        <v>44774</v>
      </c>
      <c r="H319" s="27" t="s">
        <v>788</v>
      </c>
      <c r="I319" s="34" t="s">
        <v>684</v>
      </c>
      <c r="J319" s="23">
        <f t="shared" si="18"/>
        <v>345649</v>
      </c>
    </row>
    <row r="320" spans="1:10" thickTop="1" thickBot="1">
      <c r="A320" s="15" t="s">
        <v>980</v>
      </c>
      <c r="B320" s="15">
        <v>0</v>
      </c>
      <c r="C320" s="19">
        <v>400</v>
      </c>
      <c r="D320" s="25">
        <v>1</v>
      </c>
      <c r="E320" s="26" t="s">
        <v>350</v>
      </c>
      <c r="F320" s="26" t="s">
        <v>552</v>
      </c>
      <c r="G320" s="31">
        <v>44774</v>
      </c>
      <c r="H320" s="27"/>
      <c r="I320" s="34"/>
      <c r="J320" s="23">
        <f t="shared" si="18"/>
        <v>346049</v>
      </c>
    </row>
    <row r="321" spans="1:10" thickTop="1" thickBot="1">
      <c r="A321" s="15" t="s">
        <v>982</v>
      </c>
      <c r="B321" s="15">
        <v>0</v>
      </c>
      <c r="C321" s="19">
        <v>150</v>
      </c>
      <c r="D321" s="25">
        <v>1</v>
      </c>
      <c r="E321" s="26" t="s">
        <v>513</v>
      </c>
      <c r="F321" s="26" t="s">
        <v>552</v>
      </c>
      <c r="G321" s="31">
        <v>44774</v>
      </c>
      <c r="H321" s="27"/>
      <c r="I321" s="34"/>
      <c r="J321" s="23">
        <f t="shared" si="18"/>
        <v>346199</v>
      </c>
    </row>
    <row r="322" spans="1:10" thickTop="1" thickBot="1">
      <c r="A322" s="15" t="s">
        <v>375</v>
      </c>
      <c r="B322" s="15">
        <v>0</v>
      </c>
      <c r="C322" s="19">
        <v>160</v>
      </c>
      <c r="D322" s="25">
        <v>0</v>
      </c>
      <c r="E322" s="26" t="s">
        <v>49</v>
      </c>
      <c r="F322" s="26" t="s">
        <v>552</v>
      </c>
      <c r="G322" s="31">
        <v>44774</v>
      </c>
      <c r="H322" s="27"/>
      <c r="I322" s="34"/>
      <c r="J322" s="23">
        <f t="shared" si="18"/>
        <v>346359</v>
      </c>
    </row>
    <row r="323" spans="1:10" thickTop="1" thickBot="1">
      <c r="A323" s="15" t="s">
        <v>980</v>
      </c>
      <c r="B323" s="15">
        <v>0</v>
      </c>
      <c r="C323" s="19">
        <v>179</v>
      </c>
      <c r="D323" s="25">
        <v>1</v>
      </c>
      <c r="E323" s="26" t="s">
        <v>350</v>
      </c>
      <c r="F323" s="26" t="s">
        <v>552</v>
      </c>
      <c r="G323" s="31">
        <v>44774</v>
      </c>
      <c r="H323" s="27"/>
      <c r="I323" s="34"/>
      <c r="J323" s="23">
        <f t="shared" si="18"/>
        <v>346538</v>
      </c>
    </row>
    <row r="324" spans="1:10" thickTop="1" thickBot="1">
      <c r="A324" s="15" t="s">
        <v>980</v>
      </c>
      <c r="B324" s="15">
        <v>0</v>
      </c>
      <c r="C324" s="19">
        <v>150</v>
      </c>
      <c r="D324" s="25">
        <v>1</v>
      </c>
      <c r="E324" s="26" t="s">
        <v>350</v>
      </c>
      <c r="F324" s="26" t="s">
        <v>552</v>
      </c>
      <c r="G324" s="31">
        <v>44774</v>
      </c>
      <c r="H324" s="27"/>
      <c r="I324" s="34"/>
      <c r="J324" s="23">
        <f t="shared" si="18"/>
        <v>346688</v>
      </c>
    </row>
    <row r="325" spans="1:10" thickTop="1" thickBot="1">
      <c r="A325" s="15" t="s">
        <v>983</v>
      </c>
      <c r="B325" s="15">
        <v>0</v>
      </c>
      <c r="C325" s="19">
        <v>0</v>
      </c>
      <c r="D325" s="25">
        <v>1</v>
      </c>
      <c r="E325" s="26" t="s">
        <v>352</v>
      </c>
      <c r="F325" s="26" t="s">
        <v>549</v>
      </c>
      <c r="G325" s="31">
        <v>44835</v>
      </c>
      <c r="H325" s="27"/>
      <c r="I325" s="34"/>
      <c r="J325" s="23">
        <f t="shared" si="18"/>
        <v>346688</v>
      </c>
    </row>
    <row r="326" spans="1:10" thickTop="1" thickBot="1">
      <c r="A326" s="15" t="s">
        <v>984</v>
      </c>
      <c r="B326" s="15">
        <v>0</v>
      </c>
      <c r="C326" s="19">
        <v>0</v>
      </c>
      <c r="D326" s="25">
        <v>2</v>
      </c>
      <c r="E326" s="26" t="s">
        <v>350</v>
      </c>
      <c r="F326" s="26" t="s">
        <v>549</v>
      </c>
      <c r="G326" s="31">
        <v>44835</v>
      </c>
      <c r="H326" s="27" t="s">
        <v>812</v>
      </c>
      <c r="I326" s="34" t="s">
        <v>830</v>
      </c>
      <c r="J326" s="23">
        <f t="shared" ref="J326:J391" si="19">SUM(C326,J325)</f>
        <v>346688</v>
      </c>
    </row>
    <row r="327" spans="1:10" thickTop="1" thickBot="1">
      <c r="A327" s="15" t="s">
        <v>985</v>
      </c>
      <c r="B327" s="15">
        <v>0</v>
      </c>
      <c r="C327" s="19">
        <v>0</v>
      </c>
      <c r="D327" s="25">
        <v>1</v>
      </c>
      <c r="E327" s="26" t="s">
        <v>350</v>
      </c>
      <c r="F327" s="26" t="s">
        <v>549</v>
      </c>
      <c r="G327" s="31">
        <v>44835</v>
      </c>
      <c r="H327" s="27"/>
      <c r="I327" s="34"/>
      <c r="J327" s="23">
        <f t="shared" si="19"/>
        <v>346688</v>
      </c>
    </row>
    <row r="328" spans="1:10" thickTop="1" thickBot="1">
      <c r="A328" s="15" t="s">
        <v>986</v>
      </c>
      <c r="B328" s="15">
        <v>0</v>
      </c>
      <c r="C328" s="19">
        <v>0</v>
      </c>
      <c r="D328" s="25">
        <v>1</v>
      </c>
      <c r="E328" s="26" t="s">
        <v>350</v>
      </c>
      <c r="F328" s="26" t="s">
        <v>549</v>
      </c>
      <c r="G328" s="31">
        <v>44835</v>
      </c>
      <c r="H328" s="27" t="s">
        <v>928</v>
      </c>
      <c r="I328" s="34" t="s">
        <v>684</v>
      </c>
      <c r="J328" s="23">
        <f t="shared" si="19"/>
        <v>346688</v>
      </c>
    </row>
    <row r="329" spans="1:10" thickTop="1" thickBot="1">
      <c r="A329" s="15" t="s">
        <v>987</v>
      </c>
      <c r="B329" s="15">
        <v>0</v>
      </c>
      <c r="C329" s="19">
        <v>0</v>
      </c>
      <c r="D329" s="25">
        <v>1</v>
      </c>
      <c r="E329" s="26" t="s">
        <v>348</v>
      </c>
      <c r="F329" s="26" t="s">
        <v>549</v>
      </c>
      <c r="G329" s="31">
        <v>44835</v>
      </c>
      <c r="H329" s="27"/>
      <c r="I329" s="34"/>
      <c r="J329" s="23">
        <f t="shared" si="19"/>
        <v>346688</v>
      </c>
    </row>
    <row r="330" spans="1:10" thickTop="1" thickBot="1">
      <c r="A330" s="15" t="s">
        <v>988</v>
      </c>
      <c r="B330" s="15">
        <v>0</v>
      </c>
      <c r="C330" s="19">
        <v>0</v>
      </c>
      <c r="D330" s="25">
        <v>1</v>
      </c>
      <c r="E330" s="26" t="s">
        <v>350</v>
      </c>
      <c r="F330" s="26" t="s">
        <v>549</v>
      </c>
      <c r="G330" s="31">
        <v>44835</v>
      </c>
      <c r="H330" s="27" t="s">
        <v>788</v>
      </c>
      <c r="I330" s="34" t="s">
        <v>684</v>
      </c>
      <c r="J330" s="23">
        <f t="shared" si="19"/>
        <v>346688</v>
      </c>
    </row>
    <row r="331" spans="1:10" thickTop="1" thickBot="1">
      <c r="A331" s="15" t="s">
        <v>989</v>
      </c>
      <c r="B331" s="15">
        <v>0</v>
      </c>
      <c r="C331" s="19">
        <v>0</v>
      </c>
      <c r="D331" s="25">
        <v>1</v>
      </c>
      <c r="E331" s="26" t="s">
        <v>350</v>
      </c>
      <c r="F331" s="26" t="s">
        <v>549</v>
      </c>
      <c r="G331" s="31">
        <v>44835</v>
      </c>
      <c r="H331" s="27" t="s">
        <v>903</v>
      </c>
      <c r="I331" s="34" t="s">
        <v>684</v>
      </c>
      <c r="J331" s="23">
        <f t="shared" si="19"/>
        <v>346688</v>
      </c>
    </row>
    <row r="332" spans="1:10" thickTop="1" thickBot="1">
      <c r="A332" s="15" t="s">
        <v>990</v>
      </c>
      <c r="B332" s="15">
        <v>0</v>
      </c>
      <c r="C332" s="19">
        <v>0</v>
      </c>
      <c r="D332" s="25">
        <v>1</v>
      </c>
      <c r="E332" s="26" t="s">
        <v>350</v>
      </c>
      <c r="F332" s="26" t="s">
        <v>549</v>
      </c>
      <c r="G332" s="31">
        <v>44835</v>
      </c>
      <c r="H332" s="27" t="s">
        <v>903</v>
      </c>
      <c r="I332" s="34" t="s">
        <v>684</v>
      </c>
      <c r="J332" s="23">
        <f t="shared" si="19"/>
        <v>346688</v>
      </c>
    </row>
    <row r="333" spans="1:10" thickTop="1" thickBot="1">
      <c r="A333" s="15" t="s">
        <v>1001</v>
      </c>
      <c r="B333" s="15">
        <v>0</v>
      </c>
      <c r="C333" s="19">
        <v>150</v>
      </c>
      <c r="D333" s="25">
        <v>1</v>
      </c>
      <c r="E333" s="26" t="s">
        <v>350</v>
      </c>
      <c r="F333" s="26" t="s">
        <v>549</v>
      </c>
      <c r="G333" s="31">
        <v>44835</v>
      </c>
      <c r="H333" s="27"/>
      <c r="I333" s="34"/>
      <c r="J333" s="23">
        <f t="shared" si="19"/>
        <v>346838</v>
      </c>
    </row>
    <row r="334" spans="1:10" thickTop="1" thickBot="1">
      <c r="A334" s="15" t="s">
        <v>1002</v>
      </c>
      <c r="B334" s="15">
        <v>0</v>
      </c>
      <c r="C334" s="19">
        <v>0</v>
      </c>
      <c r="D334" s="25">
        <v>1</v>
      </c>
      <c r="E334" s="26" t="s">
        <v>350</v>
      </c>
      <c r="F334" s="26" t="s">
        <v>549</v>
      </c>
      <c r="G334" s="31">
        <v>44835</v>
      </c>
      <c r="H334" s="27" t="s">
        <v>362</v>
      </c>
      <c r="I334" s="34" t="s">
        <v>830</v>
      </c>
      <c r="J334" s="23">
        <f t="shared" si="19"/>
        <v>346838</v>
      </c>
    </row>
    <row r="335" spans="1:10" thickTop="1" thickBot="1">
      <c r="A335" s="15" t="s">
        <v>1017</v>
      </c>
      <c r="B335" s="15">
        <v>0</v>
      </c>
      <c r="C335" s="19">
        <v>426</v>
      </c>
      <c r="D335" s="25">
        <v>1</v>
      </c>
      <c r="E335" s="26" t="s">
        <v>350</v>
      </c>
      <c r="F335" s="26" t="s">
        <v>552</v>
      </c>
      <c r="G335" s="31">
        <v>44835</v>
      </c>
      <c r="H335" s="27" t="s">
        <v>876</v>
      </c>
      <c r="I335" s="34" t="s">
        <v>684</v>
      </c>
      <c r="J335" s="23">
        <f t="shared" si="19"/>
        <v>347264</v>
      </c>
    </row>
    <row r="336" spans="1:10" thickTop="1" thickBot="1">
      <c r="A336" s="15" t="s">
        <v>1018</v>
      </c>
      <c r="B336" s="15">
        <v>0</v>
      </c>
      <c r="C336" s="19">
        <v>125</v>
      </c>
      <c r="D336" s="25">
        <v>0</v>
      </c>
      <c r="E336" s="26" t="s">
        <v>49</v>
      </c>
      <c r="F336" s="26" t="s">
        <v>549</v>
      </c>
      <c r="G336" s="31">
        <v>44835</v>
      </c>
      <c r="H336" s="27"/>
      <c r="I336" s="34"/>
      <c r="J336" s="23">
        <f t="shared" si="19"/>
        <v>347389</v>
      </c>
    </row>
    <row r="337" spans="1:10" thickTop="1" thickBot="1">
      <c r="A337" s="15" t="s">
        <v>1019</v>
      </c>
      <c r="B337" s="15">
        <v>0</v>
      </c>
      <c r="C337" s="19">
        <v>300</v>
      </c>
      <c r="D337" s="25">
        <v>0</v>
      </c>
      <c r="E337" s="26" t="s">
        <v>49</v>
      </c>
      <c r="F337" s="26" t="s">
        <v>549</v>
      </c>
      <c r="G337" s="31">
        <v>44835</v>
      </c>
      <c r="H337" s="27"/>
      <c r="I337" s="34"/>
      <c r="J337" s="23">
        <f t="shared" si="19"/>
        <v>347689</v>
      </c>
    </row>
    <row r="338" spans="1:10" thickTop="1" thickBot="1">
      <c r="A338" s="15" t="s">
        <v>46</v>
      </c>
      <c r="B338" s="15">
        <v>0</v>
      </c>
      <c r="C338" s="19">
        <v>56</v>
      </c>
      <c r="D338" s="25">
        <v>0</v>
      </c>
      <c r="E338" s="26" t="s">
        <v>49</v>
      </c>
      <c r="F338" s="26" t="s">
        <v>548</v>
      </c>
      <c r="G338" s="31">
        <v>44835</v>
      </c>
      <c r="H338" s="27"/>
      <c r="I338" s="34"/>
      <c r="J338" s="23">
        <f t="shared" si="19"/>
        <v>347745</v>
      </c>
    </row>
    <row r="339" spans="1:10" thickTop="1" thickBot="1">
      <c r="A339" s="15">
        <v>441</v>
      </c>
      <c r="B339" s="15">
        <v>0</v>
      </c>
      <c r="C339" s="19">
        <v>100</v>
      </c>
      <c r="D339" s="25">
        <v>0</v>
      </c>
      <c r="E339" s="26" t="s">
        <v>49</v>
      </c>
      <c r="F339" s="26" t="s">
        <v>549</v>
      </c>
      <c r="G339" s="31">
        <v>44835</v>
      </c>
      <c r="H339" s="27"/>
      <c r="I339" s="34"/>
      <c r="J339" s="23">
        <f t="shared" si="19"/>
        <v>347845</v>
      </c>
    </row>
    <row r="340" spans="1:10" thickTop="1" thickBot="1">
      <c r="A340" s="15" t="s">
        <v>980</v>
      </c>
      <c r="B340" s="15">
        <v>0</v>
      </c>
      <c r="C340" s="19">
        <v>206</v>
      </c>
      <c r="D340" s="25">
        <v>1</v>
      </c>
      <c r="E340" s="26" t="s">
        <v>350</v>
      </c>
      <c r="F340" s="26" t="s">
        <v>552</v>
      </c>
      <c r="G340" s="31">
        <v>44835</v>
      </c>
      <c r="H340" s="27"/>
      <c r="I340" s="34"/>
      <c r="J340" s="23">
        <f t="shared" si="19"/>
        <v>348051</v>
      </c>
    </row>
    <row r="341" spans="1:10" thickTop="1" thickBot="1">
      <c r="A341" s="15" t="s">
        <v>1021</v>
      </c>
      <c r="B341" s="15">
        <v>0</v>
      </c>
      <c r="C341" s="19">
        <v>1000</v>
      </c>
      <c r="D341" s="25">
        <v>1</v>
      </c>
      <c r="E341" s="26" t="s">
        <v>350</v>
      </c>
      <c r="F341" s="26" t="s">
        <v>549</v>
      </c>
      <c r="G341" s="31">
        <v>44866</v>
      </c>
      <c r="H341" s="27" t="s">
        <v>362</v>
      </c>
      <c r="I341" s="34" t="s">
        <v>830</v>
      </c>
      <c r="J341" s="23">
        <f t="shared" si="19"/>
        <v>349051</v>
      </c>
    </row>
    <row r="342" spans="1:10" thickTop="1" thickBot="1">
      <c r="A342" s="15" t="s">
        <v>1023</v>
      </c>
      <c r="B342" s="15">
        <v>0</v>
      </c>
      <c r="C342" s="19">
        <v>500</v>
      </c>
      <c r="D342" s="25">
        <v>1</v>
      </c>
      <c r="E342" s="26" t="s">
        <v>350</v>
      </c>
      <c r="F342" s="26" t="s">
        <v>548</v>
      </c>
      <c r="G342" s="31">
        <v>44866</v>
      </c>
      <c r="H342" s="27" t="s">
        <v>928</v>
      </c>
      <c r="I342" s="34" t="s">
        <v>684</v>
      </c>
      <c r="J342" s="23">
        <f t="shared" si="19"/>
        <v>349551</v>
      </c>
    </row>
    <row r="343" spans="1:10" thickTop="1" thickBot="1">
      <c r="A343" s="15" t="s">
        <v>1024</v>
      </c>
      <c r="B343" s="15">
        <v>0</v>
      </c>
      <c r="C343" s="19">
        <v>3500</v>
      </c>
      <c r="D343" s="25">
        <v>1</v>
      </c>
      <c r="E343" s="26" t="s">
        <v>350</v>
      </c>
      <c r="F343" s="26" t="s">
        <v>549</v>
      </c>
      <c r="G343" s="31">
        <v>44866</v>
      </c>
      <c r="H343" s="27" t="s">
        <v>952</v>
      </c>
      <c r="I343" s="34" t="s">
        <v>830</v>
      </c>
      <c r="J343" s="23">
        <f t="shared" si="19"/>
        <v>353051</v>
      </c>
    </row>
    <row r="344" spans="1:10" thickTop="1" thickBot="1">
      <c r="A344" s="15" t="s">
        <v>1025</v>
      </c>
      <c r="B344" s="15">
        <v>0</v>
      </c>
      <c r="C344" s="19">
        <v>2500</v>
      </c>
      <c r="D344" s="25">
        <v>1</v>
      </c>
      <c r="E344" s="26" t="s">
        <v>350</v>
      </c>
      <c r="F344" s="26" t="s">
        <v>549</v>
      </c>
      <c r="G344" s="31">
        <v>44866</v>
      </c>
      <c r="H344" s="27" t="s">
        <v>928</v>
      </c>
      <c r="I344" s="34" t="s">
        <v>684</v>
      </c>
      <c r="J344" s="23">
        <f t="shared" si="19"/>
        <v>355551</v>
      </c>
    </row>
    <row r="345" spans="1:10" thickTop="1" thickBot="1">
      <c r="A345" s="15" t="s">
        <v>911</v>
      </c>
      <c r="B345" s="15">
        <v>0</v>
      </c>
      <c r="C345" s="19">
        <v>3000</v>
      </c>
      <c r="D345" s="25">
        <v>1</v>
      </c>
      <c r="E345" s="26" t="s">
        <v>350</v>
      </c>
      <c r="F345" s="26" t="s">
        <v>548</v>
      </c>
      <c r="G345" s="31">
        <v>44866</v>
      </c>
      <c r="H345" s="27" t="s">
        <v>524</v>
      </c>
      <c r="I345" s="34" t="s">
        <v>682</v>
      </c>
      <c r="J345" s="23">
        <f t="shared" si="19"/>
        <v>358551</v>
      </c>
    </row>
    <row r="346" spans="1:10" thickTop="1" thickBot="1">
      <c r="A346" s="15" t="s">
        <v>1026</v>
      </c>
      <c r="B346" s="15">
        <v>0</v>
      </c>
      <c r="C346" s="19">
        <v>800</v>
      </c>
      <c r="D346" s="25">
        <v>1</v>
      </c>
      <c r="E346" s="26" t="s">
        <v>350</v>
      </c>
      <c r="F346" s="26" t="s">
        <v>548</v>
      </c>
      <c r="G346" s="31">
        <v>44866</v>
      </c>
      <c r="H346" s="27" t="s">
        <v>523</v>
      </c>
      <c r="I346" s="34" t="s">
        <v>682</v>
      </c>
      <c r="J346" s="23">
        <f t="shared" si="19"/>
        <v>359351</v>
      </c>
    </row>
    <row r="347" spans="1:10" thickTop="1" thickBot="1">
      <c r="A347" s="15" t="s">
        <v>1027</v>
      </c>
      <c r="B347" s="15">
        <v>0</v>
      </c>
      <c r="C347" s="19">
        <v>1500</v>
      </c>
      <c r="D347" s="25">
        <v>1</v>
      </c>
      <c r="E347" s="26" t="s">
        <v>350</v>
      </c>
      <c r="F347" s="26" t="s">
        <v>548</v>
      </c>
      <c r="G347" s="31">
        <v>44866</v>
      </c>
      <c r="H347" s="27" t="s">
        <v>896</v>
      </c>
      <c r="I347" s="34" t="s">
        <v>830</v>
      </c>
      <c r="J347" s="23">
        <f t="shared" si="19"/>
        <v>360851</v>
      </c>
    </row>
    <row r="348" spans="1:10" thickTop="1" thickBot="1">
      <c r="A348" s="15" t="s">
        <v>1028</v>
      </c>
      <c r="B348" s="15">
        <v>0</v>
      </c>
      <c r="C348" s="19">
        <v>0</v>
      </c>
      <c r="D348" s="25">
        <v>1</v>
      </c>
      <c r="E348" s="26" t="s">
        <v>350</v>
      </c>
      <c r="F348" s="26" t="s">
        <v>548</v>
      </c>
      <c r="G348" s="31">
        <v>44866</v>
      </c>
      <c r="H348" s="27" t="s">
        <v>896</v>
      </c>
      <c r="I348" s="34" t="s">
        <v>830</v>
      </c>
      <c r="J348" s="23">
        <f t="shared" si="19"/>
        <v>360851</v>
      </c>
    </row>
    <row r="349" spans="1:10" thickTop="1" thickBot="1">
      <c r="A349" s="15" t="s">
        <v>1051</v>
      </c>
      <c r="B349" s="15">
        <v>0</v>
      </c>
      <c r="C349" s="19">
        <v>0</v>
      </c>
      <c r="D349" s="25">
        <v>3</v>
      </c>
      <c r="E349" s="26" t="s">
        <v>350</v>
      </c>
      <c r="F349" s="26" t="s">
        <v>549</v>
      </c>
      <c r="G349" s="31">
        <v>44866</v>
      </c>
      <c r="H349" s="27" t="s">
        <v>1032</v>
      </c>
      <c r="I349" s="34" t="s">
        <v>684</v>
      </c>
      <c r="J349" s="23">
        <f t="shared" si="19"/>
        <v>360851</v>
      </c>
    </row>
    <row r="350" spans="1:10" thickTop="1" thickBot="1">
      <c r="A350" s="15" t="s">
        <v>1030</v>
      </c>
      <c r="B350" s="15">
        <v>0</v>
      </c>
      <c r="C350" s="19">
        <v>0</v>
      </c>
      <c r="D350" s="25">
        <v>1</v>
      </c>
      <c r="E350" s="26" t="s">
        <v>350</v>
      </c>
      <c r="F350" s="26" t="s">
        <v>549</v>
      </c>
      <c r="G350" s="31">
        <v>44866</v>
      </c>
      <c r="H350" s="27"/>
      <c r="I350" s="34"/>
      <c r="J350" s="23">
        <f t="shared" si="19"/>
        <v>360851</v>
      </c>
    </row>
    <row r="351" spans="1:10" thickTop="1" thickBot="1">
      <c r="A351" s="15" t="s">
        <v>1031</v>
      </c>
      <c r="B351" s="15">
        <v>0</v>
      </c>
      <c r="C351" s="19">
        <v>0</v>
      </c>
      <c r="D351" s="25">
        <v>2</v>
      </c>
      <c r="E351" s="26" t="s">
        <v>350</v>
      </c>
      <c r="F351" s="26" t="s">
        <v>549</v>
      </c>
      <c r="G351" s="31">
        <v>44866</v>
      </c>
      <c r="H351" s="27" t="s">
        <v>896</v>
      </c>
      <c r="I351" s="34" t="s">
        <v>684</v>
      </c>
      <c r="J351" s="23">
        <f t="shared" si="19"/>
        <v>360851</v>
      </c>
    </row>
    <row r="352" spans="1:10" thickTop="1" thickBot="1">
      <c r="A352" s="15" t="s">
        <v>686</v>
      </c>
      <c r="B352" s="15">
        <v>0</v>
      </c>
      <c r="C352" s="19">
        <v>0</v>
      </c>
      <c r="D352" s="25">
        <v>1</v>
      </c>
      <c r="E352" s="26" t="s">
        <v>350</v>
      </c>
      <c r="F352" s="26" t="s">
        <v>549</v>
      </c>
      <c r="G352" s="31">
        <v>44866</v>
      </c>
      <c r="H352" s="27"/>
      <c r="I352" s="34"/>
      <c r="J352" s="23">
        <f t="shared" si="19"/>
        <v>360851</v>
      </c>
    </row>
    <row r="353" spans="1:10" thickTop="1" thickBot="1">
      <c r="A353" s="15">
        <v>441</v>
      </c>
      <c r="B353" s="15">
        <v>0</v>
      </c>
      <c r="C353" s="19">
        <v>200</v>
      </c>
      <c r="D353" s="25">
        <v>0</v>
      </c>
      <c r="E353" s="26" t="s">
        <v>49</v>
      </c>
      <c r="F353" s="26" t="s">
        <v>548</v>
      </c>
      <c r="G353" s="31">
        <v>44866</v>
      </c>
      <c r="H353" s="27"/>
      <c r="I353" s="34"/>
      <c r="J353" s="23">
        <f>SUM(C353,J351)</f>
        <v>361051</v>
      </c>
    </row>
    <row r="354" spans="1:10" thickTop="1" thickBot="1">
      <c r="A354" s="15" t="s">
        <v>1050</v>
      </c>
      <c r="B354" s="15">
        <v>0</v>
      </c>
      <c r="C354" s="19">
        <v>100</v>
      </c>
      <c r="D354" s="25">
        <v>1</v>
      </c>
      <c r="E354" s="26" t="s">
        <v>348</v>
      </c>
      <c r="F354" s="26" t="s">
        <v>548</v>
      </c>
      <c r="G354" s="31">
        <v>44866</v>
      </c>
      <c r="H354" s="27"/>
      <c r="I354" s="34"/>
      <c r="J354" s="23">
        <f t="shared" si="19"/>
        <v>361151</v>
      </c>
    </row>
    <row r="355" spans="1:10" thickTop="1" thickBot="1">
      <c r="A355" s="15" t="s">
        <v>1053</v>
      </c>
      <c r="B355" s="15">
        <v>0</v>
      </c>
      <c r="C355" s="19">
        <v>800</v>
      </c>
      <c r="D355" s="25">
        <v>0</v>
      </c>
      <c r="E355" s="26" t="s">
        <v>49</v>
      </c>
      <c r="F355" s="26" t="s">
        <v>549</v>
      </c>
      <c r="G355" s="31">
        <v>44896</v>
      </c>
      <c r="H355" s="27"/>
      <c r="I355" s="34"/>
      <c r="J355" s="23">
        <f t="shared" si="19"/>
        <v>361951</v>
      </c>
    </row>
    <row r="356" spans="1:10" thickTop="1" thickBot="1">
      <c r="A356" s="15" t="s">
        <v>1057</v>
      </c>
      <c r="B356" s="15">
        <v>0</v>
      </c>
      <c r="C356" s="19">
        <v>0</v>
      </c>
      <c r="D356" s="25">
        <v>2</v>
      </c>
      <c r="E356" s="26" t="s">
        <v>350</v>
      </c>
      <c r="F356" s="26" t="s">
        <v>549</v>
      </c>
      <c r="G356" s="31">
        <v>44896</v>
      </c>
      <c r="H356" s="27" t="s">
        <v>523</v>
      </c>
      <c r="I356" s="34" t="s">
        <v>682</v>
      </c>
      <c r="J356" s="23">
        <f t="shared" si="19"/>
        <v>361951</v>
      </c>
    </row>
    <row r="357" spans="1:10" thickTop="1" thickBot="1">
      <c r="A357" s="15" t="s">
        <v>1055</v>
      </c>
      <c r="B357" s="15">
        <v>0</v>
      </c>
      <c r="C357" s="19">
        <v>0</v>
      </c>
      <c r="D357" s="25">
        <v>1</v>
      </c>
      <c r="E357" s="26" t="s">
        <v>350</v>
      </c>
      <c r="F357" s="26" t="s">
        <v>549</v>
      </c>
      <c r="G357" s="31">
        <v>44896</v>
      </c>
      <c r="H357" s="27" t="s">
        <v>896</v>
      </c>
      <c r="I357" s="34" t="s">
        <v>684</v>
      </c>
      <c r="J357" s="23">
        <f t="shared" si="19"/>
        <v>361951</v>
      </c>
    </row>
    <row r="358" spans="1:10" thickTop="1" thickBot="1">
      <c r="A358" s="15" t="s">
        <v>1056</v>
      </c>
      <c r="B358" s="15">
        <v>0</v>
      </c>
      <c r="C358" s="19">
        <v>0</v>
      </c>
      <c r="D358" s="25">
        <v>1</v>
      </c>
      <c r="E358" s="26" t="s">
        <v>351</v>
      </c>
      <c r="F358" s="26" t="s">
        <v>549</v>
      </c>
      <c r="G358" s="31">
        <v>44896</v>
      </c>
      <c r="H358" s="27"/>
      <c r="I358" s="34"/>
      <c r="J358" s="23">
        <f t="shared" si="19"/>
        <v>361951</v>
      </c>
    </row>
    <row r="359" spans="1:10" thickTop="1" thickBot="1">
      <c r="A359" s="15" t="s">
        <v>1022</v>
      </c>
      <c r="B359" s="15">
        <v>0</v>
      </c>
      <c r="C359" s="19">
        <v>0</v>
      </c>
      <c r="D359" s="25">
        <v>1</v>
      </c>
      <c r="E359" s="26" t="s">
        <v>352</v>
      </c>
      <c r="F359" s="26" t="s">
        <v>549</v>
      </c>
      <c r="G359" s="31">
        <v>44896</v>
      </c>
      <c r="H359" s="27"/>
      <c r="I359" s="34"/>
      <c r="J359" s="23">
        <f t="shared" si="19"/>
        <v>361951</v>
      </c>
    </row>
    <row r="360" spans="1:10" thickTop="1" thickBot="1">
      <c r="A360" s="15" t="s">
        <v>1052</v>
      </c>
      <c r="B360" s="15">
        <v>0</v>
      </c>
      <c r="C360" s="19">
        <v>2000</v>
      </c>
      <c r="D360" s="25">
        <v>1</v>
      </c>
      <c r="E360" s="26" t="s">
        <v>350</v>
      </c>
      <c r="F360" s="26" t="s">
        <v>548</v>
      </c>
      <c r="G360" s="31">
        <v>44896</v>
      </c>
      <c r="H360" s="27"/>
      <c r="I360" s="34"/>
      <c r="J360" s="23">
        <f t="shared" si="19"/>
        <v>363951</v>
      </c>
    </row>
    <row r="361" spans="1:10" thickTop="1" thickBot="1">
      <c r="A361" s="15" t="s">
        <v>45</v>
      </c>
      <c r="B361" s="15">
        <v>0</v>
      </c>
      <c r="C361" s="19">
        <v>195</v>
      </c>
      <c r="D361" s="25">
        <v>0</v>
      </c>
      <c r="E361" s="26" t="s">
        <v>49</v>
      </c>
      <c r="F361" s="26" t="s">
        <v>549</v>
      </c>
      <c r="G361" s="31">
        <v>44896</v>
      </c>
      <c r="H361" s="27"/>
      <c r="I361" s="34"/>
      <c r="J361" s="23">
        <f t="shared" si="19"/>
        <v>364146</v>
      </c>
    </row>
    <row r="362" spans="1:10" thickTop="1" thickBot="1">
      <c r="A362" s="15" t="s">
        <v>1063</v>
      </c>
      <c r="B362" s="15">
        <v>0</v>
      </c>
      <c r="C362" s="19">
        <v>190</v>
      </c>
      <c r="D362" s="25">
        <v>1</v>
      </c>
      <c r="E362" s="26" t="s">
        <v>348</v>
      </c>
      <c r="F362" s="26" t="s">
        <v>548</v>
      </c>
      <c r="G362" s="31">
        <v>44896</v>
      </c>
      <c r="H362" s="27"/>
      <c r="I362" s="34"/>
      <c r="J362" s="23">
        <f t="shared" si="19"/>
        <v>364336</v>
      </c>
    </row>
    <row r="363" spans="1:10" thickTop="1" thickBot="1">
      <c r="A363" s="15" t="s">
        <v>980</v>
      </c>
      <c r="B363" s="15">
        <v>0</v>
      </c>
      <c r="C363" s="19">
        <v>400</v>
      </c>
      <c r="D363" s="25">
        <v>1</v>
      </c>
      <c r="E363" s="26" t="s">
        <v>348</v>
      </c>
      <c r="F363" s="26" t="s">
        <v>552</v>
      </c>
      <c r="G363" s="31">
        <v>44927</v>
      </c>
      <c r="H363" s="27"/>
      <c r="I363" s="34"/>
      <c r="J363" s="23">
        <f t="shared" si="19"/>
        <v>364736</v>
      </c>
    </row>
    <row r="364" spans="1:10" thickTop="1" thickBot="1">
      <c r="A364" s="15">
        <v>441</v>
      </c>
      <c r="B364" s="15">
        <v>0</v>
      </c>
      <c r="C364" s="19">
        <v>100</v>
      </c>
      <c r="D364" s="25">
        <v>0</v>
      </c>
      <c r="E364" s="26" t="s">
        <v>49</v>
      </c>
      <c r="F364" s="26" t="s">
        <v>548</v>
      </c>
      <c r="G364" s="31">
        <v>44927</v>
      </c>
      <c r="H364" s="27"/>
      <c r="I364" s="34"/>
      <c r="J364" s="23">
        <f t="shared" si="19"/>
        <v>364836</v>
      </c>
    </row>
    <row r="365" spans="1:10" thickTop="1" thickBot="1">
      <c r="A365" s="15" t="s">
        <v>1004</v>
      </c>
      <c r="B365" s="15">
        <v>0</v>
      </c>
      <c r="C365" s="19">
        <v>2500</v>
      </c>
      <c r="D365" s="25">
        <v>1</v>
      </c>
      <c r="E365" s="26" t="s">
        <v>350</v>
      </c>
      <c r="F365" s="26" t="s">
        <v>548</v>
      </c>
      <c r="G365" s="31">
        <v>44958</v>
      </c>
      <c r="H365" s="27"/>
      <c r="I365" s="34"/>
      <c r="J365" s="23">
        <f t="shared" si="19"/>
        <v>367336</v>
      </c>
    </row>
    <row r="366" spans="1:10" thickTop="1" thickBot="1">
      <c r="A366" s="15" t="s">
        <v>865</v>
      </c>
      <c r="B366" s="15">
        <v>0</v>
      </c>
      <c r="C366" s="19">
        <v>0</v>
      </c>
      <c r="D366" s="25">
        <v>1</v>
      </c>
      <c r="E366" s="26" t="s">
        <v>350</v>
      </c>
      <c r="F366" s="26" t="s">
        <v>549</v>
      </c>
      <c r="G366" s="31">
        <v>44986</v>
      </c>
      <c r="H366" s="27"/>
      <c r="I366" s="34"/>
      <c r="J366" s="23">
        <f t="shared" si="19"/>
        <v>367336</v>
      </c>
    </row>
    <row r="367" spans="1:10" thickTop="1" thickBot="1">
      <c r="A367" s="15" t="s">
        <v>1088</v>
      </c>
      <c r="B367" s="15">
        <v>0</v>
      </c>
      <c r="C367" s="19">
        <v>2000</v>
      </c>
      <c r="D367" s="25">
        <v>1</v>
      </c>
      <c r="E367" s="26" t="s">
        <v>350</v>
      </c>
      <c r="F367" s="26" t="s">
        <v>549</v>
      </c>
      <c r="G367" s="31">
        <v>44986</v>
      </c>
      <c r="H367" s="27"/>
      <c r="I367" s="34"/>
      <c r="J367" s="23">
        <f t="shared" si="19"/>
        <v>369336</v>
      </c>
    </row>
    <row r="368" spans="1:10" thickTop="1" thickBot="1">
      <c r="A368" s="15" t="s">
        <v>1089</v>
      </c>
      <c r="B368" s="15">
        <v>0</v>
      </c>
      <c r="C368" s="19">
        <v>2000</v>
      </c>
      <c r="D368" s="25">
        <v>1</v>
      </c>
      <c r="E368" s="26" t="s">
        <v>351</v>
      </c>
      <c r="F368" s="26" t="s">
        <v>549</v>
      </c>
      <c r="G368" s="31">
        <v>44986</v>
      </c>
      <c r="H368" s="27"/>
      <c r="I368" s="34"/>
      <c r="J368" s="23">
        <f t="shared" si="19"/>
        <v>371336</v>
      </c>
    </row>
    <row r="369" spans="1:10" thickTop="1" thickBot="1">
      <c r="A369" s="15" t="s">
        <v>1090</v>
      </c>
      <c r="B369" s="15">
        <v>0</v>
      </c>
      <c r="C369" s="19">
        <v>0</v>
      </c>
      <c r="D369" s="25">
        <v>2</v>
      </c>
      <c r="E369" s="26" t="s">
        <v>350</v>
      </c>
      <c r="F369" s="26" t="s">
        <v>549</v>
      </c>
      <c r="G369" s="31">
        <v>44986</v>
      </c>
      <c r="H369" s="27"/>
      <c r="I369" s="34"/>
      <c r="J369" s="23">
        <f t="shared" si="19"/>
        <v>371336</v>
      </c>
    </row>
    <row r="370" spans="1:10" thickTop="1" thickBot="1">
      <c r="A370" s="15" t="s">
        <v>1091</v>
      </c>
      <c r="B370" s="15">
        <v>0</v>
      </c>
      <c r="C370" s="19">
        <v>3500</v>
      </c>
      <c r="D370" s="25">
        <v>1</v>
      </c>
      <c r="E370" s="26" t="s">
        <v>351</v>
      </c>
      <c r="F370" s="26" t="s">
        <v>550</v>
      </c>
      <c r="G370" s="31">
        <v>44986</v>
      </c>
      <c r="H370" s="27"/>
      <c r="I370" s="34"/>
      <c r="J370" s="23">
        <f t="shared" si="19"/>
        <v>374836</v>
      </c>
    </row>
    <row r="371" spans="1:10" thickTop="1" thickBot="1">
      <c r="A371" s="15" t="s">
        <v>1092</v>
      </c>
      <c r="B371" s="15">
        <v>0</v>
      </c>
      <c r="C371" s="19">
        <v>2400</v>
      </c>
      <c r="D371" s="25">
        <v>1</v>
      </c>
      <c r="E371" s="26" t="s">
        <v>351</v>
      </c>
      <c r="F371" s="26" t="s">
        <v>550</v>
      </c>
      <c r="G371" s="31">
        <v>44986</v>
      </c>
      <c r="H371" s="27"/>
      <c r="I371" s="34"/>
      <c r="J371" s="23">
        <f t="shared" si="19"/>
        <v>377236</v>
      </c>
    </row>
    <row r="372" spans="1:10" thickTop="1" thickBot="1">
      <c r="A372" s="15" t="s">
        <v>1093</v>
      </c>
      <c r="B372" s="15">
        <v>0</v>
      </c>
      <c r="C372" s="19">
        <v>3500</v>
      </c>
      <c r="D372" s="25">
        <v>1</v>
      </c>
      <c r="E372" s="26" t="s">
        <v>351</v>
      </c>
      <c r="F372" s="26" t="s">
        <v>548</v>
      </c>
      <c r="G372" s="31">
        <v>44986</v>
      </c>
      <c r="H372" s="27"/>
      <c r="I372" s="34"/>
      <c r="J372" s="23">
        <f t="shared" si="19"/>
        <v>380736</v>
      </c>
    </row>
    <row r="373" spans="1:10" thickTop="1" thickBot="1">
      <c r="A373" s="15" t="s">
        <v>1094</v>
      </c>
      <c r="B373" s="15">
        <v>0</v>
      </c>
      <c r="C373" s="19">
        <v>1000</v>
      </c>
      <c r="D373" s="25">
        <v>1</v>
      </c>
      <c r="E373" s="26" t="s">
        <v>351</v>
      </c>
      <c r="F373" s="26" t="s">
        <v>549</v>
      </c>
      <c r="G373" s="31">
        <v>44986</v>
      </c>
      <c r="H373" s="27"/>
      <c r="I373" s="34"/>
      <c r="J373" s="23">
        <f t="shared" si="19"/>
        <v>381736</v>
      </c>
    </row>
    <row r="374" spans="1:10" thickTop="1" thickBot="1">
      <c r="A374" s="15" t="s">
        <v>375</v>
      </c>
      <c r="B374" s="15">
        <v>0</v>
      </c>
      <c r="C374" s="19">
        <v>100</v>
      </c>
      <c r="D374" s="25">
        <v>1</v>
      </c>
      <c r="E374" s="26" t="s">
        <v>351</v>
      </c>
      <c r="F374" s="26" t="s">
        <v>548</v>
      </c>
      <c r="G374" s="31">
        <v>44986</v>
      </c>
      <c r="H374" s="27"/>
      <c r="I374" s="34"/>
      <c r="J374" s="23">
        <f t="shared" si="19"/>
        <v>381836</v>
      </c>
    </row>
    <row r="375" spans="1:10" thickTop="1" thickBot="1">
      <c r="A375" s="15" t="s">
        <v>1098</v>
      </c>
      <c r="B375" s="15">
        <v>0</v>
      </c>
      <c r="C375" s="19">
        <v>1900</v>
      </c>
      <c r="D375" s="25">
        <v>1</v>
      </c>
      <c r="E375" s="26" t="s">
        <v>351</v>
      </c>
      <c r="F375" s="26" t="s">
        <v>548</v>
      </c>
      <c r="G375" s="31">
        <v>44986</v>
      </c>
      <c r="H375" s="27"/>
      <c r="I375" s="34"/>
      <c r="J375" s="23">
        <f t="shared" si="19"/>
        <v>383736</v>
      </c>
    </row>
    <row r="376" spans="1:10" thickTop="1" thickBot="1">
      <c r="A376" s="15" t="s">
        <v>1104</v>
      </c>
      <c r="B376" s="15">
        <v>0</v>
      </c>
      <c r="C376" s="19">
        <v>2500</v>
      </c>
      <c r="D376" s="25">
        <v>1</v>
      </c>
      <c r="E376" s="26" t="s">
        <v>350</v>
      </c>
      <c r="F376" s="26" t="s">
        <v>548</v>
      </c>
      <c r="G376" s="31">
        <v>45017</v>
      </c>
      <c r="H376" s="27"/>
      <c r="I376" s="34"/>
      <c r="J376" s="23">
        <f t="shared" si="19"/>
        <v>386236</v>
      </c>
    </row>
    <row r="377" spans="1:10" thickTop="1" thickBot="1">
      <c r="A377" s="15" t="s">
        <v>1108</v>
      </c>
      <c r="B377" s="15">
        <v>0</v>
      </c>
      <c r="C377" s="19">
        <v>1200</v>
      </c>
      <c r="D377" s="25">
        <v>4</v>
      </c>
      <c r="E377" s="26" t="s">
        <v>350</v>
      </c>
      <c r="F377" s="26" t="s">
        <v>549</v>
      </c>
      <c r="G377" s="31">
        <v>45047</v>
      </c>
      <c r="H377" s="27"/>
      <c r="I377" s="34"/>
      <c r="J377" s="23">
        <f t="shared" si="19"/>
        <v>387436</v>
      </c>
    </row>
    <row r="378" spans="1:10" thickTop="1" thickBot="1">
      <c r="A378" s="15" t="s">
        <v>1101</v>
      </c>
      <c r="B378" s="15">
        <v>0</v>
      </c>
      <c r="C378" s="19">
        <v>2500</v>
      </c>
      <c r="D378" s="25">
        <v>1</v>
      </c>
      <c r="E378" s="26" t="s">
        <v>351</v>
      </c>
      <c r="F378" s="26" t="s">
        <v>549</v>
      </c>
      <c r="G378" s="31">
        <v>45047</v>
      </c>
      <c r="H378" s="27"/>
      <c r="I378" s="34"/>
      <c r="J378" s="23">
        <f t="shared" si="19"/>
        <v>389936</v>
      </c>
    </row>
    <row r="379" spans="1:10" thickTop="1" thickBot="1">
      <c r="A379" s="15" t="s">
        <v>1087</v>
      </c>
      <c r="B379" s="15">
        <v>0</v>
      </c>
      <c r="C379" s="19">
        <v>1000</v>
      </c>
      <c r="D379" s="25">
        <v>1</v>
      </c>
      <c r="E379" s="26" t="s">
        <v>351</v>
      </c>
      <c r="F379" s="26" t="s">
        <v>549</v>
      </c>
      <c r="G379" s="31">
        <v>45047</v>
      </c>
      <c r="H379" s="27"/>
      <c r="I379" s="34"/>
      <c r="J379" s="23">
        <f t="shared" si="19"/>
        <v>390936</v>
      </c>
    </row>
    <row r="380" spans="1:10" thickTop="1" thickBot="1">
      <c r="A380" s="15" t="s">
        <v>1086</v>
      </c>
      <c r="B380" s="15">
        <v>0</v>
      </c>
      <c r="C380" s="19">
        <v>3400</v>
      </c>
      <c r="D380" s="25">
        <v>1</v>
      </c>
      <c r="E380" s="26" t="s">
        <v>351</v>
      </c>
      <c r="F380" s="26" t="s">
        <v>550</v>
      </c>
      <c r="G380" s="31">
        <v>45047</v>
      </c>
      <c r="H380" s="27"/>
      <c r="I380" s="34"/>
      <c r="J380" s="23">
        <f t="shared" si="19"/>
        <v>394336</v>
      </c>
    </row>
    <row r="381" spans="1:10" thickTop="1" thickBot="1">
      <c r="A381" s="15" t="s">
        <v>1109</v>
      </c>
      <c r="B381" s="15">
        <v>0</v>
      </c>
      <c r="C381" s="19">
        <v>2300</v>
      </c>
      <c r="D381" s="25">
        <v>1</v>
      </c>
      <c r="E381" s="26" t="s">
        <v>351</v>
      </c>
      <c r="F381" s="26" t="s">
        <v>550</v>
      </c>
      <c r="G381" s="31">
        <v>45047</v>
      </c>
      <c r="H381" s="27"/>
      <c r="I381" s="34"/>
      <c r="J381" s="23">
        <f t="shared" si="19"/>
        <v>396636</v>
      </c>
    </row>
    <row r="382" spans="1:10" thickTop="1" thickBot="1">
      <c r="A382" s="15" t="s">
        <v>1100</v>
      </c>
      <c r="B382" s="15">
        <v>0</v>
      </c>
      <c r="C382" s="19">
        <v>2000</v>
      </c>
      <c r="D382" s="25">
        <v>1</v>
      </c>
      <c r="E382" s="26" t="s">
        <v>351</v>
      </c>
      <c r="F382" s="26" t="s">
        <v>549</v>
      </c>
      <c r="G382" s="31">
        <v>45047</v>
      </c>
      <c r="H382" s="27"/>
      <c r="I382" s="34"/>
      <c r="J382" s="23">
        <f t="shared" si="19"/>
        <v>398636</v>
      </c>
    </row>
    <row r="383" spans="1:10" thickTop="1" thickBot="1">
      <c r="A383" s="15" t="s">
        <v>1084</v>
      </c>
      <c r="B383" s="15">
        <v>0</v>
      </c>
      <c r="C383" s="19">
        <v>0</v>
      </c>
      <c r="D383" s="25">
        <v>1</v>
      </c>
      <c r="E383" s="26" t="s">
        <v>348</v>
      </c>
      <c r="F383" s="26" t="s">
        <v>549</v>
      </c>
      <c r="G383" s="31">
        <v>45047</v>
      </c>
      <c r="H383" s="27"/>
      <c r="I383" s="34"/>
      <c r="J383" s="23">
        <f t="shared" si="19"/>
        <v>398636</v>
      </c>
    </row>
    <row r="384" spans="1:10" thickTop="1" thickBot="1">
      <c r="A384" s="15" t="s">
        <v>1117</v>
      </c>
      <c r="B384" s="15">
        <v>0</v>
      </c>
      <c r="C384" s="19">
        <v>1700</v>
      </c>
      <c r="D384" s="25">
        <v>1</v>
      </c>
      <c r="E384" s="26" t="s">
        <v>350</v>
      </c>
      <c r="F384" s="26" t="s">
        <v>548</v>
      </c>
      <c r="G384" s="31">
        <v>45078</v>
      </c>
      <c r="H384" s="27"/>
      <c r="I384" s="34"/>
      <c r="J384" s="23">
        <f t="shared" si="19"/>
        <v>400336</v>
      </c>
    </row>
    <row r="385" spans="1:10" thickTop="1" thickBot="1">
      <c r="A385" s="15" t="s">
        <v>1118</v>
      </c>
      <c r="B385" s="15">
        <v>0</v>
      </c>
      <c r="C385" s="19">
        <v>700</v>
      </c>
      <c r="D385" s="25">
        <v>1</v>
      </c>
      <c r="E385" s="26" t="s">
        <v>559</v>
      </c>
      <c r="F385" s="26" t="s">
        <v>552</v>
      </c>
      <c r="G385" s="31">
        <v>45078</v>
      </c>
      <c r="H385" s="27"/>
      <c r="I385" s="34"/>
      <c r="J385" s="23">
        <f t="shared" si="19"/>
        <v>401036</v>
      </c>
    </row>
    <row r="386" spans="1:10" thickTop="1" thickBot="1">
      <c r="A386" s="15" t="s">
        <v>1119</v>
      </c>
      <c r="B386" s="15">
        <v>0</v>
      </c>
      <c r="C386" s="19">
        <v>500</v>
      </c>
      <c r="D386" s="25">
        <v>1</v>
      </c>
      <c r="E386" s="26" t="s">
        <v>350</v>
      </c>
      <c r="F386" s="26" t="s">
        <v>549</v>
      </c>
      <c r="G386" s="31">
        <v>45078</v>
      </c>
      <c r="H386" s="27"/>
      <c r="I386" s="34"/>
      <c r="J386" s="23">
        <f t="shared" si="19"/>
        <v>401536</v>
      </c>
    </row>
    <row r="387" spans="1:10" thickTop="1" thickBot="1">
      <c r="A387" s="15" t="s">
        <v>1120</v>
      </c>
      <c r="B387" s="15">
        <v>0</v>
      </c>
      <c r="C387" s="19">
        <v>500</v>
      </c>
      <c r="D387" s="25">
        <v>1</v>
      </c>
      <c r="E387" s="26" t="s">
        <v>350</v>
      </c>
      <c r="F387" s="26" t="s">
        <v>549</v>
      </c>
      <c r="G387" s="31">
        <v>45078</v>
      </c>
      <c r="H387" s="27"/>
      <c r="I387" s="34"/>
      <c r="J387" s="23">
        <f t="shared" si="19"/>
        <v>402036</v>
      </c>
    </row>
    <row r="388" spans="1:10" thickTop="1" thickBot="1">
      <c r="A388" s="15" t="s">
        <v>1084</v>
      </c>
      <c r="B388" s="15">
        <v>0</v>
      </c>
      <c r="C388" s="19">
        <v>500</v>
      </c>
      <c r="D388" s="25">
        <v>1</v>
      </c>
      <c r="E388" s="26" t="s">
        <v>348</v>
      </c>
      <c r="F388" s="26" t="s">
        <v>549</v>
      </c>
      <c r="G388" s="31">
        <v>45078</v>
      </c>
      <c r="H388" s="27"/>
      <c r="I388" s="34"/>
      <c r="J388" s="23">
        <f t="shared" si="19"/>
        <v>402536</v>
      </c>
    </row>
    <row r="389" spans="1:10" thickTop="1" thickBot="1">
      <c r="A389" s="15" t="s">
        <v>1121</v>
      </c>
      <c r="B389" s="15">
        <v>0</v>
      </c>
      <c r="C389" s="19">
        <v>1500</v>
      </c>
      <c r="D389" s="25">
        <v>1</v>
      </c>
      <c r="E389" s="26" t="s">
        <v>351</v>
      </c>
      <c r="F389" s="26" t="s">
        <v>548</v>
      </c>
      <c r="G389" s="31">
        <v>45078</v>
      </c>
      <c r="H389" s="27"/>
      <c r="I389" s="34"/>
      <c r="J389" s="23">
        <f t="shared" si="19"/>
        <v>404036</v>
      </c>
    </row>
    <row r="390" spans="1:10" thickTop="1" thickBot="1">
      <c r="A390" s="15" t="s">
        <v>1122</v>
      </c>
      <c r="B390" s="15">
        <v>0</v>
      </c>
      <c r="C390" s="19">
        <v>1500</v>
      </c>
      <c r="D390" s="25">
        <v>1</v>
      </c>
      <c r="E390" s="26" t="s">
        <v>351</v>
      </c>
      <c r="F390" s="26" t="s">
        <v>549</v>
      </c>
      <c r="G390" s="31">
        <v>45078</v>
      </c>
      <c r="H390" s="27"/>
      <c r="I390" s="34"/>
      <c r="J390" s="23">
        <f t="shared" ref="J390:J451" si="20">SUM(C390,J389)</f>
        <v>405536</v>
      </c>
    </row>
    <row r="391" spans="1:10" thickTop="1" thickBot="1">
      <c r="A391" s="15" t="s">
        <v>1123</v>
      </c>
      <c r="B391" s="15">
        <v>0</v>
      </c>
      <c r="C391" s="19">
        <v>2000</v>
      </c>
      <c r="D391" s="25">
        <v>1</v>
      </c>
      <c r="E391" s="26" t="s">
        <v>350</v>
      </c>
      <c r="F391" s="26" t="s">
        <v>549</v>
      </c>
      <c r="G391" s="31">
        <v>45078</v>
      </c>
      <c r="H391" s="27"/>
      <c r="I391" s="34"/>
      <c r="J391" s="23">
        <f t="shared" si="19"/>
        <v>407536</v>
      </c>
    </row>
    <row r="392" spans="1:10" thickTop="1" thickBot="1">
      <c r="A392" s="15" t="s">
        <v>1124</v>
      </c>
      <c r="B392" s="15">
        <v>0</v>
      </c>
      <c r="C392" s="19">
        <v>0</v>
      </c>
      <c r="D392" s="25">
        <v>1</v>
      </c>
      <c r="E392" s="26" t="s">
        <v>350</v>
      </c>
      <c r="F392" s="26" t="s">
        <v>549</v>
      </c>
      <c r="G392" s="31">
        <v>45078</v>
      </c>
      <c r="H392" s="27"/>
      <c r="I392" s="34"/>
      <c r="J392" s="23">
        <f t="shared" si="20"/>
        <v>407536</v>
      </c>
    </row>
    <row r="393" spans="1:10" thickTop="1" thickBot="1">
      <c r="A393" s="15" t="s">
        <v>1126</v>
      </c>
      <c r="B393" s="15">
        <v>2500</v>
      </c>
      <c r="C393" s="19">
        <v>4000</v>
      </c>
      <c r="D393" s="25">
        <v>1</v>
      </c>
      <c r="E393" s="26" t="s">
        <v>351</v>
      </c>
      <c r="F393" s="26" t="s">
        <v>550</v>
      </c>
      <c r="G393" s="31">
        <v>45108</v>
      </c>
      <c r="H393" s="27"/>
      <c r="I393" s="34"/>
      <c r="J393" s="23">
        <f t="shared" si="20"/>
        <v>411536</v>
      </c>
    </row>
    <row r="394" spans="1:10" thickTop="1" thickBot="1">
      <c r="A394" s="15" t="s">
        <v>1137</v>
      </c>
      <c r="B394" s="15">
        <v>0</v>
      </c>
      <c r="C394" s="19">
        <v>3000</v>
      </c>
      <c r="D394" s="25">
        <v>1</v>
      </c>
      <c r="E394" s="26" t="s">
        <v>350</v>
      </c>
      <c r="F394" s="26" t="s">
        <v>549</v>
      </c>
      <c r="G394" s="31">
        <v>45139</v>
      </c>
      <c r="H394" s="27"/>
      <c r="I394" s="34"/>
      <c r="J394" s="23">
        <f t="shared" si="20"/>
        <v>414536</v>
      </c>
    </row>
    <row r="395" spans="1:10" thickTop="1" thickBot="1">
      <c r="A395" s="15" t="s">
        <v>1138</v>
      </c>
      <c r="B395" s="15">
        <v>0</v>
      </c>
      <c r="C395" s="19">
        <v>3000</v>
      </c>
      <c r="D395" s="25">
        <v>2</v>
      </c>
      <c r="E395" s="26" t="s">
        <v>351</v>
      </c>
      <c r="F395" s="26" t="s">
        <v>548</v>
      </c>
      <c r="G395" s="31">
        <v>45139</v>
      </c>
      <c r="H395" s="27"/>
      <c r="I395" s="34"/>
      <c r="J395" s="23">
        <f t="shared" si="20"/>
        <v>417536</v>
      </c>
    </row>
    <row r="396" spans="1:10" thickTop="1" thickBot="1">
      <c r="A396" s="15" t="s">
        <v>1142</v>
      </c>
      <c r="B396" s="15">
        <v>0</v>
      </c>
      <c r="C396" s="19">
        <v>2000</v>
      </c>
      <c r="D396" s="25">
        <v>1</v>
      </c>
      <c r="E396" s="26" t="s">
        <v>351</v>
      </c>
      <c r="F396" s="26" t="s">
        <v>549</v>
      </c>
      <c r="G396" s="31">
        <v>45170</v>
      </c>
      <c r="H396" s="27"/>
      <c r="I396" s="34"/>
      <c r="J396" s="23">
        <f t="shared" si="20"/>
        <v>419536</v>
      </c>
    </row>
    <row r="397" spans="1:10" thickTop="1" thickBot="1">
      <c r="A397" s="15" t="s">
        <v>1143</v>
      </c>
      <c r="B397" s="15">
        <v>0</v>
      </c>
      <c r="C397" s="19">
        <v>0</v>
      </c>
      <c r="D397" s="25">
        <v>1</v>
      </c>
      <c r="E397" s="26" t="s">
        <v>350</v>
      </c>
      <c r="F397" s="26" t="s">
        <v>549</v>
      </c>
      <c r="G397" s="31">
        <v>45200</v>
      </c>
      <c r="H397" s="27"/>
      <c r="I397" s="34"/>
      <c r="J397" s="23">
        <f t="shared" si="20"/>
        <v>419536</v>
      </c>
    </row>
    <row r="398" spans="1:10" thickTop="1" thickBot="1">
      <c r="A398" s="15" t="s">
        <v>1144</v>
      </c>
      <c r="B398" s="15">
        <v>0</v>
      </c>
      <c r="C398" s="19">
        <v>0</v>
      </c>
      <c r="D398" s="25">
        <v>1</v>
      </c>
      <c r="E398" s="26" t="s">
        <v>350</v>
      </c>
      <c r="F398" s="26" t="s">
        <v>549</v>
      </c>
      <c r="G398" s="31">
        <v>45200</v>
      </c>
      <c r="H398" s="27"/>
      <c r="I398" s="34"/>
      <c r="J398" s="23">
        <f t="shared" si="20"/>
        <v>419536</v>
      </c>
    </row>
    <row r="399" spans="1:10" thickTop="1" thickBot="1">
      <c r="A399" s="15" t="s">
        <v>1145</v>
      </c>
      <c r="B399" s="15">
        <v>0</v>
      </c>
      <c r="C399" s="19">
        <v>0</v>
      </c>
      <c r="D399" s="25">
        <v>1</v>
      </c>
      <c r="E399" s="26" t="s">
        <v>350</v>
      </c>
      <c r="F399" s="26" t="s">
        <v>549</v>
      </c>
      <c r="G399" s="31">
        <v>45200</v>
      </c>
      <c r="H399" s="27"/>
      <c r="I399" s="34"/>
      <c r="J399" s="23">
        <f t="shared" si="20"/>
        <v>419536</v>
      </c>
    </row>
    <row r="400" spans="1:10" thickTop="1" thickBot="1">
      <c r="A400" s="15" t="s">
        <v>1146</v>
      </c>
      <c r="B400" s="15">
        <v>0</v>
      </c>
      <c r="C400" s="19">
        <v>0</v>
      </c>
      <c r="D400" s="25">
        <v>1</v>
      </c>
      <c r="E400" s="26" t="s">
        <v>350</v>
      </c>
      <c r="F400" s="26" t="s">
        <v>549</v>
      </c>
      <c r="G400" s="31">
        <v>45200</v>
      </c>
      <c r="H400" s="27"/>
      <c r="I400" s="34"/>
      <c r="J400" s="23">
        <f t="shared" si="20"/>
        <v>419536</v>
      </c>
    </row>
    <row r="401" spans="1:10" thickTop="1" thickBot="1">
      <c r="A401" s="15" t="s">
        <v>1147</v>
      </c>
      <c r="B401" s="15">
        <v>0</v>
      </c>
      <c r="C401" s="19">
        <v>0</v>
      </c>
      <c r="D401" s="25">
        <v>1</v>
      </c>
      <c r="E401" s="26" t="s">
        <v>350</v>
      </c>
      <c r="F401" s="26" t="s">
        <v>549</v>
      </c>
      <c r="G401" s="31">
        <v>45200</v>
      </c>
      <c r="H401" s="27"/>
      <c r="I401" s="34"/>
      <c r="J401" s="23">
        <f t="shared" si="20"/>
        <v>419536</v>
      </c>
    </row>
    <row r="402" spans="1:10" thickTop="1" thickBot="1">
      <c r="A402" s="15" t="s">
        <v>1148</v>
      </c>
      <c r="B402" s="15">
        <v>0</v>
      </c>
      <c r="C402" s="19">
        <v>0</v>
      </c>
      <c r="D402" s="25">
        <v>1</v>
      </c>
      <c r="E402" s="26" t="s">
        <v>350</v>
      </c>
      <c r="F402" s="26" t="s">
        <v>549</v>
      </c>
      <c r="G402" s="31">
        <v>45200</v>
      </c>
      <c r="H402" s="27"/>
      <c r="I402" s="34"/>
      <c r="J402" s="23">
        <f t="shared" si="20"/>
        <v>419536</v>
      </c>
    </row>
    <row r="403" spans="1:10" thickTop="1" thickBot="1">
      <c r="A403" s="15" t="s">
        <v>1149</v>
      </c>
      <c r="B403" s="15">
        <v>0</v>
      </c>
      <c r="C403" s="19">
        <v>0</v>
      </c>
      <c r="D403" s="25">
        <v>1</v>
      </c>
      <c r="E403" s="26" t="s">
        <v>350</v>
      </c>
      <c r="F403" s="26" t="s">
        <v>549</v>
      </c>
      <c r="G403" s="31">
        <v>45200</v>
      </c>
      <c r="H403" s="27"/>
      <c r="I403" s="34"/>
      <c r="J403" s="23">
        <f t="shared" si="20"/>
        <v>419536</v>
      </c>
    </row>
    <row r="404" spans="1:10" thickTop="1" thickBot="1">
      <c r="A404" s="15" t="s">
        <v>1151</v>
      </c>
      <c r="B404" s="15">
        <v>0</v>
      </c>
      <c r="C404" s="19">
        <v>0</v>
      </c>
      <c r="D404" s="25">
        <v>1</v>
      </c>
      <c r="E404" s="26" t="s">
        <v>350</v>
      </c>
      <c r="F404" s="26" t="s">
        <v>549</v>
      </c>
      <c r="G404" s="31">
        <v>45200</v>
      </c>
      <c r="H404" s="27"/>
      <c r="I404" s="34"/>
      <c r="J404" s="23">
        <f t="shared" si="20"/>
        <v>419536</v>
      </c>
    </row>
    <row r="405" spans="1:10" thickTop="1" thickBot="1">
      <c r="A405" s="15" t="s">
        <v>1150</v>
      </c>
      <c r="B405" s="15">
        <v>0</v>
      </c>
      <c r="C405" s="19">
        <v>0</v>
      </c>
      <c r="D405" s="25">
        <v>1</v>
      </c>
      <c r="E405" s="26" t="s">
        <v>350</v>
      </c>
      <c r="F405" s="26" t="s">
        <v>549</v>
      </c>
      <c r="G405" s="31">
        <v>45200</v>
      </c>
      <c r="H405" s="27"/>
      <c r="I405" s="34"/>
      <c r="J405" s="23">
        <f t="shared" si="20"/>
        <v>419536</v>
      </c>
    </row>
    <row r="406" spans="1:10" thickTop="1" thickBot="1">
      <c r="A406" s="15" t="s">
        <v>1152</v>
      </c>
      <c r="B406" s="15">
        <v>0</v>
      </c>
      <c r="C406" s="19">
        <v>0</v>
      </c>
      <c r="D406" s="25">
        <v>1</v>
      </c>
      <c r="E406" s="26" t="s">
        <v>350</v>
      </c>
      <c r="F406" s="26" t="s">
        <v>549</v>
      </c>
      <c r="G406" s="31">
        <v>45200</v>
      </c>
      <c r="H406" s="27"/>
      <c r="I406" s="34"/>
      <c r="J406" s="23">
        <f t="shared" si="20"/>
        <v>419536</v>
      </c>
    </row>
    <row r="407" spans="1:10" thickTop="1" thickBot="1">
      <c r="A407" s="15" t="s">
        <v>1153</v>
      </c>
      <c r="B407" s="15">
        <v>0</v>
      </c>
      <c r="C407" s="19">
        <v>4500</v>
      </c>
      <c r="D407" s="25">
        <v>3</v>
      </c>
      <c r="E407" s="26" t="s">
        <v>351</v>
      </c>
      <c r="F407" s="26" t="s">
        <v>549</v>
      </c>
      <c r="G407" s="31">
        <v>45200</v>
      </c>
      <c r="H407" s="27"/>
      <c r="I407" s="34"/>
      <c r="J407" s="23">
        <f t="shared" si="20"/>
        <v>424036</v>
      </c>
    </row>
    <row r="408" spans="1:10" thickTop="1" thickBot="1">
      <c r="A408" s="15" t="s">
        <v>1154</v>
      </c>
      <c r="B408" s="15">
        <v>0</v>
      </c>
      <c r="C408" s="19">
        <v>0</v>
      </c>
      <c r="D408" s="25">
        <v>0</v>
      </c>
      <c r="E408" s="26" t="s">
        <v>351</v>
      </c>
      <c r="F408" s="26" t="s">
        <v>549</v>
      </c>
      <c r="G408" s="31">
        <v>45200</v>
      </c>
      <c r="H408" s="27"/>
      <c r="I408" s="34"/>
      <c r="J408" s="23">
        <f t="shared" si="20"/>
        <v>424036</v>
      </c>
    </row>
    <row r="409" spans="1:10" thickTop="1" thickBot="1">
      <c r="A409" s="15" t="s">
        <v>1170</v>
      </c>
      <c r="B409" s="15">
        <v>0</v>
      </c>
      <c r="C409" s="19">
        <v>0</v>
      </c>
      <c r="D409" s="25">
        <v>1</v>
      </c>
      <c r="E409" s="26" t="s">
        <v>351</v>
      </c>
      <c r="F409" s="26" t="s">
        <v>549</v>
      </c>
      <c r="G409" s="31">
        <v>45200</v>
      </c>
      <c r="H409" s="27"/>
      <c r="I409" s="34"/>
      <c r="J409" s="23">
        <f t="shared" si="20"/>
        <v>424036</v>
      </c>
    </row>
    <row r="410" spans="1:10" thickTop="1" thickBot="1">
      <c r="A410" s="15" t="s">
        <v>1171</v>
      </c>
      <c r="B410" s="15">
        <v>0</v>
      </c>
      <c r="C410" s="19">
        <v>0</v>
      </c>
      <c r="D410" s="25">
        <v>1</v>
      </c>
      <c r="E410" s="26" t="s">
        <v>350</v>
      </c>
      <c r="F410" s="26" t="s">
        <v>549</v>
      </c>
      <c r="G410" s="31">
        <v>45200</v>
      </c>
      <c r="H410" s="27"/>
      <c r="I410" s="34"/>
      <c r="J410" s="23">
        <f t="shared" si="20"/>
        <v>424036</v>
      </c>
    </row>
    <row r="411" spans="1:10" thickTop="1" thickBot="1">
      <c r="A411" s="15" t="s">
        <v>1172</v>
      </c>
      <c r="B411" s="15">
        <v>0</v>
      </c>
      <c r="C411" s="19">
        <v>0</v>
      </c>
      <c r="D411" s="25">
        <v>1</v>
      </c>
      <c r="E411" s="26" t="s">
        <v>350</v>
      </c>
      <c r="F411" s="26" t="s">
        <v>549</v>
      </c>
      <c r="G411" s="31">
        <v>45200</v>
      </c>
      <c r="H411" s="27"/>
      <c r="I411" s="34"/>
      <c r="J411" s="23">
        <f t="shared" si="20"/>
        <v>424036</v>
      </c>
    </row>
    <row r="412" spans="1:10" thickTop="1" thickBot="1">
      <c r="A412" s="15" t="s">
        <v>1174</v>
      </c>
      <c r="B412" s="15">
        <v>0</v>
      </c>
      <c r="C412" s="19">
        <v>0</v>
      </c>
      <c r="D412" s="25">
        <v>3</v>
      </c>
      <c r="E412" s="26" t="s">
        <v>350</v>
      </c>
      <c r="F412" s="26" t="s">
        <v>549</v>
      </c>
      <c r="G412" s="31">
        <v>45231</v>
      </c>
      <c r="H412" s="27"/>
      <c r="I412" s="34"/>
      <c r="J412" s="23">
        <f t="shared" si="20"/>
        <v>424036</v>
      </c>
    </row>
    <row r="413" spans="1:10" thickTop="1" thickBot="1">
      <c r="A413" s="15" t="s">
        <v>1175</v>
      </c>
      <c r="B413" s="15">
        <v>0</v>
      </c>
      <c r="C413" s="19">
        <v>0</v>
      </c>
      <c r="D413" s="25">
        <v>1</v>
      </c>
      <c r="E413" s="26" t="s">
        <v>351</v>
      </c>
      <c r="F413" s="26" t="s">
        <v>549</v>
      </c>
      <c r="G413" s="31">
        <v>45231</v>
      </c>
      <c r="H413" s="27"/>
      <c r="I413" s="34"/>
      <c r="J413" s="23">
        <f t="shared" si="20"/>
        <v>424036</v>
      </c>
    </row>
    <row r="414" spans="1:10" thickTop="1" thickBot="1">
      <c r="A414" s="15" t="s">
        <v>1178</v>
      </c>
      <c r="B414" s="15">
        <v>0</v>
      </c>
      <c r="C414" s="19">
        <v>0</v>
      </c>
      <c r="D414" s="25">
        <v>1</v>
      </c>
      <c r="E414" s="26" t="s">
        <v>350</v>
      </c>
      <c r="F414" s="26" t="s">
        <v>549</v>
      </c>
      <c r="G414" s="31">
        <v>45231</v>
      </c>
      <c r="H414" s="27"/>
      <c r="I414" s="34"/>
      <c r="J414" s="23">
        <f t="shared" si="20"/>
        <v>424036</v>
      </c>
    </row>
    <row r="415" spans="1:10" thickTop="1" thickBot="1">
      <c r="A415" s="15" t="s">
        <v>1179</v>
      </c>
      <c r="B415" s="15">
        <v>0</v>
      </c>
      <c r="C415" s="19">
        <v>0</v>
      </c>
      <c r="D415" s="25">
        <v>1</v>
      </c>
      <c r="E415" s="26" t="s">
        <v>350</v>
      </c>
      <c r="F415" s="26" t="s">
        <v>549</v>
      </c>
      <c r="G415" s="31">
        <v>45231</v>
      </c>
      <c r="H415" s="27"/>
      <c r="I415" s="34"/>
      <c r="J415" s="23">
        <f t="shared" si="20"/>
        <v>424036</v>
      </c>
    </row>
    <row r="416" spans="1:10" thickTop="1" thickBot="1">
      <c r="A416" s="15" t="s">
        <v>1180</v>
      </c>
      <c r="B416" s="15">
        <v>0</v>
      </c>
      <c r="C416" s="19">
        <v>0</v>
      </c>
      <c r="D416" s="25">
        <v>1</v>
      </c>
      <c r="E416" s="26" t="s">
        <v>350</v>
      </c>
      <c r="F416" s="26" t="s">
        <v>549</v>
      </c>
      <c r="G416" s="31">
        <v>45231</v>
      </c>
      <c r="H416" s="27"/>
      <c r="I416" s="34"/>
      <c r="J416" s="23">
        <f t="shared" si="20"/>
        <v>424036</v>
      </c>
    </row>
    <row r="417" spans="1:10" thickTop="1" thickBot="1">
      <c r="A417" s="15" t="s">
        <v>1181</v>
      </c>
      <c r="B417" s="15">
        <v>0</v>
      </c>
      <c r="C417" s="19">
        <v>0</v>
      </c>
      <c r="D417" s="25">
        <v>1</v>
      </c>
      <c r="E417" s="26" t="s">
        <v>350</v>
      </c>
      <c r="F417" s="26" t="s">
        <v>549</v>
      </c>
      <c r="G417" s="31">
        <v>45231</v>
      </c>
      <c r="H417" s="27"/>
      <c r="I417" s="34"/>
      <c r="J417" s="23">
        <f t="shared" si="20"/>
        <v>424036</v>
      </c>
    </row>
    <row r="418" spans="1:10" thickTop="1" thickBot="1">
      <c r="A418" s="15" t="s">
        <v>1188</v>
      </c>
      <c r="B418" s="15">
        <v>0</v>
      </c>
      <c r="C418" s="19">
        <v>2000</v>
      </c>
      <c r="D418" s="25">
        <v>1</v>
      </c>
      <c r="E418" s="26" t="s">
        <v>350</v>
      </c>
      <c r="F418" s="26" t="s">
        <v>549</v>
      </c>
      <c r="G418" s="31">
        <v>45292</v>
      </c>
      <c r="H418" s="27"/>
      <c r="I418" s="34"/>
      <c r="J418" s="23">
        <f t="shared" si="20"/>
        <v>426036</v>
      </c>
    </row>
    <row r="419" spans="1:10" thickTop="1" thickBot="1">
      <c r="A419" s="15" t="s">
        <v>1189</v>
      </c>
      <c r="B419" s="15">
        <v>0</v>
      </c>
      <c r="C419" s="19">
        <v>0</v>
      </c>
      <c r="D419" s="25">
        <v>3</v>
      </c>
      <c r="E419" s="26" t="s">
        <v>351</v>
      </c>
      <c r="F419" s="26" t="s">
        <v>549</v>
      </c>
      <c r="G419" s="31">
        <v>45292</v>
      </c>
      <c r="H419" s="27"/>
      <c r="I419" s="34"/>
      <c r="J419" s="23">
        <f t="shared" si="20"/>
        <v>426036</v>
      </c>
    </row>
    <row r="420" spans="1:10" thickTop="1" thickBot="1">
      <c r="A420" s="15" t="s">
        <v>1190</v>
      </c>
      <c r="B420" s="15">
        <v>0</v>
      </c>
      <c r="C420" s="19">
        <v>0</v>
      </c>
      <c r="D420" s="25">
        <v>1</v>
      </c>
      <c r="E420" s="26" t="s">
        <v>350</v>
      </c>
      <c r="F420" s="26" t="s">
        <v>549</v>
      </c>
      <c r="G420" s="31">
        <v>45292</v>
      </c>
      <c r="H420" s="27"/>
      <c r="I420" s="34"/>
      <c r="J420" s="23">
        <f t="shared" si="20"/>
        <v>426036</v>
      </c>
    </row>
    <row r="421" spans="1:10" thickTop="1" thickBot="1">
      <c r="A421" s="15" t="s">
        <v>1191</v>
      </c>
      <c r="B421" s="15">
        <v>0</v>
      </c>
      <c r="C421" s="19">
        <v>0</v>
      </c>
      <c r="D421" s="25">
        <v>1</v>
      </c>
      <c r="E421" s="26" t="s">
        <v>350</v>
      </c>
      <c r="F421" s="26" t="s">
        <v>549</v>
      </c>
      <c r="G421" s="31">
        <v>45292</v>
      </c>
      <c r="H421" s="27"/>
      <c r="I421" s="34"/>
      <c r="J421" s="23">
        <f t="shared" si="20"/>
        <v>426036</v>
      </c>
    </row>
    <row r="422" spans="1:10" thickTop="1" thickBot="1">
      <c r="A422" s="15" t="s">
        <v>1192</v>
      </c>
      <c r="B422" s="15">
        <v>0</v>
      </c>
      <c r="C422" s="19">
        <v>0</v>
      </c>
      <c r="D422" s="25">
        <v>1</v>
      </c>
      <c r="E422" s="26" t="s">
        <v>350</v>
      </c>
      <c r="F422" s="26" t="s">
        <v>549</v>
      </c>
      <c r="G422" s="31">
        <v>45292</v>
      </c>
      <c r="H422" s="27"/>
      <c r="I422" s="34"/>
      <c r="J422" s="23">
        <f t="shared" si="20"/>
        <v>426036</v>
      </c>
    </row>
    <row r="423" spans="1:10" thickTop="1" thickBot="1">
      <c r="A423" s="15" t="s">
        <v>1193</v>
      </c>
      <c r="B423" s="15">
        <v>0</v>
      </c>
      <c r="C423" s="19">
        <v>0</v>
      </c>
      <c r="D423" s="25">
        <v>1</v>
      </c>
      <c r="E423" s="26" t="s">
        <v>350</v>
      </c>
      <c r="F423" s="26" t="s">
        <v>549</v>
      </c>
      <c r="G423" s="31">
        <v>45292</v>
      </c>
      <c r="H423" s="27"/>
      <c r="I423" s="34"/>
      <c r="J423" s="23">
        <f t="shared" si="20"/>
        <v>426036</v>
      </c>
    </row>
    <row r="424" spans="1:10" thickTop="1" thickBot="1">
      <c r="A424" s="15" t="s">
        <v>1198</v>
      </c>
      <c r="B424" s="15">
        <v>0</v>
      </c>
      <c r="C424" s="19">
        <v>0</v>
      </c>
      <c r="D424" s="25">
        <v>1</v>
      </c>
      <c r="E424" s="26" t="s">
        <v>326</v>
      </c>
      <c r="F424" s="26" t="s">
        <v>549</v>
      </c>
      <c r="G424" s="31">
        <v>45292</v>
      </c>
      <c r="H424" s="27"/>
      <c r="I424" s="34"/>
      <c r="J424" s="23">
        <f t="shared" si="20"/>
        <v>426036</v>
      </c>
    </row>
    <row r="425" spans="1:10" thickTop="1" thickBot="1">
      <c r="A425" s="15" t="s">
        <v>1177</v>
      </c>
      <c r="B425" s="15">
        <v>0</v>
      </c>
      <c r="C425" s="19">
        <v>300</v>
      </c>
      <c r="D425" s="25">
        <v>1</v>
      </c>
      <c r="E425" s="26" t="s">
        <v>350</v>
      </c>
      <c r="F425" s="26" t="s">
        <v>550</v>
      </c>
      <c r="G425" s="31">
        <v>45292</v>
      </c>
      <c r="H425" s="27"/>
      <c r="I425" s="34"/>
      <c r="J425" s="23">
        <f t="shared" si="20"/>
        <v>426336</v>
      </c>
    </row>
    <row r="426" spans="1:10" thickTop="1" thickBot="1">
      <c r="A426" s="15" t="s">
        <v>1199</v>
      </c>
      <c r="B426" s="15">
        <v>0</v>
      </c>
      <c r="C426" s="19">
        <v>0</v>
      </c>
      <c r="D426" s="25">
        <v>1</v>
      </c>
      <c r="E426" s="26" t="s">
        <v>350</v>
      </c>
      <c r="F426" s="26" t="s">
        <v>549</v>
      </c>
      <c r="G426" s="31">
        <v>45323</v>
      </c>
      <c r="H426" s="27"/>
      <c r="I426" s="34"/>
      <c r="J426" s="23">
        <f t="shared" si="20"/>
        <v>426336</v>
      </c>
    </row>
    <row r="427" spans="1:10" thickTop="1" thickBot="1">
      <c r="A427" s="15" t="s">
        <v>1200</v>
      </c>
      <c r="B427" s="15">
        <v>0</v>
      </c>
      <c r="C427" s="19">
        <v>1500</v>
      </c>
      <c r="D427" s="25">
        <v>2</v>
      </c>
      <c r="E427" s="26" t="s">
        <v>350</v>
      </c>
      <c r="F427" s="26" t="s">
        <v>548</v>
      </c>
      <c r="G427" s="31">
        <v>45323</v>
      </c>
      <c r="H427" s="27"/>
      <c r="I427" s="34"/>
      <c r="J427" s="23">
        <f t="shared" si="20"/>
        <v>427836</v>
      </c>
    </row>
    <row r="428" spans="1:10" thickTop="1" thickBot="1">
      <c r="A428" s="15" t="s">
        <v>1202</v>
      </c>
      <c r="B428" s="15">
        <v>0</v>
      </c>
      <c r="C428" s="19">
        <v>2000</v>
      </c>
      <c r="D428" s="25">
        <v>1</v>
      </c>
      <c r="E428" s="26" t="s">
        <v>350</v>
      </c>
      <c r="F428" s="26" t="s">
        <v>550</v>
      </c>
      <c r="G428" s="31">
        <v>45323</v>
      </c>
      <c r="H428" s="27"/>
      <c r="I428" s="34"/>
      <c r="J428" s="23">
        <f t="shared" si="20"/>
        <v>429836</v>
      </c>
    </row>
    <row r="429" spans="1:10" thickTop="1" thickBot="1">
      <c r="A429" s="15" t="s">
        <v>1203</v>
      </c>
      <c r="B429" s="15">
        <v>0</v>
      </c>
      <c r="C429" s="19">
        <v>800</v>
      </c>
      <c r="D429" s="25">
        <v>1</v>
      </c>
      <c r="E429" s="26" t="s">
        <v>350</v>
      </c>
      <c r="F429" s="26" t="s">
        <v>550</v>
      </c>
      <c r="G429" s="31">
        <v>45323</v>
      </c>
      <c r="H429" s="27"/>
      <c r="I429" s="34"/>
      <c r="J429" s="23">
        <f t="shared" si="20"/>
        <v>430636</v>
      </c>
    </row>
    <row r="430" spans="1:10" thickTop="1" thickBot="1">
      <c r="A430" s="15" t="s">
        <v>1132</v>
      </c>
      <c r="B430" s="15">
        <v>0</v>
      </c>
      <c r="C430" s="19">
        <v>0</v>
      </c>
      <c r="D430" s="25">
        <v>1</v>
      </c>
      <c r="E430" s="26" t="s">
        <v>351</v>
      </c>
      <c r="F430" s="26" t="s">
        <v>549</v>
      </c>
      <c r="G430" s="31">
        <v>45323</v>
      </c>
      <c r="H430" s="27"/>
      <c r="I430" s="34"/>
      <c r="J430" s="23">
        <f t="shared" si="20"/>
        <v>430636</v>
      </c>
    </row>
    <row r="431" spans="1:10" thickTop="1" thickBot="1">
      <c r="A431" s="15" t="s">
        <v>1107</v>
      </c>
      <c r="B431" s="15">
        <v>0</v>
      </c>
      <c r="C431" s="19">
        <v>0</v>
      </c>
      <c r="D431" s="25">
        <v>1</v>
      </c>
      <c r="E431" s="26" t="s">
        <v>351</v>
      </c>
      <c r="F431" s="26" t="s">
        <v>549</v>
      </c>
      <c r="G431" s="31">
        <v>45323</v>
      </c>
      <c r="H431" s="27"/>
      <c r="I431" s="34"/>
      <c r="J431" s="23">
        <f t="shared" si="20"/>
        <v>430636</v>
      </c>
    </row>
    <row r="432" spans="1:10" thickTop="1" thickBot="1">
      <c r="A432" s="15" t="s">
        <v>1204</v>
      </c>
      <c r="B432" s="15">
        <v>0</v>
      </c>
      <c r="C432" s="19">
        <v>0</v>
      </c>
      <c r="D432" s="25">
        <v>1</v>
      </c>
      <c r="E432" s="26" t="s">
        <v>351</v>
      </c>
      <c r="F432" s="26" t="s">
        <v>549</v>
      </c>
      <c r="G432" s="31">
        <v>45323</v>
      </c>
      <c r="H432" s="27"/>
      <c r="I432" s="34"/>
      <c r="J432" s="23">
        <f t="shared" si="20"/>
        <v>430636</v>
      </c>
    </row>
    <row r="433" spans="1:10" thickTop="1" thickBot="1">
      <c r="A433" s="15" t="s">
        <v>1085</v>
      </c>
      <c r="B433" s="15">
        <v>0</v>
      </c>
      <c r="C433" s="19">
        <v>0</v>
      </c>
      <c r="D433" s="25">
        <v>1</v>
      </c>
      <c r="E433" s="26" t="s">
        <v>351</v>
      </c>
      <c r="F433" s="26" t="s">
        <v>550</v>
      </c>
      <c r="G433" s="31">
        <v>45352</v>
      </c>
      <c r="H433" s="27"/>
      <c r="I433" s="34"/>
      <c r="J433" s="23">
        <f t="shared" si="20"/>
        <v>430636</v>
      </c>
    </row>
    <row r="434" spans="1:10" thickTop="1" thickBot="1">
      <c r="A434" s="15" t="s">
        <v>1205</v>
      </c>
      <c r="B434" s="15">
        <v>0</v>
      </c>
      <c r="C434" s="19">
        <v>2800</v>
      </c>
      <c r="D434" s="25">
        <v>4</v>
      </c>
      <c r="E434" s="26" t="s">
        <v>351</v>
      </c>
      <c r="F434" s="26" t="s">
        <v>550</v>
      </c>
      <c r="G434" s="31">
        <v>45352</v>
      </c>
      <c r="H434" s="27"/>
      <c r="I434" s="34"/>
      <c r="J434" s="23">
        <f t="shared" si="20"/>
        <v>433436</v>
      </c>
    </row>
    <row r="435" spans="1:10" thickTop="1" thickBot="1">
      <c r="A435" s="15" t="s">
        <v>1206</v>
      </c>
      <c r="B435" s="15">
        <v>0</v>
      </c>
      <c r="C435" s="19">
        <v>0</v>
      </c>
      <c r="D435" s="25">
        <v>1</v>
      </c>
      <c r="E435" s="26" t="s">
        <v>350</v>
      </c>
      <c r="F435" s="26" t="s">
        <v>549</v>
      </c>
      <c r="G435" s="31">
        <v>45352</v>
      </c>
      <c r="H435" s="27"/>
      <c r="I435" s="34"/>
      <c r="J435" s="23">
        <f t="shared" si="20"/>
        <v>433436</v>
      </c>
    </row>
    <row r="436" spans="1:10" thickTop="1" thickBot="1">
      <c r="A436" s="15" t="s">
        <v>1207</v>
      </c>
      <c r="B436" s="15">
        <v>0</v>
      </c>
      <c r="C436" s="19">
        <v>0</v>
      </c>
      <c r="D436" s="25">
        <v>1</v>
      </c>
      <c r="E436" s="26" t="s">
        <v>350</v>
      </c>
      <c r="F436" s="26" t="s">
        <v>549</v>
      </c>
      <c r="G436" s="31">
        <v>45352</v>
      </c>
      <c r="H436" s="27"/>
      <c r="I436" s="34"/>
      <c r="J436" s="23">
        <f t="shared" si="20"/>
        <v>433436</v>
      </c>
    </row>
    <row r="437" spans="1:10" thickTop="1" thickBot="1">
      <c r="A437" s="15" t="s">
        <v>1208</v>
      </c>
      <c r="B437" s="15">
        <v>0</v>
      </c>
      <c r="C437" s="19">
        <v>2800</v>
      </c>
      <c r="D437" s="25">
        <v>1</v>
      </c>
      <c r="E437" s="26" t="s">
        <v>350</v>
      </c>
      <c r="F437" s="26" t="s">
        <v>549</v>
      </c>
      <c r="G437" s="31">
        <v>45352</v>
      </c>
      <c r="H437" s="27"/>
      <c r="I437" s="34"/>
      <c r="J437" s="23">
        <f t="shared" si="20"/>
        <v>436236</v>
      </c>
    </row>
    <row r="438" spans="1:10" thickTop="1" thickBot="1">
      <c r="A438" s="15" t="s">
        <v>1209</v>
      </c>
      <c r="B438" s="15">
        <v>0</v>
      </c>
      <c r="C438" s="19">
        <v>200</v>
      </c>
      <c r="D438" s="25">
        <v>2</v>
      </c>
      <c r="E438" s="26" t="s">
        <v>351</v>
      </c>
      <c r="F438" s="26" t="s">
        <v>549</v>
      </c>
      <c r="G438" s="31">
        <v>45352</v>
      </c>
      <c r="H438" s="27"/>
      <c r="I438" s="34"/>
      <c r="J438" s="23">
        <f t="shared" si="20"/>
        <v>436436</v>
      </c>
    </row>
    <row r="439" spans="1:10" thickTop="1" thickBot="1">
      <c r="A439" s="15" t="s">
        <v>1210</v>
      </c>
      <c r="B439" s="15">
        <v>1500</v>
      </c>
      <c r="C439" s="19">
        <v>0</v>
      </c>
      <c r="D439" s="25">
        <v>1</v>
      </c>
      <c r="E439" s="26" t="s">
        <v>350</v>
      </c>
      <c r="F439" s="26" t="s">
        <v>549</v>
      </c>
      <c r="G439" s="31">
        <v>45352</v>
      </c>
      <c r="H439" s="27"/>
      <c r="I439" s="34"/>
      <c r="J439" s="23">
        <f t="shared" si="20"/>
        <v>436436</v>
      </c>
    </row>
    <row r="440" spans="1:10" thickTop="1" thickBot="1">
      <c r="A440" s="15" t="s">
        <v>1211</v>
      </c>
      <c r="B440" s="15">
        <v>0</v>
      </c>
      <c r="C440" s="19">
        <v>2000</v>
      </c>
      <c r="D440" s="25">
        <v>1</v>
      </c>
      <c r="E440" s="26" t="s">
        <v>350</v>
      </c>
      <c r="F440" s="26" t="s">
        <v>548</v>
      </c>
      <c r="G440" s="31">
        <v>45352</v>
      </c>
      <c r="H440" s="27"/>
      <c r="I440" s="34"/>
      <c r="J440" s="23">
        <f t="shared" si="20"/>
        <v>438436</v>
      </c>
    </row>
    <row r="441" spans="1:10" thickTop="1" thickBot="1">
      <c r="A441" s="15" t="s">
        <v>1213</v>
      </c>
      <c r="B441" s="15">
        <v>0</v>
      </c>
      <c r="C441" s="19">
        <v>0</v>
      </c>
      <c r="D441" s="25">
        <v>1</v>
      </c>
      <c r="E441" s="26" t="s">
        <v>350</v>
      </c>
      <c r="F441" s="26" t="s">
        <v>549</v>
      </c>
      <c r="G441" s="31">
        <v>45352</v>
      </c>
      <c r="H441" s="27"/>
      <c r="I441" s="34"/>
      <c r="J441" s="23">
        <f t="shared" si="20"/>
        <v>438436</v>
      </c>
    </row>
    <row r="442" spans="1:10" thickTop="1" thickBot="1">
      <c r="A442" s="15" t="s">
        <v>1176</v>
      </c>
      <c r="B442" s="15">
        <v>0</v>
      </c>
      <c r="C442" s="19">
        <v>3700</v>
      </c>
      <c r="D442" s="25">
        <v>1</v>
      </c>
      <c r="E442" s="26" t="s">
        <v>350</v>
      </c>
      <c r="F442" s="26" t="s">
        <v>549</v>
      </c>
      <c r="G442" s="31">
        <v>45383</v>
      </c>
      <c r="H442" s="27"/>
      <c r="I442" s="34"/>
      <c r="J442" s="23">
        <f t="shared" si="20"/>
        <v>442136</v>
      </c>
    </row>
    <row r="443" spans="1:10" thickTop="1" thickBot="1">
      <c r="A443" s="15" t="s">
        <v>1222</v>
      </c>
      <c r="B443" s="15">
        <v>0</v>
      </c>
      <c r="C443" s="19">
        <v>0</v>
      </c>
      <c r="D443" s="25">
        <v>1</v>
      </c>
      <c r="E443" s="26" t="s">
        <v>350</v>
      </c>
      <c r="F443" s="26" t="s">
        <v>549</v>
      </c>
      <c r="G443" s="31">
        <v>45383</v>
      </c>
      <c r="H443" s="27"/>
      <c r="I443" s="34"/>
      <c r="J443" s="23">
        <f t="shared" si="20"/>
        <v>442136</v>
      </c>
    </row>
    <row r="444" spans="1:10" thickTop="1" thickBot="1">
      <c r="A444" s="15" t="s">
        <v>1223</v>
      </c>
      <c r="B444" s="15">
        <v>0</v>
      </c>
      <c r="C444" s="19">
        <v>0</v>
      </c>
      <c r="D444" s="25">
        <v>1</v>
      </c>
      <c r="E444" s="26" t="s">
        <v>350</v>
      </c>
      <c r="F444" s="26" t="s">
        <v>549</v>
      </c>
      <c r="G444" s="31">
        <v>45383</v>
      </c>
      <c r="H444" s="27"/>
      <c r="I444" s="34"/>
      <c r="J444" s="23">
        <f t="shared" si="20"/>
        <v>442136</v>
      </c>
    </row>
    <row r="445" spans="1:10" thickTop="1" thickBot="1">
      <c r="A445" s="15" t="s">
        <v>1228</v>
      </c>
      <c r="B445" s="15">
        <v>0</v>
      </c>
      <c r="C445" s="19">
        <v>0</v>
      </c>
      <c r="D445" s="25">
        <v>1</v>
      </c>
      <c r="E445" s="26" t="s">
        <v>350</v>
      </c>
      <c r="F445" s="26" t="s">
        <v>549</v>
      </c>
      <c r="G445" s="31">
        <v>45383</v>
      </c>
      <c r="H445" s="27"/>
      <c r="I445" s="34"/>
      <c r="J445" s="23">
        <f t="shared" si="20"/>
        <v>442136</v>
      </c>
    </row>
    <row r="446" spans="1:10" thickTop="1" thickBot="1">
      <c r="A446" s="15" t="s">
        <v>1229</v>
      </c>
      <c r="B446" s="15">
        <v>0</v>
      </c>
      <c r="C446" s="19">
        <v>0</v>
      </c>
      <c r="D446" s="25">
        <v>1</v>
      </c>
      <c r="E446" s="26" t="s">
        <v>350</v>
      </c>
      <c r="F446" s="26" t="s">
        <v>549</v>
      </c>
      <c r="G446" s="31">
        <v>45383</v>
      </c>
      <c r="H446" s="27"/>
      <c r="I446" s="34"/>
      <c r="J446" s="23">
        <f t="shared" si="20"/>
        <v>442136</v>
      </c>
    </row>
    <row r="447" spans="1:10" thickTop="1" thickBot="1">
      <c r="A447" s="15" t="s">
        <v>1230</v>
      </c>
      <c r="B447" s="15">
        <v>0</v>
      </c>
      <c r="C447" s="19">
        <v>0</v>
      </c>
      <c r="D447" s="25">
        <v>1</v>
      </c>
      <c r="E447" s="26" t="s">
        <v>350</v>
      </c>
      <c r="F447" s="26" t="s">
        <v>549</v>
      </c>
      <c r="G447" s="31">
        <v>45383</v>
      </c>
      <c r="H447" s="27"/>
      <c r="I447" s="34"/>
      <c r="J447" s="23">
        <f t="shared" si="20"/>
        <v>442136</v>
      </c>
    </row>
    <row r="448" spans="1:10" thickTop="1" thickBot="1">
      <c r="A448" s="15" t="s">
        <v>1231</v>
      </c>
      <c r="B448" s="15">
        <v>0</v>
      </c>
      <c r="C448" s="19">
        <v>0</v>
      </c>
      <c r="D448" s="25">
        <v>1</v>
      </c>
      <c r="E448" s="26" t="s">
        <v>350</v>
      </c>
      <c r="F448" s="26" t="s">
        <v>549</v>
      </c>
      <c r="G448" s="31">
        <v>45383</v>
      </c>
      <c r="H448" s="27"/>
      <c r="I448" s="34"/>
      <c r="J448" s="23">
        <f t="shared" si="20"/>
        <v>442136</v>
      </c>
    </row>
    <row r="449" spans="1:10" thickTop="1" thickBot="1">
      <c r="A449" s="15" t="s">
        <v>1234</v>
      </c>
      <c r="B449" s="15">
        <v>0</v>
      </c>
      <c r="C449" s="19">
        <v>11000</v>
      </c>
      <c r="D449" s="25">
        <v>2</v>
      </c>
      <c r="E449" s="26" t="s">
        <v>350</v>
      </c>
      <c r="F449" s="26" t="s">
        <v>550</v>
      </c>
      <c r="G449" s="31">
        <v>45413</v>
      </c>
      <c r="H449" s="27"/>
      <c r="I449" s="34"/>
      <c r="J449" s="23">
        <f t="shared" si="20"/>
        <v>453136</v>
      </c>
    </row>
    <row r="450" spans="1:10" thickTop="1" thickBot="1">
      <c r="A450" s="15" t="s">
        <v>1101</v>
      </c>
      <c r="B450" s="15">
        <v>0</v>
      </c>
      <c r="C450" s="19">
        <v>2400</v>
      </c>
      <c r="D450" s="25">
        <v>1</v>
      </c>
      <c r="E450" s="26" t="s">
        <v>351</v>
      </c>
      <c r="F450" s="26" t="s">
        <v>549</v>
      </c>
      <c r="G450" s="31">
        <v>45413</v>
      </c>
      <c r="H450" s="27"/>
      <c r="I450" s="34"/>
      <c r="J450" s="23">
        <f t="shared" si="20"/>
        <v>455536</v>
      </c>
    </row>
    <row r="451" spans="1:10" thickTop="1" thickBot="1">
      <c r="A451" s="15" t="s">
        <v>1240</v>
      </c>
      <c r="B451" s="15">
        <v>0</v>
      </c>
      <c r="C451" s="19">
        <v>0</v>
      </c>
      <c r="D451" s="25">
        <v>1</v>
      </c>
      <c r="E451" s="26" t="s">
        <v>351</v>
      </c>
      <c r="F451" s="26" t="s">
        <v>549</v>
      </c>
      <c r="G451" s="31">
        <v>45413</v>
      </c>
      <c r="H451" s="27"/>
      <c r="I451" s="34"/>
      <c r="J451" s="23">
        <f t="shared" si="20"/>
        <v>455536</v>
      </c>
    </row>
    <row r="452" spans="1:10" thickTop="1" thickBot="1">
      <c r="A452" s="15" t="s">
        <v>1243</v>
      </c>
      <c r="B452" s="15">
        <v>0</v>
      </c>
      <c r="C452" s="19">
        <v>0</v>
      </c>
      <c r="D452" s="25">
        <v>1</v>
      </c>
      <c r="E452" s="26" t="s">
        <v>350</v>
      </c>
      <c r="F452" s="26" t="s">
        <v>549</v>
      </c>
      <c r="G452" s="31">
        <v>45444</v>
      </c>
      <c r="H452" s="27"/>
      <c r="I452" s="34"/>
      <c r="J452" s="23">
        <f>SUM(C452,J461)</f>
        <v>455536</v>
      </c>
    </row>
    <row r="453" spans="1:10" thickTop="1" thickBot="1">
      <c r="A453" s="15" t="s">
        <v>1244</v>
      </c>
      <c r="B453" s="15">
        <v>0</v>
      </c>
      <c r="C453" s="19">
        <v>0</v>
      </c>
      <c r="D453" s="25">
        <v>1</v>
      </c>
      <c r="E453" s="26" t="s">
        <v>350</v>
      </c>
      <c r="F453" s="26" t="s">
        <v>549</v>
      </c>
      <c r="G453" s="31">
        <v>45444</v>
      </c>
      <c r="H453" s="27"/>
      <c r="I453" s="34"/>
      <c r="J453" s="23">
        <f t="shared" ref="J453:J466" si="21">SUM(C453,J452)</f>
        <v>455536</v>
      </c>
    </row>
    <row r="454" spans="1:10" thickTop="1" thickBot="1">
      <c r="A454" s="15" t="s">
        <v>1245</v>
      </c>
      <c r="B454" s="15">
        <v>0</v>
      </c>
      <c r="C454" s="19">
        <v>0</v>
      </c>
      <c r="D454" s="25">
        <v>1</v>
      </c>
      <c r="E454" s="26" t="s">
        <v>350</v>
      </c>
      <c r="F454" s="26" t="s">
        <v>549</v>
      </c>
      <c r="G454" s="31">
        <v>45444</v>
      </c>
      <c r="H454" s="27"/>
      <c r="I454" s="34"/>
      <c r="J454" s="23">
        <f t="shared" si="21"/>
        <v>455536</v>
      </c>
    </row>
    <row r="455" spans="1:10" thickTop="1" thickBot="1">
      <c r="A455" s="15" t="s">
        <v>1249</v>
      </c>
      <c r="B455" s="15">
        <v>0</v>
      </c>
      <c r="C455" s="19">
        <v>2000</v>
      </c>
      <c r="D455" s="25">
        <v>2</v>
      </c>
      <c r="E455" s="26" t="s">
        <v>350</v>
      </c>
      <c r="F455" s="26" t="s">
        <v>549</v>
      </c>
      <c r="G455" s="31">
        <v>45444</v>
      </c>
      <c r="H455" s="27"/>
      <c r="I455" s="34"/>
      <c r="J455" s="23">
        <f t="shared" si="21"/>
        <v>457536</v>
      </c>
    </row>
    <row r="456" spans="1:10" thickTop="1" thickBot="1">
      <c r="A456" s="15" t="s">
        <v>1250</v>
      </c>
      <c r="B456" s="15">
        <v>0</v>
      </c>
      <c r="C456" s="19">
        <v>0</v>
      </c>
      <c r="D456" s="25">
        <v>2</v>
      </c>
      <c r="E456" s="26" t="s">
        <v>350</v>
      </c>
      <c r="F456" s="26" t="s">
        <v>549</v>
      </c>
      <c r="G456" s="31">
        <v>45444</v>
      </c>
      <c r="H456" s="27"/>
      <c r="I456" s="34"/>
      <c r="J456" s="23">
        <f t="shared" si="21"/>
        <v>457536</v>
      </c>
    </row>
    <row r="457" spans="1:10" thickTop="1" thickBot="1">
      <c r="A457" s="15" t="s">
        <v>903</v>
      </c>
      <c r="B457" s="15">
        <v>0</v>
      </c>
      <c r="C457" s="19">
        <v>0</v>
      </c>
      <c r="D457" s="25">
        <v>1</v>
      </c>
      <c r="E457" s="26" t="s">
        <v>350</v>
      </c>
      <c r="F457" s="26" t="s">
        <v>549</v>
      </c>
      <c r="G457" s="31">
        <v>45474</v>
      </c>
      <c r="H457" s="27"/>
      <c r="I457" s="34"/>
      <c r="J457" s="23">
        <f t="shared" si="21"/>
        <v>457536</v>
      </c>
    </row>
    <row r="458" spans="1:10" thickTop="1" thickBot="1">
      <c r="A458" s="15" t="s">
        <v>1254</v>
      </c>
      <c r="B458" s="15">
        <v>0</v>
      </c>
      <c r="C458" s="19">
        <v>0</v>
      </c>
      <c r="D458" s="25">
        <v>1</v>
      </c>
      <c r="E458" s="26" t="s">
        <v>350</v>
      </c>
      <c r="F458" s="26" t="s">
        <v>549</v>
      </c>
      <c r="G458" s="31">
        <v>45474</v>
      </c>
      <c r="H458" s="27"/>
      <c r="I458" s="34"/>
      <c r="J458" s="23">
        <f t="shared" si="21"/>
        <v>457536</v>
      </c>
    </row>
    <row r="459" spans="1:10" thickTop="1" thickBot="1">
      <c r="A459" s="15" t="s">
        <v>1255</v>
      </c>
      <c r="B459" s="15">
        <v>0</v>
      </c>
      <c r="C459" s="19">
        <v>0</v>
      </c>
      <c r="D459" s="25">
        <v>1</v>
      </c>
      <c r="E459" s="26" t="s">
        <v>351</v>
      </c>
      <c r="F459" s="26" t="s">
        <v>549</v>
      </c>
      <c r="G459" s="31">
        <v>45474</v>
      </c>
      <c r="H459" s="27"/>
      <c r="I459" s="34"/>
      <c r="J459" s="23">
        <f t="shared" si="21"/>
        <v>457536</v>
      </c>
    </row>
    <row r="460" spans="1:10" thickTop="1" thickBot="1">
      <c r="A460" s="15" t="s">
        <v>1256</v>
      </c>
      <c r="B460" s="15">
        <v>0</v>
      </c>
      <c r="C460" s="19">
        <v>0</v>
      </c>
      <c r="D460" s="25">
        <v>1</v>
      </c>
      <c r="E460" s="26" t="s">
        <v>350</v>
      </c>
      <c r="F460" s="26" t="s">
        <v>549</v>
      </c>
      <c r="G460" s="31">
        <v>45474</v>
      </c>
      <c r="H460" s="27"/>
      <c r="I460" s="34"/>
      <c r="J460" s="23">
        <f t="shared" si="21"/>
        <v>457536</v>
      </c>
    </row>
    <row r="461" spans="1:10" thickTop="1" thickBot="1">
      <c r="A461" s="15" t="s">
        <v>1258</v>
      </c>
      <c r="B461" s="15">
        <v>0</v>
      </c>
      <c r="C461" s="19">
        <v>0</v>
      </c>
      <c r="D461" s="25">
        <v>1</v>
      </c>
      <c r="E461" s="26" t="s">
        <v>350</v>
      </c>
      <c r="F461" s="26" t="s">
        <v>550</v>
      </c>
      <c r="G461" s="31">
        <v>45505</v>
      </c>
      <c r="H461" s="27"/>
      <c r="I461" s="34"/>
      <c r="J461" s="23">
        <f>SUM(C461,J451)</f>
        <v>455536</v>
      </c>
    </row>
    <row r="462" spans="1:10" thickTop="1" thickBot="1">
      <c r="A462" s="15" t="s">
        <v>1259</v>
      </c>
      <c r="B462" s="15">
        <v>0</v>
      </c>
      <c r="C462" s="19">
        <v>0</v>
      </c>
      <c r="D462" s="25">
        <v>1</v>
      </c>
      <c r="E462" s="26" t="s">
        <v>350</v>
      </c>
      <c r="F462" s="26" t="s">
        <v>550</v>
      </c>
      <c r="G462" s="31">
        <v>45505</v>
      </c>
      <c r="H462" s="27"/>
      <c r="I462" s="34"/>
      <c r="J462" s="23">
        <f t="shared" si="21"/>
        <v>455536</v>
      </c>
    </row>
    <row r="463" spans="1:10" thickTop="1" thickBot="1">
      <c r="A463" s="15" t="s">
        <v>1269</v>
      </c>
      <c r="B463" s="15">
        <v>0</v>
      </c>
      <c r="C463" s="19">
        <v>0</v>
      </c>
      <c r="D463" s="25">
        <v>1</v>
      </c>
      <c r="E463" s="26" t="s">
        <v>350</v>
      </c>
      <c r="F463" s="26" t="s">
        <v>548</v>
      </c>
      <c r="G463" s="31">
        <v>45505</v>
      </c>
      <c r="H463" s="27"/>
      <c r="I463" s="34"/>
      <c r="J463" s="23">
        <f>SUM(C463,J453)</f>
        <v>455536</v>
      </c>
    </row>
    <row r="464" spans="1:10" thickTop="1" thickBot="1">
      <c r="A464" s="15" t="s">
        <v>1270</v>
      </c>
      <c r="B464" s="15">
        <v>0</v>
      </c>
      <c r="C464" s="19">
        <v>700</v>
      </c>
      <c r="D464" s="25">
        <v>1</v>
      </c>
      <c r="E464" s="26" t="s">
        <v>350</v>
      </c>
      <c r="F464" s="26" t="s">
        <v>548</v>
      </c>
      <c r="G464" s="31">
        <v>45505</v>
      </c>
      <c r="H464" s="27"/>
      <c r="I464" s="34"/>
      <c r="J464" s="23">
        <f t="shared" si="21"/>
        <v>456236</v>
      </c>
    </row>
    <row r="465" spans="1:10" thickTop="1" thickBot="1">
      <c r="A465" s="15" t="s">
        <v>1277</v>
      </c>
      <c r="B465" s="15">
        <v>0</v>
      </c>
      <c r="C465" s="19">
        <v>0</v>
      </c>
      <c r="D465" s="25">
        <v>1</v>
      </c>
      <c r="E465" s="26" t="s">
        <v>351</v>
      </c>
      <c r="F465" s="26" t="s">
        <v>549</v>
      </c>
      <c r="G465" s="31">
        <v>45505</v>
      </c>
      <c r="H465" s="27"/>
      <c r="I465" s="34"/>
      <c r="J465" s="23">
        <f>SUM(C465,J455)</f>
        <v>457536</v>
      </c>
    </row>
    <row r="466" spans="1:10" thickTop="1" thickBot="1">
      <c r="A466" s="15" t="s">
        <v>1237</v>
      </c>
      <c r="B466" s="15">
        <v>0</v>
      </c>
      <c r="C466" s="19">
        <v>2800</v>
      </c>
      <c r="D466" s="25">
        <v>1</v>
      </c>
      <c r="E466" s="26" t="s">
        <v>350</v>
      </c>
      <c r="F466" s="26" t="s">
        <v>549</v>
      </c>
      <c r="G466" s="31">
        <v>45536</v>
      </c>
      <c r="H466" s="27"/>
      <c r="I466" s="34"/>
      <c r="J466" s="23">
        <f t="shared" si="21"/>
        <v>460336</v>
      </c>
    </row>
    <row r="467" spans="1:10" thickTop="1" thickBot="1">
      <c r="A467" s="15" t="s">
        <v>1278</v>
      </c>
      <c r="B467" s="15">
        <v>0</v>
      </c>
      <c r="C467" s="19">
        <v>500</v>
      </c>
      <c r="D467" s="25">
        <v>1</v>
      </c>
      <c r="E467" s="26" t="s">
        <v>350</v>
      </c>
      <c r="F467" s="26" t="s">
        <v>549</v>
      </c>
      <c r="G467" s="31">
        <v>45536</v>
      </c>
      <c r="H467" s="27"/>
      <c r="I467" s="34"/>
      <c r="J467" s="23">
        <f>SUM(C467,J457)</f>
        <v>458036</v>
      </c>
    </row>
    <row r="468" spans="1:10" thickTop="1" thickBot="1">
      <c r="A468" s="15" t="s">
        <v>1280</v>
      </c>
      <c r="B468" s="15">
        <v>0</v>
      </c>
      <c r="C468" s="19">
        <v>0</v>
      </c>
      <c r="D468" s="25">
        <v>1</v>
      </c>
      <c r="E468" s="26" t="s">
        <v>348</v>
      </c>
      <c r="F468" s="26" t="s">
        <v>549</v>
      </c>
      <c r="G468" s="31">
        <v>45536</v>
      </c>
      <c r="H468" s="27"/>
      <c r="I468" s="34"/>
      <c r="J468" s="23">
        <f t="shared" ref="J468" si="22">SUM(C468,J458)</f>
        <v>457536</v>
      </c>
    </row>
    <row r="469" spans="1:10" thickTop="1" thickBot="1">
      <c r="A469" s="15" t="s">
        <v>1281</v>
      </c>
      <c r="B469" s="15">
        <v>0</v>
      </c>
      <c r="C469" s="19">
        <v>0</v>
      </c>
      <c r="D469" s="25">
        <v>1</v>
      </c>
      <c r="E469" s="26" t="s">
        <v>348</v>
      </c>
      <c r="F469" s="26" t="s">
        <v>549</v>
      </c>
      <c r="G469" s="31">
        <v>45536</v>
      </c>
      <c r="H469" s="27"/>
      <c r="I469" s="34"/>
      <c r="J469" s="23">
        <f t="shared" ref="J469:J472" si="23">SUM(C469,J468)</f>
        <v>457536</v>
      </c>
    </row>
    <row r="470" spans="1:10" thickTop="1" thickBot="1">
      <c r="A470" s="15" t="s">
        <v>1282</v>
      </c>
      <c r="B470" s="15">
        <v>0</v>
      </c>
      <c r="C470" s="19">
        <v>0</v>
      </c>
      <c r="D470" s="25">
        <v>1</v>
      </c>
      <c r="E470" s="26" t="s">
        <v>350</v>
      </c>
      <c r="F470" s="26" t="s">
        <v>549</v>
      </c>
      <c r="G470" s="31">
        <v>45536</v>
      </c>
      <c r="H470" s="27"/>
      <c r="I470" s="34"/>
      <c r="J470" s="23">
        <f>SUM(C470,J463)</f>
        <v>455536</v>
      </c>
    </row>
    <row r="471" spans="1:10" thickTop="1" thickBot="1">
      <c r="A471" s="15" t="s">
        <v>1283</v>
      </c>
      <c r="B471" s="15">
        <v>0</v>
      </c>
      <c r="C471" s="19">
        <v>0</v>
      </c>
      <c r="D471" s="25">
        <v>1</v>
      </c>
      <c r="E471" s="26" t="s">
        <v>351</v>
      </c>
      <c r="F471" s="26" t="s">
        <v>549</v>
      </c>
      <c r="G471" s="31">
        <v>45536</v>
      </c>
      <c r="H471" s="27"/>
      <c r="I471" s="34"/>
      <c r="J471" s="23">
        <f>SUM(C471,J464)</f>
        <v>456236</v>
      </c>
    </row>
    <row r="472" spans="1:10" thickTop="1" thickBot="1">
      <c r="A472" s="15" t="s">
        <v>1283</v>
      </c>
      <c r="B472" s="15">
        <v>0</v>
      </c>
      <c r="C472" s="19">
        <v>0</v>
      </c>
      <c r="D472" s="25">
        <v>1</v>
      </c>
      <c r="E472" s="26" t="s">
        <v>351</v>
      </c>
      <c r="F472" s="26" t="s">
        <v>549</v>
      </c>
      <c r="G472" s="31">
        <v>45536</v>
      </c>
      <c r="H472" s="27"/>
      <c r="I472" s="34"/>
      <c r="J472" s="23">
        <f t="shared" si="23"/>
        <v>456236</v>
      </c>
    </row>
    <row r="473" spans="1:10" thickTop="1" thickBot="1">
      <c r="A473" s="15" t="s">
        <v>1284</v>
      </c>
      <c r="B473" s="15">
        <v>0</v>
      </c>
      <c r="C473" s="19">
        <v>0</v>
      </c>
      <c r="D473" s="25">
        <v>1</v>
      </c>
      <c r="E473" s="26" t="s">
        <v>350</v>
      </c>
      <c r="F473" s="26" t="s">
        <v>549</v>
      </c>
      <c r="G473" s="31">
        <v>45536</v>
      </c>
      <c r="H473" s="27"/>
      <c r="I473" s="34"/>
      <c r="J473" s="23">
        <f>SUM(C473,J466)</f>
        <v>460336</v>
      </c>
    </row>
    <row r="474" spans="1:10" thickTop="1" thickBot="1">
      <c r="A474" s="15" t="s">
        <v>1232</v>
      </c>
      <c r="B474" s="15">
        <v>0</v>
      </c>
      <c r="C474" s="19">
        <v>666</v>
      </c>
      <c r="D474" s="25">
        <v>1</v>
      </c>
      <c r="E474" s="26" t="s">
        <v>350</v>
      </c>
      <c r="F474" s="26" t="s">
        <v>549</v>
      </c>
      <c r="G474" s="31">
        <v>45536</v>
      </c>
      <c r="H474" s="27"/>
      <c r="I474" s="34"/>
      <c r="J474" s="23">
        <f>SUM(C474,J460)</f>
        <v>458202</v>
      </c>
    </row>
    <row r="475" spans="1:10" thickTop="1" thickBot="1">
      <c r="A475" s="15" t="s">
        <v>1235</v>
      </c>
      <c r="B475" s="15">
        <v>0</v>
      </c>
      <c r="C475" s="19">
        <v>0</v>
      </c>
      <c r="D475" s="25">
        <v>1</v>
      </c>
      <c r="E475" s="26" t="s">
        <v>350</v>
      </c>
      <c r="F475" s="26" t="s">
        <v>549</v>
      </c>
      <c r="G475" s="31">
        <v>45536</v>
      </c>
      <c r="H475" s="27"/>
      <c r="I475" s="34"/>
      <c r="J475" s="23">
        <f>SUM(C475,J461)</f>
        <v>455536</v>
      </c>
    </row>
    <row r="476" spans="1:10" thickTop="1" thickBot="1">
      <c r="A476" s="15" t="s">
        <v>1233</v>
      </c>
      <c r="B476" s="15">
        <v>0</v>
      </c>
      <c r="C476" s="19">
        <v>0</v>
      </c>
      <c r="D476" s="25">
        <v>1</v>
      </c>
      <c r="E476" s="26" t="s">
        <v>350</v>
      </c>
      <c r="F476" s="26" t="s">
        <v>549</v>
      </c>
      <c r="G476" s="31">
        <v>45536</v>
      </c>
      <c r="H476" s="27"/>
      <c r="I476" s="34"/>
      <c r="J476" s="23">
        <f>SUM(C476,J475)</f>
        <v>455536</v>
      </c>
    </row>
    <row r="477" spans="1:10" thickTop="1" thickBot="1">
      <c r="A477" s="15" t="s">
        <v>1285</v>
      </c>
      <c r="B477" s="15">
        <v>0</v>
      </c>
      <c r="C477" s="19">
        <v>2000</v>
      </c>
      <c r="D477" s="25">
        <v>0</v>
      </c>
      <c r="E477" s="26" t="s">
        <v>354</v>
      </c>
      <c r="F477" s="26" t="s">
        <v>549</v>
      </c>
      <c r="G477" s="31">
        <v>45536</v>
      </c>
      <c r="H477" s="27"/>
      <c r="I477" s="34"/>
      <c r="J477" s="23">
        <f>SUM(C477,J463)</f>
        <v>457536</v>
      </c>
    </row>
    <row r="478" spans="1:10" thickTop="1" thickBot="1">
      <c r="A478" s="15" t="s">
        <v>1286</v>
      </c>
      <c r="B478" s="15">
        <v>0</v>
      </c>
      <c r="C478" s="19">
        <v>1000</v>
      </c>
      <c r="D478" s="25">
        <v>0</v>
      </c>
      <c r="E478" s="26" t="s">
        <v>358</v>
      </c>
      <c r="F478" s="26" t="s">
        <v>549</v>
      </c>
      <c r="G478" s="31">
        <v>45536</v>
      </c>
      <c r="H478" s="27"/>
      <c r="I478" s="34"/>
      <c r="J478" s="23">
        <f>SUM(C478,J464)</f>
        <v>457236</v>
      </c>
    </row>
    <row r="479" spans="1:10" thickTop="1" thickBot="1">
      <c r="A479" s="15" t="s">
        <v>1103</v>
      </c>
      <c r="B479" s="15">
        <v>0</v>
      </c>
      <c r="C479" s="19">
        <v>3000</v>
      </c>
      <c r="D479" s="25">
        <v>1</v>
      </c>
      <c r="E479" s="26" t="s">
        <v>350</v>
      </c>
      <c r="F479" s="26" t="s">
        <v>549</v>
      </c>
      <c r="G479" s="31">
        <v>45536</v>
      </c>
      <c r="H479" s="27"/>
      <c r="I479" s="34"/>
      <c r="J479" s="23">
        <f>SUM(C479,J478)</f>
        <v>460236</v>
      </c>
    </row>
    <row r="480" spans="1:10" thickTop="1" thickBot="1">
      <c r="A480" s="15" t="s">
        <v>1295</v>
      </c>
      <c r="B480" s="15">
        <v>0</v>
      </c>
      <c r="C480" s="19">
        <v>0</v>
      </c>
      <c r="D480" s="25">
        <v>1</v>
      </c>
      <c r="E480" s="26" t="s">
        <v>351</v>
      </c>
      <c r="F480" s="26" t="s">
        <v>548</v>
      </c>
      <c r="G480" s="31">
        <v>45536</v>
      </c>
      <c r="H480" s="27"/>
      <c r="I480" s="34"/>
      <c r="J480" s="23">
        <f>SUM(C480,J479)</f>
        <v>460236</v>
      </c>
    </row>
    <row r="481" spans="1:10" thickTop="1" thickBot="1">
      <c r="A481" s="15"/>
      <c r="B481" s="15"/>
      <c r="C481" s="19"/>
      <c r="D481" s="25"/>
      <c r="E481" s="26"/>
      <c r="F481" s="26"/>
      <c r="G481" s="31"/>
      <c r="H481" s="27"/>
      <c r="I481" s="34"/>
      <c r="J481" s="23"/>
    </row>
    <row r="482" spans="1:10" thickTop="1" thickBot="1">
      <c r="A482" s="15"/>
      <c r="B482" s="15"/>
      <c r="C482" s="19"/>
      <c r="D482" s="25"/>
      <c r="E482" s="26"/>
      <c r="F482" s="26"/>
      <c r="G482" s="31"/>
      <c r="H482" s="27"/>
      <c r="I482" s="34"/>
      <c r="J482" s="23"/>
    </row>
    <row r="483" spans="1:10" thickTop="1" thickBot="1">
      <c r="A483" s="15"/>
      <c r="B483" s="15"/>
      <c r="C483" s="19"/>
      <c r="D483" s="25"/>
      <c r="E483" s="26"/>
      <c r="F483" s="26"/>
      <c r="G483" s="31"/>
      <c r="H483" s="27"/>
      <c r="I483" s="34"/>
      <c r="J483" s="23"/>
    </row>
    <row r="484" spans="1:10" thickTop="1" thickBot="1">
      <c r="A484" s="15"/>
      <c r="B484" s="15"/>
      <c r="C484" s="19"/>
      <c r="D484" s="25"/>
      <c r="E484" s="26"/>
      <c r="F484" s="26"/>
      <c r="G484" s="31"/>
      <c r="H484" s="27"/>
      <c r="I484" s="34"/>
      <c r="J484" s="23"/>
    </row>
    <row r="485" spans="1:10" thickTop="1" thickBot="1">
      <c r="A485" s="15"/>
      <c r="B485" s="15"/>
      <c r="C485" s="19"/>
      <c r="D485" s="25"/>
      <c r="E485" s="26"/>
      <c r="F485" s="26"/>
      <c r="G485" s="31"/>
      <c r="H485" s="27"/>
      <c r="I485" s="34"/>
      <c r="J485" s="23"/>
    </row>
    <row r="486" spans="1:10" thickTop="1" thickBot="1">
      <c r="A486" s="15"/>
      <c r="B486" s="15"/>
      <c r="C486" s="19"/>
      <c r="D486" s="25"/>
      <c r="E486" s="26"/>
      <c r="F486" s="26"/>
      <c r="G486" s="31"/>
      <c r="H486" s="27"/>
      <c r="I486" s="34"/>
      <c r="J486" s="23"/>
    </row>
    <row r="487" spans="1:10" thickTop="1" thickBot="1">
      <c r="A487" s="15"/>
      <c r="B487" s="15"/>
      <c r="C487" s="19"/>
      <c r="D487" s="25"/>
      <c r="E487" s="26"/>
      <c r="F487" s="26"/>
      <c r="G487" s="31"/>
      <c r="H487" s="27"/>
      <c r="I487" s="34"/>
      <c r="J487" s="23"/>
    </row>
    <row r="488" spans="1:10" thickTop="1" thickBot="1">
      <c r="A488" s="15"/>
      <c r="B488" s="15"/>
      <c r="C488" s="19"/>
      <c r="D488" s="25"/>
      <c r="E488" s="26"/>
      <c r="F488" s="26"/>
      <c r="G488" s="31"/>
      <c r="H488" s="27"/>
      <c r="I488" s="34"/>
      <c r="J488" s="23"/>
    </row>
    <row r="489" spans="1:10" thickTop="1" thickBot="1">
      <c r="A489" s="15"/>
      <c r="B489" s="15"/>
      <c r="C489" s="19"/>
      <c r="D489" s="25"/>
      <c r="E489" s="26"/>
      <c r="F489" s="26"/>
      <c r="G489" s="31"/>
      <c r="H489" s="27"/>
      <c r="I489" s="34"/>
      <c r="J489" s="23"/>
    </row>
    <row r="490" spans="1:10" thickTop="1" thickBot="1">
      <c r="A490" s="15"/>
      <c r="B490" s="15"/>
      <c r="C490" s="19"/>
      <c r="D490" s="25"/>
      <c r="E490" s="26"/>
      <c r="F490" s="26"/>
      <c r="G490" s="31"/>
      <c r="H490" s="27"/>
      <c r="I490" s="34"/>
      <c r="J490" s="23"/>
    </row>
    <row r="491" spans="1:10" thickTop="1" thickBot="1">
      <c r="A491" s="15"/>
      <c r="B491" s="15"/>
      <c r="C491" s="19"/>
      <c r="D491" s="25"/>
      <c r="E491" s="26"/>
      <c r="F491" s="26"/>
      <c r="G491" s="31"/>
      <c r="H491" s="27"/>
      <c r="I491" s="34"/>
      <c r="J491" s="23"/>
    </row>
    <row r="492" spans="1:10" thickTop="1" thickBot="1">
      <c r="A492" s="15"/>
      <c r="B492" s="15"/>
      <c r="C492" s="19"/>
      <c r="D492" s="25"/>
      <c r="E492" s="26"/>
      <c r="F492" s="26"/>
      <c r="G492" s="31"/>
      <c r="H492" s="27"/>
      <c r="I492" s="34"/>
      <c r="J492" s="23"/>
    </row>
    <row r="493" spans="1:10" thickTop="1" thickBot="1">
      <c r="A493" s="15"/>
      <c r="B493" s="15"/>
      <c r="C493" s="19"/>
      <c r="D493" s="25"/>
      <c r="E493" s="26"/>
      <c r="F493" s="26"/>
      <c r="G493" s="31"/>
      <c r="H493" s="27"/>
      <c r="I493" s="34"/>
      <c r="J493" s="23"/>
    </row>
    <row r="494" spans="1:10" thickTop="1" thickBot="1">
      <c r="A494" s="15"/>
      <c r="B494" s="15"/>
      <c r="C494" s="19"/>
      <c r="D494" s="25"/>
      <c r="E494" s="26"/>
      <c r="F494" s="26"/>
      <c r="G494" s="31"/>
      <c r="H494" s="27"/>
      <c r="I494" s="34"/>
      <c r="J494" s="23"/>
    </row>
    <row r="495" spans="1:10" thickTop="1" thickBot="1">
      <c r="A495" s="15"/>
      <c r="B495" s="15"/>
      <c r="C495" s="19"/>
      <c r="D495" s="25"/>
      <c r="E495" s="26"/>
      <c r="F495" s="26"/>
      <c r="G495" s="31"/>
      <c r="H495" s="27"/>
      <c r="I495" s="34"/>
      <c r="J495" s="23"/>
    </row>
    <row r="496" spans="1:10" thickTop="1" thickBot="1">
      <c r="A496" s="15"/>
      <c r="B496" s="15"/>
      <c r="C496" s="19"/>
      <c r="D496" s="25"/>
      <c r="E496" s="26"/>
      <c r="F496" s="26"/>
      <c r="G496" s="31"/>
      <c r="H496" s="27"/>
      <c r="I496" s="34"/>
      <c r="J496" s="23"/>
    </row>
    <row r="497" spans="1:10" thickTop="1" thickBot="1">
      <c r="A497" s="15"/>
      <c r="B497" s="15"/>
      <c r="C497" s="19"/>
      <c r="D497" s="25"/>
      <c r="E497" s="26"/>
      <c r="F497" s="26"/>
      <c r="G497" s="31"/>
      <c r="H497" s="27"/>
      <c r="I497" s="34"/>
      <c r="J497" s="23"/>
    </row>
    <row r="498" spans="1:10" thickTop="1" thickBot="1">
      <c r="A498" s="15"/>
      <c r="B498" s="15"/>
      <c r="C498" s="19"/>
      <c r="D498" s="25"/>
      <c r="E498" s="26"/>
      <c r="F498" s="26"/>
      <c r="G498" s="31"/>
      <c r="H498" s="27"/>
      <c r="I498" s="34"/>
      <c r="J498" s="23"/>
    </row>
    <row r="499" spans="1:10" thickTop="1" thickBot="1">
      <c r="A499" s="15"/>
      <c r="B499" s="15"/>
      <c r="C499" s="19"/>
      <c r="D499" s="25"/>
      <c r="E499" s="26"/>
      <c r="F499" s="26"/>
      <c r="G499" s="31"/>
      <c r="H499" s="27"/>
      <c r="I499" s="34"/>
      <c r="J499" s="23"/>
    </row>
    <row r="500" spans="1:10" thickTop="1" thickBot="1">
      <c r="A500" s="15"/>
      <c r="B500" s="15"/>
      <c r="C500" s="19"/>
      <c r="D500" s="25"/>
      <c r="E500" s="26"/>
      <c r="F500" s="26"/>
      <c r="G500" s="31"/>
      <c r="H500" s="27"/>
      <c r="I500" s="34"/>
      <c r="J500" s="23"/>
    </row>
    <row r="501" spans="1:10" thickTop="1" thickBot="1">
      <c r="A501" s="15"/>
      <c r="B501" s="15"/>
      <c r="C501" s="19"/>
      <c r="D501" s="25"/>
      <c r="E501" s="26"/>
      <c r="F501" s="26"/>
      <c r="G501" s="31"/>
      <c r="H501" s="27"/>
      <c r="I501" s="34"/>
      <c r="J501" s="23"/>
    </row>
    <row r="502" spans="1:10" thickTop="1" thickBot="1">
      <c r="A502" s="15"/>
      <c r="B502" s="15"/>
      <c r="C502" s="19"/>
      <c r="D502" s="25"/>
      <c r="E502" s="26"/>
      <c r="F502" s="26"/>
      <c r="G502" s="31"/>
      <c r="H502" s="27"/>
      <c r="I502" s="34"/>
      <c r="J502" s="23"/>
    </row>
    <row r="503" spans="1:10" thickTop="1" thickBot="1">
      <c r="A503" s="15"/>
      <c r="B503" s="15"/>
      <c r="C503" s="19"/>
      <c r="D503" s="25"/>
      <c r="E503" s="26"/>
      <c r="F503" s="26"/>
      <c r="G503" s="31"/>
      <c r="H503" s="27"/>
      <c r="I503" s="34"/>
      <c r="J503" s="23"/>
    </row>
    <row r="504" spans="1:10" thickTop="1" thickBot="1">
      <c r="A504" s="15"/>
      <c r="B504" s="15"/>
      <c r="C504" s="19"/>
      <c r="D504" s="25"/>
      <c r="E504" s="26"/>
      <c r="F504" s="26"/>
      <c r="G504" s="31"/>
      <c r="H504" s="27"/>
      <c r="I504" s="34"/>
      <c r="J504" s="23"/>
    </row>
    <row r="505" spans="1:10" thickTop="1" thickBot="1">
      <c r="A505" s="15"/>
      <c r="B505" s="15"/>
      <c r="C505" s="19"/>
      <c r="D505" s="25"/>
      <c r="E505" s="26"/>
      <c r="F505" s="26"/>
      <c r="G505" s="31"/>
      <c r="H505" s="27"/>
      <c r="I505" s="34"/>
      <c r="J505" s="23"/>
    </row>
    <row r="506" spans="1:10" thickTop="1" thickBot="1">
      <c r="A506" s="15"/>
      <c r="B506" s="15"/>
      <c r="C506" s="19"/>
      <c r="D506" s="25"/>
      <c r="E506" s="26"/>
      <c r="F506" s="26"/>
      <c r="G506" s="31"/>
      <c r="H506" s="27"/>
      <c r="I506" s="34"/>
      <c r="J506" s="23"/>
    </row>
    <row r="507" spans="1:10" thickTop="1" thickBot="1">
      <c r="A507" s="15"/>
      <c r="B507" s="15"/>
      <c r="C507" s="19"/>
      <c r="D507" s="25"/>
      <c r="E507" s="26"/>
      <c r="F507" s="26"/>
      <c r="G507" s="31"/>
      <c r="H507" s="27"/>
      <c r="I507" s="34"/>
      <c r="J507" s="23"/>
    </row>
    <row r="508" spans="1:10" thickTop="1" thickBot="1">
      <c r="A508" s="15"/>
      <c r="B508" s="15"/>
      <c r="C508" s="19"/>
      <c r="D508" s="25"/>
      <c r="E508" s="26"/>
      <c r="F508" s="26"/>
      <c r="G508" s="31"/>
      <c r="H508" s="27"/>
      <c r="I508" s="34"/>
      <c r="J508" s="23"/>
    </row>
    <row r="509" spans="1:10" thickTop="1" thickBot="1">
      <c r="A509" s="15"/>
      <c r="B509" s="15"/>
      <c r="C509" s="19"/>
      <c r="D509" s="25"/>
      <c r="E509" s="26"/>
      <c r="F509" s="26"/>
      <c r="G509" s="31"/>
      <c r="H509" s="27"/>
      <c r="I509" s="34"/>
      <c r="J509" s="23"/>
    </row>
    <row r="510" spans="1:10" thickTop="1" thickBot="1">
      <c r="A510" s="15"/>
      <c r="B510" s="15"/>
      <c r="C510" s="19"/>
      <c r="D510" s="25"/>
      <c r="E510" s="26"/>
      <c r="F510" s="26"/>
      <c r="G510" s="31"/>
      <c r="H510" s="27"/>
      <c r="I510" s="34"/>
      <c r="J510" s="23"/>
    </row>
    <row r="511" spans="1:10" thickTop="1" thickBot="1">
      <c r="A511" s="15"/>
      <c r="B511" s="15"/>
      <c r="C511" s="19"/>
      <c r="D511" s="25"/>
      <c r="E511" s="26"/>
      <c r="F511" s="26"/>
      <c r="G511" s="31"/>
      <c r="H511" s="27"/>
      <c r="I511" s="34"/>
      <c r="J511" s="23"/>
    </row>
    <row r="512" spans="1:10" thickTop="1" thickBot="1">
      <c r="A512" s="15"/>
      <c r="B512" s="15"/>
      <c r="C512" s="19"/>
      <c r="D512" s="25"/>
      <c r="E512" s="26"/>
      <c r="F512" s="26"/>
      <c r="G512" s="31"/>
      <c r="H512" s="27"/>
      <c r="I512" s="34"/>
      <c r="J512" s="23"/>
    </row>
    <row r="513" spans="1:10" thickTop="1" thickBot="1">
      <c r="A513" s="15"/>
      <c r="B513" s="15"/>
      <c r="C513" s="19"/>
      <c r="D513" s="25"/>
      <c r="E513" s="26"/>
      <c r="F513" s="26"/>
      <c r="G513" s="31"/>
      <c r="H513" s="27"/>
      <c r="I513" s="34"/>
      <c r="J513" s="23"/>
    </row>
    <row r="514" spans="1:10" thickTop="1" thickBot="1">
      <c r="A514" s="15"/>
      <c r="B514" s="15"/>
      <c r="C514" s="19"/>
      <c r="D514" s="25"/>
      <c r="E514" s="26"/>
      <c r="F514" s="26"/>
      <c r="G514" s="31"/>
      <c r="H514" s="27"/>
      <c r="I514" s="34"/>
      <c r="J514" s="23"/>
    </row>
    <row r="515" spans="1:10" thickTop="1" thickBot="1">
      <c r="A515" s="15"/>
      <c r="B515" s="15"/>
      <c r="C515" s="19"/>
      <c r="D515" s="25"/>
      <c r="E515" s="26"/>
      <c r="F515" s="26"/>
      <c r="G515" s="31"/>
      <c r="H515" s="27"/>
      <c r="I515" s="34"/>
      <c r="J515" s="23"/>
    </row>
    <row r="516" spans="1:10" thickTop="1" thickBot="1">
      <c r="A516" s="15"/>
      <c r="B516" s="15"/>
      <c r="C516" s="19"/>
      <c r="D516" s="25"/>
      <c r="E516" s="26"/>
      <c r="F516" s="26"/>
      <c r="G516" s="31"/>
      <c r="H516" s="27"/>
      <c r="I516" s="34"/>
      <c r="J516" s="23"/>
    </row>
    <row r="517" spans="1:10" thickTop="1" thickBot="1">
      <c r="A517" s="15"/>
      <c r="B517" s="15"/>
      <c r="C517" s="19"/>
      <c r="D517" s="25"/>
      <c r="E517" s="26"/>
      <c r="F517" s="26"/>
      <c r="G517" s="31"/>
      <c r="H517" s="27"/>
      <c r="I517" s="34"/>
      <c r="J517" s="23"/>
    </row>
    <row r="518" spans="1:10" thickTop="1" thickBot="1">
      <c r="A518" s="15"/>
      <c r="B518" s="15"/>
      <c r="C518" s="19"/>
      <c r="D518" s="25"/>
      <c r="E518" s="26"/>
      <c r="F518" s="26"/>
      <c r="G518" s="31"/>
      <c r="H518" s="27"/>
      <c r="I518" s="34"/>
      <c r="J518" s="23"/>
    </row>
    <row r="519" spans="1:10" thickTop="1" thickBot="1">
      <c r="A519" s="15"/>
      <c r="B519" s="15"/>
      <c r="C519" s="19"/>
      <c r="D519" s="25"/>
      <c r="E519" s="26"/>
      <c r="F519" s="26"/>
      <c r="G519" s="31"/>
      <c r="H519" s="27"/>
      <c r="I519" s="34"/>
      <c r="J519" s="23"/>
    </row>
    <row r="520" spans="1:10" ht="15"/>
    <row r="521" spans="1:10" ht="15"/>
    <row r="522" spans="1:10" ht="15"/>
    <row r="523" spans="1:10" ht="15"/>
    <row r="524" spans="1:10" ht="15"/>
    <row r="525" spans="1:10" ht="15"/>
    <row r="526" spans="1:10" ht="15"/>
  </sheetData>
  <phoneticPr fontId="2" type="noConversion"/>
  <dataValidations count="12">
    <dataValidation type="list" allowBlank="1" showInputMessage="1" showErrorMessage="1" sqref="E48:E49 E37:E46 E2:E15 E17:E35" xr:uid="{2DEECC06-D62A-4855-ABD5-4528CF34D336}">
      <formula1>"英短,布偶,银渐层,金渐层,德文,借配,其它"</formula1>
    </dataValidation>
    <dataValidation type="list" allowBlank="1" showInputMessage="1" showErrorMessage="1" sqref="E56 E58:E63 E50:E54" xr:uid="{A0860B7E-B56F-4DB4-9275-E320FB231AAB}">
      <formula1>"英短,布偶,银渐层,金渐层,德文,美短,借配,其它"</formula1>
    </dataValidation>
    <dataValidation type="list" allowBlank="1" showInputMessage="1" showErrorMessage="1" sqref="E64:E79" xr:uid="{5140886E-28E1-4918-8030-015D4BE8E270}">
      <formula1>"英短,布偶,银渐层,金渐层,德文,美短,加菲,金吉拉,借配,其它"</formula1>
    </dataValidation>
    <dataValidation type="list" allowBlank="1" showInputMessage="1" showErrorMessage="1" sqref="E36 E16 E47 E55 E80:E98 E57" xr:uid="{F0CA9756-977E-486D-8F91-C9C9C549BF36}">
      <formula1>"英短,布偶,银渐层,金渐层,德文,赛尔凯克,柯尼斯,美短,加菲,金吉拉,借配,其它"</formula1>
    </dataValidation>
    <dataValidation type="list" allowBlank="1" showInputMessage="1" showErrorMessage="1" sqref="E99:E109" xr:uid="{94EBD636-F4E8-4F7A-B5A6-071586422F78}">
      <formula1>"英短,布偶,银渐层,金渐层,德文,赛尔凯克,柯尼斯,美短,加菲,金吉拉,借配,拿破仑,其它"</formula1>
    </dataValidation>
    <dataValidation type="list" allowBlank="1" showInputMessage="1" showErrorMessage="1" sqref="E110:E121" xr:uid="{33BEF591-E5CA-4B3F-81DA-796A511B1F9A}">
      <formula1>"英短,布偶,银渐层,金渐层,德文,赛尔凯克,柯尼斯,美短,加菲,金吉拉,波斯,喜马拉雅,借配,拿破仑,其它"</formula1>
    </dataValidation>
    <dataValidation type="list" allowBlank="1" showInputMessage="1" showErrorMessage="1" sqref="E122:E134" xr:uid="{E88C88E7-EC60-4DEC-9B19-04324BC9A0D3}">
      <formula1>"英短,布偶,银渐层,金渐层,德文,赛尔凯克,无毛猫,柯尼斯,美短,加菲,金吉拉,波斯,喜马拉雅,借配,拿破仑,其它"</formula1>
    </dataValidation>
    <dataValidation type="list" allowBlank="1" showInputMessage="1" showErrorMessage="1" sqref="F2:F13" xr:uid="{E23930C2-3C9F-40F6-B078-28F1882E90B9}">
      <formula1>"猫舍,个人,咸鱼,贴吧,店铺,领养"</formula1>
    </dataValidation>
    <dataValidation type="list" allowBlank="1" showInputMessage="1" showErrorMessage="1" sqref="E135:E193 E195:E256 E261:E519" xr:uid="{4B902E06-CEB1-42BD-95D2-3AECD4E49F37}">
      <formula1>"英短,布偶,银渐层,金渐层,德文,缅因,赛尔凯克,无毛猫,柯尼斯,美短,加菲,金吉拉,波斯,喜马拉雅,借配,拿破仑,其它"</formula1>
    </dataValidation>
    <dataValidation type="list" allowBlank="1" showInputMessage="1" showErrorMessage="1" sqref="E194" xr:uid="{F4E9E77F-AD04-454A-BA15-5C89ED5FCE7E}">
      <formula1>"英短,布偶,银渐层,金渐层,德文,缅因,阿比,赛尔凯克,无毛猫,柯尼斯,美短,加菲,金吉拉,波斯,喜马拉雅,借配,拿破仑,其它"</formula1>
    </dataValidation>
    <dataValidation type="list" allowBlank="1" showInputMessage="1" showErrorMessage="1" sqref="E257:E260" xr:uid="{23844A1F-F321-45C8-AED1-1AA54A334FD2}">
      <formula1>"英短,布偶,银渐层,金渐层,德文,缅因,赛尔凯克,无毛猫,柯尼斯,美短,加菲,金吉拉,波斯,喜马拉雅,借配,拿破仑,金白,其它"</formula1>
    </dataValidation>
    <dataValidation type="list" allowBlank="1" showInputMessage="1" showErrorMessage="1" sqref="F14:F519" xr:uid="{C477324E-7F37-445B-9223-7AAA79D7A4D5}">
      <formula1>"猫舍,个人,咸鱼,贴吧,店铺,代理,领养"</formula1>
    </dataValidation>
  </dataValidations>
  <pageMargins left="0.7" right="0.7" top="0.75" bottom="0.75" header="0.3" footer="0.3"/>
  <pageSetup paperSize="9" orientation="portrait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3B76D-6858-4327-9D1B-1D2F2F8C0C9A}">
  <dimension ref="A1:F42"/>
  <sheetViews>
    <sheetView workbookViewId="0">
      <selection activeCell="F26" sqref="F26"/>
    </sheetView>
  </sheetViews>
  <sheetFormatPr defaultColWidth="25.5703125" defaultRowHeight="15"/>
  <cols>
    <col min="1" max="4" width="25.5703125" style="22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/>
      <c r="B2" s="18"/>
      <c r="C2" s="18"/>
      <c r="E2" s="13" t="s">
        <v>1</v>
      </c>
      <c r="F2" s="13">
        <f t="shared" ref="F2:F12" si="0">SUMIF(B:B,E2,C:C)</f>
        <v>0</v>
      </c>
    </row>
    <row r="3" spans="1:6" ht="16.5" thickTop="1" thickBot="1">
      <c r="A3" s="18"/>
      <c r="B3" s="18"/>
      <c r="C3" s="18"/>
      <c r="E3" s="13" t="s">
        <v>2</v>
      </c>
      <c r="F3" s="13">
        <f t="shared" si="0"/>
        <v>0</v>
      </c>
    </row>
    <row r="4" spans="1:6" ht="16.5" thickTop="1" thickBot="1">
      <c r="A4" s="18"/>
      <c r="B4" s="18"/>
      <c r="C4" s="18"/>
      <c r="E4" s="13" t="s">
        <v>3</v>
      </c>
      <c r="F4" s="13">
        <f t="shared" si="0"/>
        <v>0</v>
      </c>
    </row>
    <row r="5" spans="1:6" ht="16.5" thickTop="1" thickBot="1">
      <c r="A5" s="18"/>
      <c r="B5" s="18"/>
      <c r="C5" s="18"/>
      <c r="E5" s="13" t="s">
        <v>745</v>
      </c>
      <c r="F5" s="13">
        <f t="shared" si="0"/>
        <v>0</v>
      </c>
    </row>
    <row r="6" spans="1:6" ht="16.5" thickTop="1" thickBot="1">
      <c r="A6" s="18"/>
      <c r="B6" s="18"/>
      <c r="C6" s="18"/>
      <c r="E6" s="13" t="s">
        <v>375</v>
      </c>
      <c r="F6" s="13">
        <f t="shared" si="0"/>
        <v>0</v>
      </c>
    </row>
    <row r="7" spans="1:6" ht="16.5" thickTop="1" thickBot="1">
      <c r="A7" s="18"/>
      <c r="B7" s="18"/>
      <c r="C7" s="18"/>
      <c r="E7" s="13" t="s">
        <v>743</v>
      </c>
      <c r="F7" s="13">
        <f t="shared" si="0"/>
        <v>0</v>
      </c>
    </row>
    <row r="8" spans="1:6" ht="16.5" thickTop="1" thickBot="1">
      <c r="A8" s="18"/>
      <c r="B8" s="18"/>
      <c r="C8" s="18"/>
      <c r="D8" s="79">
        <v>45556</v>
      </c>
      <c r="E8" s="13" t="s">
        <v>746</v>
      </c>
      <c r="F8" s="13">
        <f t="shared" si="0"/>
        <v>0</v>
      </c>
    </row>
    <row r="9" spans="1:6" ht="16.5" thickTop="1" thickBot="1">
      <c r="A9" s="18"/>
      <c r="B9" s="18"/>
      <c r="C9" s="18"/>
      <c r="E9" s="13" t="s">
        <v>744</v>
      </c>
      <c r="F9" s="13">
        <f t="shared" si="0"/>
        <v>0</v>
      </c>
    </row>
    <row r="10" spans="1:6" ht="16.5" thickTop="1" thickBot="1">
      <c r="A10" s="18"/>
      <c r="B10" s="18"/>
      <c r="C10" s="18"/>
      <c r="E10" s="13" t="s">
        <v>444</v>
      </c>
      <c r="F10" s="13">
        <f t="shared" si="0"/>
        <v>0</v>
      </c>
    </row>
    <row r="11" spans="1:6" ht="16.5" thickTop="1" thickBot="1">
      <c r="A11" s="18"/>
      <c r="B11" s="18"/>
      <c r="C11" s="18"/>
      <c r="E11" s="13" t="s">
        <v>48</v>
      </c>
      <c r="F11" s="13">
        <f t="shared" si="0"/>
        <v>0</v>
      </c>
    </row>
    <row r="12" spans="1:6" ht="16.5" thickTop="1" thickBot="1">
      <c r="A12" s="18"/>
      <c r="B12" s="18"/>
      <c r="C12" s="18"/>
      <c r="E12" s="13" t="s">
        <v>49</v>
      </c>
      <c r="F12" s="13">
        <f t="shared" si="0"/>
        <v>0</v>
      </c>
    </row>
    <row r="13" spans="1:6" ht="16.5" thickTop="1" thickBot="1">
      <c r="A13" s="18"/>
      <c r="B13" s="18"/>
      <c r="C13" s="18"/>
      <c r="E13" s="13" t="s">
        <v>408</v>
      </c>
      <c r="F13" s="13">
        <f>SUM(F2:F12)</f>
        <v>0</v>
      </c>
    </row>
    <row r="14" spans="1:6" ht="16.5" thickTop="1" thickBot="1">
      <c r="A14" s="18"/>
      <c r="B14" s="18"/>
      <c r="C14" s="18"/>
      <c r="E14" s="4"/>
      <c r="F14" s="4"/>
    </row>
    <row r="15" spans="1:6" ht="16.5" thickTop="1" thickBot="1">
      <c r="A15" s="18"/>
      <c r="B15" s="18"/>
      <c r="C15" s="18"/>
    </row>
    <row r="16" spans="1:6" ht="16.5" thickTop="1" thickBot="1">
      <c r="A16" s="18"/>
      <c r="B16" s="18"/>
      <c r="C16" s="18"/>
    </row>
    <row r="17" spans="1:3" ht="16.5" thickTop="1" thickBot="1">
      <c r="A17" s="18"/>
      <c r="B17" s="18"/>
      <c r="C17" s="18"/>
    </row>
    <row r="18" spans="1:3" ht="16.5" thickTop="1" thickBot="1">
      <c r="A18" s="18"/>
      <c r="B18" s="18"/>
      <c r="C18" s="18"/>
    </row>
    <row r="19" spans="1:3" ht="16.5" thickTop="1" thickBot="1">
      <c r="A19" s="18"/>
      <c r="B19" s="18"/>
      <c r="C19" s="18"/>
    </row>
    <row r="20" spans="1:3" ht="16.5" thickTop="1" thickBot="1">
      <c r="A20" s="18"/>
      <c r="B20" s="18"/>
      <c r="C20" s="18"/>
    </row>
    <row r="21" spans="1:3" ht="16.5" thickTop="1" thickBot="1">
      <c r="A21" s="18"/>
      <c r="B21" s="18"/>
      <c r="C21" s="18"/>
    </row>
    <row r="22" spans="1:3" ht="16.5" thickTop="1" thickBot="1">
      <c r="A22" s="18"/>
      <c r="B22" s="18"/>
      <c r="C22" s="18"/>
    </row>
    <row r="23" spans="1:3" ht="16.5" thickTop="1" thickBot="1">
      <c r="A23" s="18"/>
      <c r="B23" s="18"/>
      <c r="C23" s="18"/>
    </row>
    <row r="24" spans="1:3" ht="16.5" thickTop="1" thickBot="1">
      <c r="A24" s="18"/>
      <c r="B24" s="18"/>
      <c r="C24" s="18"/>
    </row>
    <row r="25" spans="1:3" ht="16.5" thickTop="1" thickBot="1">
      <c r="A25" s="18"/>
      <c r="B25" s="18"/>
      <c r="C25" s="18"/>
    </row>
    <row r="26" spans="1:3" ht="16.5" thickTop="1" thickBot="1">
      <c r="A26" s="18"/>
      <c r="B26" s="18"/>
      <c r="C26" s="18"/>
    </row>
    <row r="27" spans="1:3" ht="16.5" thickTop="1" thickBot="1">
      <c r="A27" s="18"/>
      <c r="B27" s="18"/>
      <c r="C27" s="18"/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2:B30" xr:uid="{A933D876-294E-4C86-B401-F5E8E3BA3AD1}">
      <formula1>"猫砂,猫粮,零食,消耗品,疫苗,常用药,治疗费,不常用药,运费,买猫,其它"</formula1>
    </dataValidation>
    <dataValidation type="list" allowBlank="1" showInputMessage="1" showErrorMessage="1" sqref="B31:B41" xr:uid="{F76975CF-0917-4D10-960E-E90F5423CA9B}">
      <formula1>"猫砂,猫粮,零食,药,日用品,买猫,其它"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8C3B0-9E3D-4B4F-BD84-8073288FED59}">
  <dimension ref="A1:F42"/>
  <sheetViews>
    <sheetView workbookViewId="0">
      <selection sqref="A1:XFD1048576"/>
    </sheetView>
  </sheetViews>
  <sheetFormatPr defaultColWidth="25.5703125" defaultRowHeight="15"/>
  <cols>
    <col min="1" max="4" width="25.5703125" style="22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325</v>
      </c>
      <c r="B2" s="18" t="s">
        <v>444</v>
      </c>
      <c r="C2" s="18">
        <v>84</v>
      </c>
      <c r="E2" s="13" t="s">
        <v>1</v>
      </c>
      <c r="F2" s="13">
        <f t="shared" ref="F2:F12" si="0">SUMIF(B:B,E2,C:C)</f>
        <v>1810</v>
      </c>
    </row>
    <row r="3" spans="1:6" ht="16.5" thickTop="1" thickBot="1">
      <c r="A3" s="18" t="s">
        <v>1292</v>
      </c>
      <c r="B3" s="18" t="s">
        <v>45</v>
      </c>
      <c r="C3" s="18">
        <v>800</v>
      </c>
      <c r="E3" s="13" t="s">
        <v>2</v>
      </c>
      <c r="F3" s="13">
        <f t="shared" si="0"/>
        <v>1200</v>
      </c>
    </row>
    <row r="4" spans="1:6" ht="16.5" thickTop="1" thickBot="1">
      <c r="A4" s="18" t="s">
        <v>485</v>
      </c>
      <c r="B4" s="18" t="s">
        <v>744</v>
      </c>
      <c r="C4" s="18">
        <v>34</v>
      </c>
      <c r="E4" s="13" t="s">
        <v>3</v>
      </c>
      <c r="F4" s="13">
        <f t="shared" si="0"/>
        <v>0</v>
      </c>
    </row>
    <row r="5" spans="1:6" ht="16.5" thickTop="1" thickBot="1">
      <c r="A5" s="18" t="s">
        <v>46</v>
      </c>
      <c r="B5" s="18" t="s">
        <v>46</v>
      </c>
      <c r="C5" s="18">
        <v>1200</v>
      </c>
      <c r="E5" s="13" t="s">
        <v>745</v>
      </c>
      <c r="F5" s="13">
        <f t="shared" si="0"/>
        <v>125</v>
      </c>
    </row>
    <row r="6" spans="1:6" ht="16.5" thickTop="1" thickBot="1">
      <c r="A6" s="18" t="s">
        <v>1293</v>
      </c>
      <c r="B6" s="18" t="s">
        <v>45</v>
      </c>
      <c r="C6" s="18">
        <v>230</v>
      </c>
      <c r="E6" s="13" t="s">
        <v>375</v>
      </c>
      <c r="F6" s="13">
        <f t="shared" si="0"/>
        <v>0</v>
      </c>
    </row>
    <row r="7" spans="1:6" ht="16.5" thickTop="1" thickBot="1">
      <c r="A7" s="18" t="s">
        <v>486</v>
      </c>
      <c r="B7" s="18" t="s">
        <v>49</v>
      </c>
      <c r="C7" s="18">
        <v>14</v>
      </c>
      <c r="E7" s="13" t="s">
        <v>743</v>
      </c>
      <c r="F7" s="13">
        <f t="shared" si="0"/>
        <v>0</v>
      </c>
    </row>
    <row r="8" spans="1:6" ht="16.5" thickTop="1" thickBot="1">
      <c r="A8" s="18" t="s">
        <v>1294</v>
      </c>
      <c r="B8" s="18" t="s">
        <v>444</v>
      </c>
      <c r="C8" s="18">
        <v>200</v>
      </c>
      <c r="D8" s="79">
        <v>45556</v>
      </c>
      <c r="E8" s="13" t="s">
        <v>746</v>
      </c>
      <c r="F8" s="13">
        <f t="shared" si="0"/>
        <v>0</v>
      </c>
    </row>
    <row r="9" spans="1:6" ht="16.5" thickTop="1" thickBot="1">
      <c r="A9" s="18" t="s">
        <v>1296</v>
      </c>
      <c r="B9" s="18" t="s">
        <v>45</v>
      </c>
      <c r="C9" s="18">
        <v>300</v>
      </c>
      <c r="E9" s="13" t="s">
        <v>744</v>
      </c>
      <c r="F9" s="13">
        <f t="shared" si="0"/>
        <v>34</v>
      </c>
    </row>
    <row r="10" spans="1:6" ht="16.5" thickTop="1" thickBot="1">
      <c r="A10" s="18" t="s">
        <v>1297</v>
      </c>
      <c r="B10" s="18" t="s">
        <v>45</v>
      </c>
      <c r="C10" s="18">
        <v>480</v>
      </c>
      <c r="E10" s="13" t="s">
        <v>444</v>
      </c>
      <c r="F10" s="13">
        <f t="shared" si="0"/>
        <v>284</v>
      </c>
    </row>
    <row r="11" spans="1:6" ht="16.5" thickTop="1" thickBot="1">
      <c r="A11" s="18" t="s">
        <v>333</v>
      </c>
      <c r="B11" s="18" t="s">
        <v>745</v>
      </c>
      <c r="C11" s="18">
        <v>125</v>
      </c>
      <c r="E11" s="13" t="s">
        <v>48</v>
      </c>
      <c r="F11" s="13">
        <f t="shared" si="0"/>
        <v>0</v>
      </c>
    </row>
    <row r="12" spans="1:6" ht="16.5" thickTop="1" thickBot="1">
      <c r="A12" s="18"/>
      <c r="B12" s="18"/>
      <c r="C12" s="18"/>
      <c r="E12" s="13" t="s">
        <v>49</v>
      </c>
      <c r="F12" s="13">
        <f t="shared" si="0"/>
        <v>14</v>
      </c>
    </row>
    <row r="13" spans="1:6" ht="16.5" thickTop="1" thickBot="1">
      <c r="A13" s="18"/>
      <c r="B13" s="18"/>
      <c r="C13" s="18"/>
      <c r="E13" s="13" t="s">
        <v>408</v>
      </c>
      <c r="F13" s="13">
        <f>SUM(F2:F12)</f>
        <v>3467</v>
      </c>
    </row>
    <row r="14" spans="1:6" ht="16.5" thickTop="1" thickBot="1">
      <c r="A14" s="18"/>
      <c r="B14" s="18"/>
      <c r="C14" s="18"/>
      <c r="E14" s="4"/>
      <c r="F14" s="4"/>
    </row>
    <row r="15" spans="1:6" ht="16.5" thickTop="1" thickBot="1">
      <c r="A15" s="18"/>
      <c r="B15" s="18"/>
      <c r="C15" s="18"/>
    </row>
    <row r="16" spans="1:6" ht="16.5" thickTop="1" thickBot="1">
      <c r="A16" s="18"/>
      <c r="B16" s="18"/>
      <c r="C16" s="18"/>
    </row>
    <row r="17" spans="1:3" ht="16.5" thickTop="1" thickBot="1">
      <c r="A17" s="18"/>
      <c r="B17" s="18"/>
      <c r="C17" s="18"/>
    </row>
    <row r="18" spans="1:3" ht="16.5" thickTop="1" thickBot="1">
      <c r="A18" s="18"/>
      <c r="B18" s="18"/>
      <c r="C18" s="18"/>
    </row>
    <row r="19" spans="1:3" ht="16.5" thickTop="1" thickBot="1">
      <c r="A19" s="18"/>
      <c r="B19" s="18"/>
      <c r="C19" s="18"/>
    </row>
    <row r="20" spans="1:3" ht="16.5" thickTop="1" thickBot="1">
      <c r="A20" s="18"/>
      <c r="B20" s="18"/>
      <c r="C20" s="18"/>
    </row>
    <row r="21" spans="1:3" ht="16.5" thickTop="1" thickBot="1">
      <c r="A21" s="18"/>
      <c r="B21" s="18"/>
      <c r="C21" s="18"/>
    </row>
    <row r="22" spans="1:3" ht="16.5" thickTop="1" thickBot="1">
      <c r="A22" s="18"/>
      <c r="B22" s="18"/>
      <c r="C22" s="18"/>
    </row>
    <row r="23" spans="1:3" ht="16.5" thickTop="1" thickBot="1">
      <c r="A23" s="18"/>
      <c r="B23" s="18"/>
      <c r="C23" s="18"/>
    </row>
    <row r="24" spans="1:3" ht="16.5" thickTop="1" thickBot="1">
      <c r="A24" s="18"/>
      <c r="B24" s="18"/>
      <c r="C24" s="18"/>
    </row>
    <row r="25" spans="1:3" ht="16.5" thickTop="1" thickBot="1">
      <c r="A25" s="18"/>
      <c r="B25" s="18"/>
      <c r="C25" s="18"/>
    </row>
    <row r="26" spans="1:3" ht="16.5" thickTop="1" thickBot="1">
      <c r="A26" s="18"/>
      <c r="B26" s="18"/>
      <c r="C26" s="18"/>
    </row>
    <row r="27" spans="1:3" ht="16.5" thickTop="1" thickBot="1">
      <c r="A27" s="18"/>
      <c r="B27" s="18"/>
      <c r="C27" s="18"/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31:B41" xr:uid="{6A961E5C-F2F6-453B-B2C7-1BF43AFF567C}">
      <formula1>"猫砂,猫粮,零食,药,日用品,买猫,其它"</formula1>
    </dataValidation>
    <dataValidation type="list" allowBlank="1" showInputMessage="1" showErrorMessage="1" sqref="B2:B30" xr:uid="{190871EE-1333-4C73-8094-0F9BB0CCB667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272A9-FBBB-4455-9598-C6DA780FF871}">
  <dimension ref="A1:F42"/>
  <sheetViews>
    <sheetView workbookViewId="0">
      <selection activeCell="D19" sqref="D19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772</v>
      </c>
      <c r="B2" s="18" t="s">
        <v>743</v>
      </c>
      <c r="C2" s="18">
        <v>29</v>
      </c>
      <c r="E2" s="13" t="s">
        <v>1</v>
      </c>
      <c r="F2" s="13">
        <f t="shared" ref="F2:F12" si="0">SUMIF(B:B,E2,C:C)</f>
        <v>410</v>
      </c>
    </row>
    <row r="3" spans="1:6" ht="16.5" thickTop="1" thickBot="1">
      <c r="A3" s="18" t="s">
        <v>1275</v>
      </c>
      <c r="B3" s="18" t="s">
        <v>49</v>
      </c>
      <c r="C3" s="18">
        <v>7.5</v>
      </c>
      <c r="E3" s="13" t="s">
        <v>2</v>
      </c>
      <c r="F3" s="13">
        <f t="shared" si="0"/>
        <v>0</v>
      </c>
    </row>
    <row r="4" spans="1:6" ht="16.5" thickTop="1" thickBot="1">
      <c r="A4" s="18" t="s">
        <v>413</v>
      </c>
      <c r="B4" s="18" t="s">
        <v>745</v>
      </c>
      <c r="C4" s="18">
        <v>159</v>
      </c>
      <c r="E4" s="13" t="s">
        <v>3</v>
      </c>
      <c r="F4" s="13">
        <f t="shared" si="0"/>
        <v>0</v>
      </c>
    </row>
    <row r="5" spans="1:6" ht="16.5" thickTop="1" thickBot="1">
      <c r="A5" s="18" t="s">
        <v>333</v>
      </c>
      <c r="B5" s="18" t="s">
        <v>745</v>
      </c>
      <c r="C5" s="18">
        <v>124</v>
      </c>
      <c r="E5" s="13" t="s">
        <v>745</v>
      </c>
      <c r="F5" s="13">
        <f t="shared" si="0"/>
        <v>633</v>
      </c>
    </row>
    <row r="6" spans="1:6" ht="16.5" thickTop="1" thickBot="1">
      <c r="A6" s="18" t="s">
        <v>1290</v>
      </c>
      <c r="B6" s="18" t="s">
        <v>45</v>
      </c>
      <c r="C6" s="18">
        <v>85</v>
      </c>
      <c r="E6" s="13" t="s">
        <v>375</v>
      </c>
      <c r="F6" s="13">
        <f t="shared" si="0"/>
        <v>0</v>
      </c>
    </row>
    <row r="7" spans="1:6" ht="16.5" thickTop="1" thickBot="1">
      <c r="A7" s="18" t="s">
        <v>50</v>
      </c>
      <c r="B7" s="18" t="s">
        <v>744</v>
      </c>
      <c r="C7" s="18">
        <v>90</v>
      </c>
      <c r="E7" s="13" t="s">
        <v>743</v>
      </c>
      <c r="F7" s="13">
        <f t="shared" si="0"/>
        <v>625</v>
      </c>
    </row>
    <row r="8" spans="1:6" ht="16.5" thickTop="1" thickBot="1">
      <c r="A8" s="18" t="s">
        <v>1045</v>
      </c>
      <c r="B8" s="18" t="s">
        <v>745</v>
      </c>
      <c r="C8" s="18">
        <v>160</v>
      </c>
      <c r="E8" s="13" t="s">
        <v>746</v>
      </c>
      <c r="F8" s="13">
        <f t="shared" si="0"/>
        <v>0</v>
      </c>
    </row>
    <row r="9" spans="1:6" ht="16.5" thickTop="1" thickBot="1">
      <c r="A9" s="18" t="s">
        <v>913</v>
      </c>
      <c r="B9" s="18" t="s">
        <v>745</v>
      </c>
      <c r="C9" s="18">
        <v>190</v>
      </c>
      <c r="E9" s="13" t="s">
        <v>744</v>
      </c>
      <c r="F9" s="13">
        <f t="shared" si="0"/>
        <v>669</v>
      </c>
    </row>
    <row r="10" spans="1:6" ht="16.5" thickTop="1" thickBot="1">
      <c r="A10" s="18" t="s">
        <v>45</v>
      </c>
      <c r="B10" s="18" t="s">
        <v>45</v>
      </c>
      <c r="C10" s="18">
        <v>325</v>
      </c>
      <c r="E10" s="13" t="s">
        <v>444</v>
      </c>
      <c r="F10" s="13">
        <f t="shared" si="0"/>
        <v>0</v>
      </c>
    </row>
    <row r="11" spans="1:6" ht="16.5" thickTop="1" thickBot="1">
      <c r="A11" s="18" t="s">
        <v>535</v>
      </c>
      <c r="B11" s="18" t="s">
        <v>743</v>
      </c>
      <c r="C11" s="18">
        <v>400</v>
      </c>
      <c r="E11" s="13" t="s">
        <v>48</v>
      </c>
      <c r="F11" s="13">
        <f t="shared" si="0"/>
        <v>0</v>
      </c>
    </row>
    <row r="12" spans="1:6" ht="16.5" thickTop="1" thickBot="1">
      <c r="A12" s="18" t="s">
        <v>1291</v>
      </c>
      <c r="B12" s="18" t="s">
        <v>743</v>
      </c>
      <c r="C12" s="18">
        <v>196</v>
      </c>
      <c r="E12" s="13" t="s">
        <v>49</v>
      </c>
      <c r="F12" s="13">
        <f t="shared" si="0"/>
        <v>7.5</v>
      </c>
    </row>
    <row r="13" spans="1:6" ht="16.5" thickTop="1" thickBot="1">
      <c r="A13" s="18">
        <v>441</v>
      </c>
      <c r="B13" s="18" t="s">
        <v>744</v>
      </c>
      <c r="C13" s="18">
        <v>510</v>
      </c>
      <c r="E13" s="13" t="s">
        <v>408</v>
      </c>
      <c r="F13" s="13">
        <f>SUM(F2:F12)</f>
        <v>2344.5</v>
      </c>
    </row>
    <row r="14" spans="1:6" ht="16.5" thickTop="1" thickBot="1">
      <c r="A14" s="18" t="s">
        <v>50</v>
      </c>
      <c r="B14" s="18" t="s">
        <v>744</v>
      </c>
      <c r="C14" s="18">
        <v>69</v>
      </c>
      <c r="E14" s="4"/>
      <c r="F14" s="4"/>
    </row>
    <row r="15" spans="1:6" ht="16.5" thickTop="1" thickBot="1">
      <c r="A15" s="18"/>
      <c r="B15" s="18"/>
      <c r="C15" s="18"/>
    </row>
    <row r="16" spans="1:6" ht="16.5" thickTop="1" thickBot="1">
      <c r="A16" s="18"/>
      <c r="B16" s="18"/>
      <c r="C16" s="18"/>
    </row>
    <row r="17" spans="1:3" ht="16.5" thickTop="1" thickBot="1">
      <c r="A17" s="18"/>
      <c r="B17" s="18"/>
      <c r="C17" s="18"/>
    </row>
    <row r="18" spans="1:3" ht="16.5" thickTop="1" thickBot="1">
      <c r="A18" s="18"/>
      <c r="B18" s="18"/>
      <c r="C18" s="18"/>
    </row>
    <row r="19" spans="1:3" ht="16.5" thickTop="1" thickBot="1">
      <c r="A19" s="18"/>
      <c r="B19" s="18"/>
      <c r="C19" s="18"/>
    </row>
    <row r="20" spans="1:3" ht="16.5" thickTop="1" thickBot="1">
      <c r="A20" s="18"/>
      <c r="B20" s="18"/>
      <c r="C20" s="18"/>
    </row>
    <row r="21" spans="1:3" ht="16.5" thickTop="1" thickBot="1">
      <c r="A21" s="18"/>
      <c r="B21" s="18"/>
      <c r="C21" s="18"/>
    </row>
    <row r="22" spans="1:3" ht="16.5" thickTop="1" thickBot="1">
      <c r="A22" s="18"/>
      <c r="B22" s="18"/>
      <c r="C22" s="18"/>
    </row>
    <row r="23" spans="1:3" ht="16.5" thickTop="1" thickBot="1">
      <c r="A23" s="18"/>
      <c r="B23" s="18"/>
      <c r="C23" s="18"/>
    </row>
    <row r="24" spans="1:3" ht="16.5" thickTop="1" thickBot="1">
      <c r="A24" s="18"/>
      <c r="B24" s="18"/>
      <c r="C24" s="18"/>
    </row>
    <row r="25" spans="1:3" ht="16.5" thickTop="1" thickBot="1">
      <c r="A25" s="18"/>
      <c r="B25" s="18"/>
      <c r="C25" s="18"/>
    </row>
    <row r="26" spans="1:3" ht="16.5" thickTop="1" thickBot="1">
      <c r="A26" s="18"/>
      <c r="B26" s="18"/>
      <c r="C26" s="18"/>
    </row>
    <row r="27" spans="1:3" ht="16.5" thickTop="1" thickBot="1">
      <c r="A27" s="18"/>
      <c r="B27" s="18"/>
      <c r="C27" s="18"/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2:B30" xr:uid="{AA299BDC-ADB7-4F11-852A-8129E7DC1C9F}">
      <formula1>"猫砂,猫粮,零食,消耗品,疫苗,常用药,治疗费,不常用药,运费,买猫,其它"</formula1>
    </dataValidation>
    <dataValidation type="list" allowBlank="1" showInputMessage="1" showErrorMessage="1" sqref="B31:B41" xr:uid="{051232FC-EC32-4F5A-8B47-919F95E9CFDC}">
      <formula1>"猫砂,猫粮,零食,药,日用品,买猫,其它"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C589-84C6-4714-97E6-261B8B62FA4E}">
  <dimension ref="A1:F42"/>
  <sheetViews>
    <sheetView workbookViewId="0">
      <selection activeCell="F22" sqref="F22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1162</v>
      </c>
      <c r="B2" s="18" t="s">
        <v>745</v>
      </c>
      <c r="C2" s="18">
        <v>24</v>
      </c>
      <c r="E2" s="13" t="s">
        <v>1</v>
      </c>
      <c r="F2" s="13">
        <f t="shared" ref="F2:F12" si="0">SUMIF(B:B,E2,C:C)</f>
        <v>2324</v>
      </c>
    </row>
    <row r="3" spans="1:6" ht="16.5" thickTop="1" thickBot="1">
      <c r="A3" s="18" t="s">
        <v>1261</v>
      </c>
      <c r="B3" s="18" t="s">
        <v>49</v>
      </c>
      <c r="C3" s="18">
        <v>82</v>
      </c>
      <c r="E3" s="13" t="s">
        <v>2</v>
      </c>
      <c r="F3" s="13">
        <f t="shared" si="0"/>
        <v>0</v>
      </c>
    </row>
    <row r="4" spans="1:6" ht="16.5" thickTop="1" thickBot="1">
      <c r="A4" s="18" t="s">
        <v>772</v>
      </c>
      <c r="B4" s="18" t="s">
        <v>743</v>
      </c>
      <c r="C4" s="18">
        <v>74</v>
      </c>
      <c r="E4" s="13" t="s">
        <v>3</v>
      </c>
      <c r="F4" s="13">
        <f t="shared" si="0"/>
        <v>0</v>
      </c>
    </row>
    <row r="5" spans="1:6" ht="16.5" thickTop="1" thickBot="1">
      <c r="A5" s="18" t="s">
        <v>374</v>
      </c>
      <c r="B5" s="18" t="s">
        <v>743</v>
      </c>
      <c r="C5" s="18">
        <v>22</v>
      </c>
      <c r="E5" s="13" t="s">
        <v>745</v>
      </c>
      <c r="F5" s="13">
        <f t="shared" si="0"/>
        <v>24</v>
      </c>
    </row>
    <row r="6" spans="1:6" ht="16.5" thickTop="1" thickBot="1">
      <c r="A6" s="18" t="s">
        <v>489</v>
      </c>
      <c r="B6" s="18" t="s">
        <v>45</v>
      </c>
      <c r="C6" s="18">
        <v>2280</v>
      </c>
      <c r="E6" s="13" t="s">
        <v>375</v>
      </c>
      <c r="F6" s="13">
        <f t="shared" si="0"/>
        <v>0</v>
      </c>
    </row>
    <row r="7" spans="1:6" ht="16.5" thickTop="1" thickBot="1">
      <c r="A7" s="18" t="s">
        <v>1276</v>
      </c>
      <c r="B7" s="18" t="s">
        <v>45</v>
      </c>
      <c r="C7" s="18">
        <v>44</v>
      </c>
      <c r="E7" s="13" t="s">
        <v>743</v>
      </c>
      <c r="F7" s="13">
        <f t="shared" si="0"/>
        <v>96</v>
      </c>
    </row>
    <row r="8" spans="1:6" ht="16.5" thickTop="1" thickBot="1">
      <c r="A8" s="18"/>
      <c r="B8" s="18"/>
      <c r="C8" s="18"/>
      <c r="E8" s="13" t="s">
        <v>746</v>
      </c>
      <c r="F8" s="13">
        <f t="shared" si="0"/>
        <v>0</v>
      </c>
    </row>
    <row r="9" spans="1:6" ht="16.5" thickTop="1" thickBot="1">
      <c r="A9" s="18"/>
      <c r="B9" s="18"/>
      <c r="C9" s="18"/>
      <c r="E9" s="13" t="s">
        <v>744</v>
      </c>
      <c r="F9" s="13">
        <f t="shared" si="0"/>
        <v>0</v>
      </c>
    </row>
    <row r="10" spans="1:6" ht="16.5" thickTop="1" thickBot="1">
      <c r="A10" s="18"/>
      <c r="B10" s="18"/>
      <c r="C10" s="18"/>
      <c r="E10" s="13" t="s">
        <v>444</v>
      </c>
      <c r="F10" s="13">
        <f t="shared" si="0"/>
        <v>0</v>
      </c>
    </row>
    <row r="11" spans="1:6" ht="16.5" thickTop="1" thickBot="1">
      <c r="A11" s="18"/>
      <c r="B11" s="18"/>
      <c r="C11" s="18"/>
      <c r="E11" s="13" t="s">
        <v>48</v>
      </c>
      <c r="F11" s="13">
        <f t="shared" si="0"/>
        <v>0</v>
      </c>
    </row>
    <row r="12" spans="1:6" ht="16.5" thickTop="1" thickBot="1">
      <c r="A12" s="18"/>
      <c r="B12" s="18"/>
      <c r="C12" s="18"/>
      <c r="E12" s="13" t="s">
        <v>49</v>
      </c>
      <c r="F12" s="13">
        <f t="shared" si="0"/>
        <v>82</v>
      </c>
    </row>
    <row r="13" spans="1:6" ht="16.5" thickTop="1" thickBot="1">
      <c r="A13" s="18"/>
      <c r="B13" s="18"/>
      <c r="C13" s="18"/>
      <c r="E13" s="13" t="s">
        <v>408</v>
      </c>
      <c r="F13" s="13">
        <f>SUM(F2:F12)</f>
        <v>2526</v>
      </c>
    </row>
    <row r="14" spans="1:6" ht="16.5" thickTop="1" thickBot="1">
      <c r="A14" s="18"/>
      <c r="B14" s="18"/>
      <c r="C14" s="18"/>
      <c r="E14" s="4"/>
      <c r="F14" s="4"/>
    </row>
    <row r="15" spans="1:6" ht="16.5" thickTop="1" thickBot="1">
      <c r="A15" s="18"/>
      <c r="B15" s="18"/>
      <c r="C15" s="18"/>
    </row>
    <row r="16" spans="1:6" ht="16.5" thickTop="1" thickBot="1">
      <c r="A16" s="18"/>
      <c r="B16" s="18"/>
      <c r="C16" s="18"/>
    </row>
    <row r="17" spans="1:3" ht="16.5" thickTop="1" thickBot="1">
      <c r="A17" s="18"/>
      <c r="B17" s="18"/>
      <c r="C17" s="18"/>
    </row>
    <row r="18" spans="1:3" ht="16.5" thickTop="1" thickBot="1">
      <c r="A18" s="18"/>
      <c r="B18" s="18"/>
      <c r="C18" s="18"/>
    </row>
    <row r="19" spans="1:3" ht="16.5" thickTop="1" thickBot="1">
      <c r="A19" s="18"/>
      <c r="B19" s="18"/>
      <c r="C19" s="18"/>
    </row>
    <row r="20" spans="1:3" ht="16.5" thickTop="1" thickBot="1">
      <c r="A20" s="18"/>
      <c r="B20" s="18"/>
      <c r="C20" s="18"/>
    </row>
    <row r="21" spans="1:3" ht="16.5" thickTop="1" thickBot="1">
      <c r="A21" s="18"/>
      <c r="B21" s="18"/>
      <c r="C21" s="18"/>
    </row>
    <row r="22" spans="1:3" ht="16.5" thickTop="1" thickBot="1">
      <c r="A22" s="18"/>
      <c r="B22" s="18"/>
      <c r="C22" s="18"/>
    </row>
    <row r="23" spans="1:3" ht="16.5" thickTop="1" thickBot="1">
      <c r="A23" s="18"/>
      <c r="B23" s="18"/>
      <c r="C23" s="18"/>
    </row>
    <row r="24" spans="1:3" ht="16.5" thickTop="1" thickBot="1">
      <c r="A24" s="18"/>
      <c r="B24" s="18"/>
      <c r="C24" s="18"/>
    </row>
    <row r="25" spans="1:3" ht="16.5" thickTop="1" thickBot="1">
      <c r="A25" s="18"/>
      <c r="B25" s="18"/>
      <c r="C25" s="18"/>
    </row>
    <row r="26" spans="1:3" ht="16.5" thickTop="1" thickBot="1">
      <c r="A26" s="18"/>
      <c r="B26" s="18"/>
      <c r="C26" s="18"/>
    </row>
    <row r="27" spans="1:3" ht="16.5" thickTop="1" thickBot="1">
      <c r="A27" s="18"/>
      <c r="B27" s="18"/>
      <c r="C27" s="18"/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31:B41" xr:uid="{316E2C00-7A55-43AC-83FA-BE91034D25E7}">
      <formula1>"猫砂,猫粮,零食,药,日用品,买猫,其它"</formula1>
    </dataValidation>
    <dataValidation type="list" allowBlank="1" showInputMessage="1" showErrorMessage="1" sqref="B2:B30" xr:uid="{40D1D084-77C1-4DFF-8A51-B4F20F707881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73CED-3430-49CC-B259-3C3138BF30FF}">
  <dimension ref="A1:F42"/>
  <sheetViews>
    <sheetView workbookViewId="0">
      <selection activeCell="D20" sqref="D20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1260</v>
      </c>
      <c r="B2" s="18" t="s">
        <v>49</v>
      </c>
      <c r="C2" s="18">
        <v>24</v>
      </c>
      <c r="E2" s="13" t="s">
        <v>1</v>
      </c>
      <c r="F2" s="13">
        <f t="shared" ref="F2:F12" si="0">SUMIF(B:B,E2,C:C)</f>
        <v>0</v>
      </c>
    </row>
    <row r="3" spans="1:6" ht="16.5" thickTop="1" thickBot="1">
      <c r="A3" s="18" t="s">
        <v>421</v>
      </c>
      <c r="B3" s="18" t="s">
        <v>745</v>
      </c>
      <c r="C3" s="18">
        <v>60</v>
      </c>
      <c r="E3" s="13" t="s">
        <v>2</v>
      </c>
      <c r="F3" s="13">
        <f t="shared" si="0"/>
        <v>1020</v>
      </c>
    </row>
    <row r="4" spans="1:6" ht="16.5" thickTop="1" thickBot="1">
      <c r="A4" s="18" t="s">
        <v>413</v>
      </c>
      <c r="B4" s="18" t="s">
        <v>745</v>
      </c>
      <c r="C4" s="18">
        <v>159</v>
      </c>
      <c r="E4" s="13" t="s">
        <v>3</v>
      </c>
      <c r="F4" s="13">
        <f t="shared" si="0"/>
        <v>417</v>
      </c>
    </row>
    <row r="5" spans="1:6" ht="16.5" thickTop="1" thickBot="1">
      <c r="A5" s="18" t="s">
        <v>1262</v>
      </c>
      <c r="B5" s="18" t="s">
        <v>743</v>
      </c>
      <c r="C5" s="18">
        <v>140</v>
      </c>
      <c r="E5" s="13" t="s">
        <v>745</v>
      </c>
      <c r="F5" s="13">
        <f t="shared" si="0"/>
        <v>253</v>
      </c>
    </row>
    <row r="6" spans="1:6" ht="16.5" thickTop="1" thickBot="1">
      <c r="A6" s="18" t="s">
        <v>1263</v>
      </c>
      <c r="B6" s="18" t="s">
        <v>743</v>
      </c>
      <c r="C6" s="18">
        <v>80</v>
      </c>
      <c r="E6" s="13" t="s">
        <v>375</v>
      </c>
      <c r="F6" s="13">
        <f t="shared" si="0"/>
        <v>1458</v>
      </c>
    </row>
    <row r="7" spans="1:6" ht="16.5" thickTop="1" thickBot="1">
      <c r="A7" s="18" t="s">
        <v>1264</v>
      </c>
      <c r="B7" s="18" t="s">
        <v>745</v>
      </c>
      <c r="C7" s="18">
        <v>34</v>
      </c>
      <c r="E7" s="13" t="s">
        <v>743</v>
      </c>
      <c r="F7" s="13">
        <f t="shared" si="0"/>
        <v>640</v>
      </c>
    </row>
    <row r="8" spans="1:6" ht="16.5" thickTop="1" thickBot="1">
      <c r="A8" s="18" t="s">
        <v>327</v>
      </c>
      <c r="B8" s="18" t="s">
        <v>47</v>
      </c>
      <c r="C8" s="18">
        <v>28</v>
      </c>
      <c r="E8" s="13" t="s">
        <v>746</v>
      </c>
      <c r="F8" s="13">
        <f t="shared" si="0"/>
        <v>0</v>
      </c>
    </row>
    <row r="9" spans="1:6" ht="16.5" thickTop="1" thickBot="1">
      <c r="A9" s="18" t="s">
        <v>1265</v>
      </c>
      <c r="B9" s="18" t="s">
        <v>49</v>
      </c>
      <c r="C9" s="18">
        <v>30</v>
      </c>
      <c r="E9" s="13" t="s">
        <v>744</v>
      </c>
      <c r="F9" s="13">
        <f t="shared" si="0"/>
        <v>36</v>
      </c>
    </row>
    <row r="10" spans="1:6" ht="16.5" thickTop="1" thickBot="1">
      <c r="A10" s="18" t="s">
        <v>46</v>
      </c>
      <c r="B10" s="18" t="s">
        <v>46</v>
      </c>
      <c r="C10" s="18">
        <v>1020</v>
      </c>
      <c r="E10" s="13" t="s">
        <v>444</v>
      </c>
      <c r="F10" s="13">
        <f t="shared" si="0"/>
        <v>0</v>
      </c>
    </row>
    <row r="11" spans="1:6" ht="16.5" thickTop="1" thickBot="1">
      <c r="A11" s="18" t="s">
        <v>482</v>
      </c>
      <c r="B11" s="18" t="s">
        <v>47</v>
      </c>
      <c r="C11" s="18">
        <v>209</v>
      </c>
      <c r="E11" s="13" t="s">
        <v>48</v>
      </c>
      <c r="F11" s="13">
        <f t="shared" si="0"/>
        <v>0</v>
      </c>
    </row>
    <row r="12" spans="1:6" ht="16.5" thickTop="1" thickBot="1">
      <c r="A12" s="18" t="s">
        <v>495</v>
      </c>
      <c r="B12" s="18" t="s">
        <v>743</v>
      </c>
      <c r="C12" s="18">
        <v>140</v>
      </c>
      <c r="E12" s="13" t="s">
        <v>49</v>
      </c>
      <c r="F12" s="13">
        <f t="shared" si="0"/>
        <v>54</v>
      </c>
    </row>
    <row r="13" spans="1:6" ht="16.5" thickTop="1" thickBot="1">
      <c r="A13" s="18" t="s">
        <v>375</v>
      </c>
      <c r="B13" s="18" t="s">
        <v>375</v>
      </c>
      <c r="C13" s="18">
        <v>1458</v>
      </c>
      <c r="E13" s="13" t="s">
        <v>408</v>
      </c>
      <c r="F13" s="13">
        <f>SUM(F2:F12)</f>
        <v>3878</v>
      </c>
    </row>
    <row r="14" spans="1:6" ht="16.5" thickTop="1" thickBot="1">
      <c r="A14" s="18" t="s">
        <v>495</v>
      </c>
      <c r="B14" s="18" t="s">
        <v>743</v>
      </c>
      <c r="C14" s="18">
        <v>280</v>
      </c>
      <c r="E14" s="4"/>
      <c r="F14" s="4"/>
    </row>
    <row r="15" spans="1:6" ht="16.5" thickTop="1" thickBot="1">
      <c r="A15" s="18" t="s">
        <v>1266</v>
      </c>
      <c r="B15" s="18" t="s">
        <v>744</v>
      </c>
      <c r="C15" s="18">
        <v>36</v>
      </c>
    </row>
    <row r="16" spans="1:6" ht="16.5" thickTop="1" thickBot="1">
      <c r="A16" s="18" t="s">
        <v>1267</v>
      </c>
      <c r="B16" s="18" t="s">
        <v>47</v>
      </c>
      <c r="C16" s="18">
        <v>180</v>
      </c>
    </row>
    <row r="17" spans="1:3" ht="16.5" thickTop="1" thickBot="1">
      <c r="A17" s="18"/>
      <c r="B17" s="18"/>
      <c r="C17" s="18"/>
    </row>
    <row r="18" spans="1:3" ht="16.5" thickTop="1" thickBot="1">
      <c r="A18" s="18"/>
      <c r="B18" s="18"/>
      <c r="C18" s="18"/>
    </row>
    <row r="19" spans="1:3" ht="16.5" thickTop="1" thickBot="1">
      <c r="A19" s="18"/>
      <c r="B19" s="18"/>
      <c r="C19" s="18"/>
    </row>
    <row r="20" spans="1:3" ht="16.5" thickTop="1" thickBot="1">
      <c r="A20" s="18"/>
      <c r="B20" s="18"/>
      <c r="C20" s="18"/>
    </row>
    <row r="21" spans="1:3" ht="16.5" thickTop="1" thickBot="1">
      <c r="A21" s="18"/>
      <c r="B21" s="18"/>
      <c r="C21" s="18"/>
    </row>
    <row r="22" spans="1:3" ht="16.5" thickTop="1" thickBot="1">
      <c r="A22" s="18"/>
      <c r="B22" s="18"/>
      <c r="C22" s="18"/>
    </row>
    <row r="23" spans="1:3" ht="16.5" thickTop="1" thickBot="1">
      <c r="A23" s="18"/>
      <c r="B23" s="18"/>
      <c r="C23" s="18"/>
    </row>
    <row r="24" spans="1:3" ht="16.5" thickTop="1" thickBot="1">
      <c r="A24" s="18"/>
      <c r="B24" s="18"/>
      <c r="C24" s="18"/>
    </row>
    <row r="25" spans="1:3" ht="16.5" thickTop="1" thickBot="1">
      <c r="A25" s="18"/>
      <c r="B25" s="18"/>
      <c r="C25" s="18"/>
    </row>
    <row r="26" spans="1:3" ht="16.5" thickTop="1" thickBot="1">
      <c r="A26" s="18"/>
      <c r="B26" s="18"/>
      <c r="C26" s="18"/>
    </row>
    <row r="27" spans="1:3" ht="16.5" thickTop="1" thickBot="1">
      <c r="A27" s="18"/>
      <c r="B27" s="18"/>
      <c r="C27" s="18"/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2:B30" xr:uid="{066F0EEF-BE8B-444A-BDE6-31CB6689AD2F}">
      <formula1>"猫砂,猫粮,零食,消耗品,疫苗,常用药,治疗费,不常用药,运费,买猫,其它"</formula1>
    </dataValidation>
    <dataValidation type="list" allowBlank="1" showInputMessage="1" showErrorMessage="1" sqref="B31:B41" xr:uid="{360BA7EC-0328-4855-961B-BAEC4F0097C5}">
      <formula1>"猫砂,猫粮,零食,药,日用品,买猫,其它"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2537-9A75-43EF-84A1-073B0BBBDA18}">
  <dimension ref="A1:F42"/>
  <sheetViews>
    <sheetView workbookViewId="0">
      <selection activeCell="G21" sqref="G21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482</v>
      </c>
      <c r="B2" s="18" t="s">
        <v>47</v>
      </c>
      <c r="C2" s="18">
        <v>209</v>
      </c>
      <c r="E2" s="13" t="s">
        <v>1</v>
      </c>
      <c r="F2" s="13">
        <f t="shared" ref="F2:F12" si="0">SUMIF(B:B,E2,C:C)</f>
        <v>82</v>
      </c>
    </row>
    <row r="3" spans="1:6" ht="16.5" thickTop="1" thickBot="1">
      <c r="A3" s="18" t="s">
        <v>46</v>
      </c>
      <c r="B3" s="18" t="s">
        <v>745</v>
      </c>
      <c r="C3" s="18">
        <v>50</v>
      </c>
      <c r="E3" s="13" t="s">
        <v>2</v>
      </c>
      <c r="F3" s="13">
        <f t="shared" si="0"/>
        <v>0</v>
      </c>
    </row>
    <row r="4" spans="1:6" ht="16.5" thickTop="1" thickBot="1">
      <c r="A4" s="18" t="s">
        <v>1238</v>
      </c>
      <c r="B4" s="18" t="s">
        <v>49</v>
      </c>
      <c r="C4" s="18">
        <v>100</v>
      </c>
      <c r="E4" s="13" t="s">
        <v>3</v>
      </c>
      <c r="F4" s="13">
        <f t="shared" si="0"/>
        <v>251</v>
      </c>
    </row>
    <row r="5" spans="1:6" ht="16.5" thickTop="1" thickBot="1">
      <c r="A5" s="18" t="s">
        <v>482</v>
      </c>
      <c r="B5" s="18" t="s">
        <v>47</v>
      </c>
      <c r="C5" s="18">
        <v>42</v>
      </c>
      <c r="E5" s="13" t="s">
        <v>745</v>
      </c>
      <c r="F5" s="13">
        <f t="shared" si="0"/>
        <v>50</v>
      </c>
    </row>
    <row r="6" spans="1:6" ht="16.5" thickTop="1" thickBot="1">
      <c r="A6" s="18" t="s">
        <v>381</v>
      </c>
      <c r="B6" s="18" t="s">
        <v>444</v>
      </c>
      <c r="C6" s="18">
        <v>22</v>
      </c>
      <c r="E6" s="13" t="s">
        <v>375</v>
      </c>
      <c r="F6" s="13">
        <f t="shared" si="0"/>
        <v>0</v>
      </c>
    </row>
    <row r="7" spans="1:6" ht="16.5" thickTop="1" thickBot="1">
      <c r="A7" s="18" t="s">
        <v>45</v>
      </c>
      <c r="B7" s="18" t="s">
        <v>45</v>
      </c>
      <c r="C7" s="18">
        <v>82</v>
      </c>
      <c r="E7" s="13" t="s">
        <v>743</v>
      </c>
      <c r="F7" s="13">
        <f t="shared" si="0"/>
        <v>0</v>
      </c>
    </row>
    <row r="8" spans="1:6" ht="16.5" thickTop="1" thickBot="1">
      <c r="A8" s="18" t="s">
        <v>1239</v>
      </c>
      <c r="B8" s="18" t="s">
        <v>746</v>
      </c>
      <c r="C8" s="18">
        <v>600</v>
      </c>
      <c r="E8" s="13" t="s">
        <v>746</v>
      </c>
      <c r="F8" s="13">
        <f t="shared" si="0"/>
        <v>600</v>
      </c>
    </row>
    <row r="9" spans="1:6" ht="16.5" thickTop="1" thickBot="1">
      <c r="A9" s="18"/>
      <c r="B9" s="18"/>
      <c r="C9" s="18"/>
      <c r="E9" s="13" t="s">
        <v>744</v>
      </c>
      <c r="F9" s="13">
        <f t="shared" si="0"/>
        <v>0</v>
      </c>
    </row>
    <row r="10" spans="1:6" ht="16.5" thickTop="1" thickBot="1">
      <c r="A10" s="18"/>
      <c r="B10" s="18"/>
      <c r="C10" s="18"/>
      <c r="E10" s="13" t="s">
        <v>444</v>
      </c>
      <c r="F10" s="13">
        <f t="shared" si="0"/>
        <v>22</v>
      </c>
    </row>
    <row r="11" spans="1:6" ht="16.5" thickTop="1" thickBot="1">
      <c r="A11" s="18"/>
      <c r="B11" s="18"/>
      <c r="C11" s="18"/>
      <c r="E11" s="13" t="s">
        <v>48</v>
      </c>
      <c r="F11" s="13">
        <f t="shared" si="0"/>
        <v>0</v>
      </c>
    </row>
    <row r="12" spans="1:6" ht="16.5" thickTop="1" thickBot="1">
      <c r="A12" s="18"/>
      <c r="B12" s="18"/>
      <c r="C12" s="18"/>
      <c r="E12" s="13" t="s">
        <v>49</v>
      </c>
      <c r="F12" s="13">
        <f t="shared" si="0"/>
        <v>100</v>
      </c>
    </row>
    <row r="13" spans="1:6" ht="16.5" thickTop="1" thickBot="1">
      <c r="A13" s="18"/>
      <c r="B13" s="18"/>
      <c r="C13" s="18"/>
      <c r="E13" s="13" t="s">
        <v>408</v>
      </c>
      <c r="F13" s="13">
        <f>SUM(F2:F12)</f>
        <v>1105</v>
      </c>
    </row>
    <row r="14" spans="1:6" ht="16.5" thickTop="1" thickBot="1">
      <c r="A14" s="18"/>
      <c r="B14" s="18"/>
      <c r="C14" s="18"/>
      <c r="E14" s="4"/>
      <c r="F14" s="4"/>
    </row>
    <row r="15" spans="1:6" ht="16.5" thickTop="1" thickBot="1">
      <c r="A15" s="18"/>
      <c r="B15" s="18"/>
      <c r="C15" s="18"/>
    </row>
    <row r="16" spans="1:6" ht="16.5" thickTop="1" thickBot="1">
      <c r="A16" s="18"/>
      <c r="B16" s="18"/>
      <c r="C16" s="18"/>
    </row>
    <row r="17" spans="1:6" ht="16.5" thickTop="1" thickBot="1">
      <c r="A17" s="18"/>
      <c r="B17" s="18"/>
      <c r="C17" s="18"/>
    </row>
    <row r="18" spans="1:6" ht="16.5" thickTop="1" thickBot="1">
      <c r="A18" s="18"/>
      <c r="B18" s="18"/>
      <c r="C18" s="18"/>
    </row>
    <row r="19" spans="1:6" ht="16.5" thickTop="1" thickBot="1">
      <c r="A19" s="18"/>
      <c r="B19" s="18"/>
      <c r="C19" s="18"/>
    </row>
    <row r="20" spans="1:6" ht="16.5" thickTop="1" thickBot="1">
      <c r="A20" s="18"/>
      <c r="B20" s="18"/>
      <c r="C20" s="18"/>
    </row>
    <row r="21" spans="1:6" ht="16.5" thickTop="1" thickBot="1">
      <c r="A21" s="18"/>
      <c r="B21" s="18"/>
      <c r="C21" s="18"/>
    </row>
    <row r="22" spans="1:6" ht="16.5" thickTop="1" thickBot="1">
      <c r="A22" s="18"/>
      <c r="B22" s="18"/>
      <c r="C22" s="18"/>
    </row>
    <row r="23" spans="1:6" ht="16.5" thickTop="1" thickBot="1">
      <c r="A23" s="18"/>
      <c r="B23" s="18"/>
      <c r="C23" s="18"/>
    </row>
    <row r="24" spans="1:6" ht="16.5" thickTop="1" thickBot="1">
      <c r="A24" s="18"/>
      <c r="B24" s="18"/>
      <c r="C24" s="18"/>
    </row>
    <row r="25" spans="1:6" ht="16.5" thickTop="1" thickBot="1">
      <c r="A25" s="18"/>
      <c r="B25" s="18"/>
      <c r="C25" s="18"/>
    </row>
    <row r="26" spans="1:6" ht="16.5" thickTop="1" thickBot="1">
      <c r="A26" s="18"/>
      <c r="B26" s="18"/>
      <c r="C26" s="18"/>
      <c r="F26" s="4"/>
    </row>
    <row r="27" spans="1:6" ht="16.5" thickTop="1" thickBot="1">
      <c r="A27" s="18"/>
      <c r="B27" s="18"/>
      <c r="C27" s="18"/>
    </row>
    <row r="28" spans="1:6" ht="16.5" thickTop="1" thickBot="1">
      <c r="A28" s="18"/>
      <c r="B28" s="18"/>
      <c r="C28" s="18"/>
    </row>
    <row r="29" spans="1:6" ht="16.5" thickTop="1" thickBot="1">
      <c r="A29" s="18"/>
      <c r="B29" s="18"/>
      <c r="C29" s="18"/>
    </row>
    <row r="30" spans="1:6" ht="16.5" thickTop="1" thickBot="1">
      <c r="A30" s="18"/>
      <c r="B30" s="18"/>
      <c r="C30" s="18"/>
    </row>
    <row r="31" spans="1:6" ht="16.5" thickTop="1" thickBot="1">
      <c r="A31" s="18"/>
      <c r="B31" s="18"/>
      <c r="C31" s="18"/>
    </row>
    <row r="32" spans="1:6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31:B41" xr:uid="{778F64A4-2657-4400-A76C-7D018596B28A}">
      <formula1>"猫砂,猫粮,零食,药,日用品,买猫,其它"</formula1>
    </dataValidation>
    <dataValidation type="list" allowBlank="1" showInputMessage="1" showErrorMessage="1" sqref="B2:B30" xr:uid="{1299014B-1661-4297-BCF1-E34BF3593A5F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FD0F-9888-46CC-A80A-3C080A1A65B0}">
  <dimension ref="A1:F42"/>
  <sheetViews>
    <sheetView workbookViewId="0">
      <selection activeCell="E23" sqref="E23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325</v>
      </c>
      <c r="B2" s="18" t="s">
        <v>444</v>
      </c>
      <c r="C2" s="18">
        <v>34</v>
      </c>
      <c r="E2" s="13" t="s">
        <v>1</v>
      </c>
      <c r="F2" s="13">
        <f t="shared" ref="F2:F12" si="0">SUMIF(B:B,E2,C:C)</f>
        <v>0</v>
      </c>
    </row>
    <row r="3" spans="1:6" ht="16.5" thickTop="1" thickBot="1">
      <c r="A3" s="18" t="s">
        <v>579</v>
      </c>
      <c r="B3" s="18" t="s">
        <v>743</v>
      </c>
      <c r="C3" s="18">
        <v>62</v>
      </c>
      <c r="E3" s="13" t="s">
        <v>2</v>
      </c>
      <c r="F3" s="13">
        <f t="shared" si="0"/>
        <v>0</v>
      </c>
    </row>
    <row r="4" spans="1:6" ht="16.5" thickTop="1" thickBot="1">
      <c r="A4" s="18" t="s">
        <v>1219</v>
      </c>
      <c r="B4" s="18" t="s">
        <v>49</v>
      </c>
      <c r="C4" s="18">
        <v>18</v>
      </c>
      <c r="E4" s="13" t="s">
        <v>3</v>
      </c>
      <c r="F4" s="13">
        <f t="shared" si="0"/>
        <v>298</v>
      </c>
    </row>
    <row r="5" spans="1:6" ht="16.5" thickTop="1" thickBot="1">
      <c r="A5" s="18" t="s">
        <v>1224</v>
      </c>
      <c r="B5" s="18" t="s">
        <v>49</v>
      </c>
      <c r="C5" s="18">
        <v>24</v>
      </c>
      <c r="E5" s="13" t="s">
        <v>745</v>
      </c>
      <c r="F5" s="13">
        <f t="shared" si="0"/>
        <v>271</v>
      </c>
    </row>
    <row r="6" spans="1:6" ht="16.5" thickTop="1" thickBot="1">
      <c r="A6" s="18" t="s">
        <v>1158</v>
      </c>
      <c r="B6" s="18" t="s">
        <v>47</v>
      </c>
      <c r="C6" s="18">
        <v>98</v>
      </c>
      <c r="E6" s="13" t="s">
        <v>375</v>
      </c>
      <c r="F6" s="13">
        <f t="shared" si="0"/>
        <v>0</v>
      </c>
    </row>
    <row r="7" spans="1:6" ht="16.5" thickTop="1" thickBot="1">
      <c r="A7" s="18" t="s">
        <v>482</v>
      </c>
      <c r="B7" s="18" t="s">
        <v>47</v>
      </c>
      <c r="C7" s="18">
        <v>200</v>
      </c>
      <c r="E7" s="13" t="s">
        <v>743</v>
      </c>
      <c r="F7" s="13">
        <f t="shared" si="0"/>
        <v>112</v>
      </c>
    </row>
    <row r="8" spans="1:6" ht="16.5" thickTop="1" thickBot="1">
      <c r="A8" s="18" t="s">
        <v>333</v>
      </c>
      <c r="B8" s="18" t="s">
        <v>745</v>
      </c>
      <c r="C8" s="18">
        <v>129</v>
      </c>
      <c r="E8" s="13" t="s">
        <v>746</v>
      </c>
      <c r="F8" s="13">
        <f t="shared" si="0"/>
        <v>2360</v>
      </c>
    </row>
    <row r="9" spans="1:6" ht="16.5" thickTop="1" thickBot="1">
      <c r="A9" s="18" t="s">
        <v>913</v>
      </c>
      <c r="B9" s="18" t="s">
        <v>745</v>
      </c>
      <c r="C9" s="18">
        <v>142</v>
      </c>
      <c r="E9" s="13" t="s">
        <v>744</v>
      </c>
      <c r="F9" s="13">
        <f t="shared" si="0"/>
        <v>0</v>
      </c>
    </row>
    <row r="10" spans="1:6" ht="16.5" thickTop="1" thickBot="1">
      <c r="A10" s="18" t="s">
        <v>1225</v>
      </c>
      <c r="B10" s="18" t="s">
        <v>746</v>
      </c>
      <c r="C10" s="18">
        <v>2360</v>
      </c>
      <c r="E10" s="13" t="s">
        <v>444</v>
      </c>
      <c r="F10" s="13">
        <f t="shared" si="0"/>
        <v>114</v>
      </c>
    </row>
    <row r="11" spans="1:6" ht="16.5" thickTop="1" thickBot="1">
      <c r="A11" s="18" t="s">
        <v>1226</v>
      </c>
      <c r="B11" s="18" t="s">
        <v>444</v>
      </c>
      <c r="C11" s="18">
        <v>80</v>
      </c>
      <c r="E11" s="13" t="s">
        <v>48</v>
      </c>
      <c r="F11" s="13">
        <f t="shared" si="0"/>
        <v>0</v>
      </c>
    </row>
    <row r="12" spans="1:6" ht="16.5" thickTop="1" thickBot="1">
      <c r="A12" s="18" t="s">
        <v>1227</v>
      </c>
      <c r="B12" s="18" t="s">
        <v>743</v>
      </c>
      <c r="C12" s="18">
        <v>50</v>
      </c>
      <c r="E12" s="13" t="s">
        <v>49</v>
      </c>
      <c r="F12" s="13">
        <f t="shared" si="0"/>
        <v>92</v>
      </c>
    </row>
    <row r="13" spans="1:6" ht="16.5" thickTop="1" thickBot="1">
      <c r="A13" s="18" t="s">
        <v>961</v>
      </c>
      <c r="B13" s="18" t="s">
        <v>49</v>
      </c>
      <c r="C13" s="18">
        <v>50</v>
      </c>
      <c r="E13" s="13" t="s">
        <v>408</v>
      </c>
      <c r="F13" s="13">
        <f>SUM(F2:F12)</f>
        <v>3247</v>
      </c>
    </row>
    <row r="14" spans="1:6" ht="16.5" thickTop="1" thickBot="1">
      <c r="A14" s="18"/>
      <c r="B14" s="18"/>
      <c r="C14" s="18"/>
      <c r="E14" s="4"/>
      <c r="F14" s="4"/>
    </row>
    <row r="15" spans="1:6" ht="16.5" thickTop="1" thickBot="1">
      <c r="A15" s="18"/>
      <c r="B15" s="18"/>
      <c r="C15" s="18"/>
    </row>
    <row r="16" spans="1:6" ht="16.5" thickTop="1" thickBot="1">
      <c r="A16" s="18"/>
      <c r="B16" s="18"/>
      <c r="C16" s="18"/>
    </row>
    <row r="17" spans="1:3" ht="16.5" thickTop="1" thickBot="1">
      <c r="A17" s="18"/>
      <c r="B17" s="18"/>
      <c r="C17" s="18"/>
    </row>
    <row r="18" spans="1:3" ht="16.5" thickTop="1" thickBot="1">
      <c r="A18" s="18"/>
      <c r="B18" s="18"/>
      <c r="C18" s="18"/>
    </row>
    <row r="19" spans="1:3" ht="16.5" thickTop="1" thickBot="1">
      <c r="A19" s="18"/>
      <c r="B19" s="18"/>
      <c r="C19" s="18"/>
    </row>
    <row r="20" spans="1:3" ht="16.5" thickTop="1" thickBot="1">
      <c r="A20" s="18"/>
      <c r="B20" s="18"/>
      <c r="C20" s="18"/>
    </row>
    <row r="21" spans="1:3" ht="16.5" thickTop="1" thickBot="1">
      <c r="A21" s="18"/>
      <c r="B21" s="18"/>
      <c r="C21" s="18"/>
    </row>
    <row r="22" spans="1:3" ht="16.5" thickTop="1" thickBot="1">
      <c r="A22" s="18"/>
      <c r="B22" s="18"/>
      <c r="C22" s="18"/>
    </row>
    <row r="23" spans="1:3" ht="16.5" thickTop="1" thickBot="1">
      <c r="A23" s="18"/>
      <c r="B23" s="18"/>
      <c r="C23" s="18"/>
    </row>
    <row r="24" spans="1:3" ht="16.5" thickTop="1" thickBot="1">
      <c r="A24" s="18"/>
      <c r="B24" s="18"/>
      <c r="C24" s="18"/>
    </row>
    <row r="25" spans="1:3" ht="16.5" thickTop="1" thickBot="1">
      <c r="A25" s="18"/>
      <c r="B25" s="18"/>
      <c r="C25" s="18"/>
    </row>
    <row r="26" spans="1:3" ht="16.5" thickTop="1" thickBot="1">
      <c r="A26" s="18"/>
      <c r="B26" s="18"/>
      <c r="C26" s="18"/>
    </row>
    <row r="27" spans="1:3" ht="16.5" thickTop="1" thickBot="1">
      <c r="A27" s="18"/>
      <c r="B27" s="18"/>
      <c r="C27" s="18"/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31:B41" xr:uid="{89B90112-3667-495D-81D0-49659BD3FDB2}">
      <formula1>"猫砂,猫粮,零食,药,日用品,买猫,其它"</formula1>
    </dataValidation>
    <dataValidation type="list" allowBlank="1" showInputMessage="1" showErrorMessage="1" sqref="B2:B30" xr:uid="{B0231513-85ED-4223-898D-93BC2A37574B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4A15B-323D-49AB-AB37-0B1FBDDEEB77}">
  <dimension ref="A1:F42"/>
  <sheetViews>
    <sheetView workbookViewId="0">
      <selection activeCell="D43" sqref="D43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541</v>
      </c>
      <c r="B2" s="18" t="s">
        <v>745</v>
      </c>
      <c r="C2" s="18">
        <v>27</v>
      </c>
      <c r="E2" s="13" t="s">
        <v>1</v>
      </c>
      <c r="F2" s="13">
        <f t="shared" ref="F2:F12" si="0">SUMIF(B:B,E2,C:C)</f>
        <v>1572</v>
      </c>
    </row>
    <row r="3" spans="1:6" ht="16.5" thickTop="1" thickBot="1">
      <c r="A3" s="18" t="s">
        <v>1162</v>
      </c>
      <c r="B3" s="18" t="s">
        <v>745</v>
      </c>
      <c r="C3" s="18">
        <v>11</v>
      </c>
      <c r="E3" s="13" t="s">
        <v>2</v>
      </c>
      <c r="F3" s="13">
        <f t="shared" si="0"/>
        <v>0</v>
      </c>
    </row>
    <row r="4" spans="1:6" ht="16.5" thickTop="1" thickBot="1">
      <c r="A4" s="18" t="s">
        <v>543</v>
      </c>
      <c r="B4" s="18" t="s">
        <v>745</v>
      </c>
      <c r="C4" s="18">
        <v>11</v>
      </c>
      <c r="E4" s="13" t="s">
        <v>3</v>
      </c>
      <c r="F4" s="13">
        <f t="shared" si="0"/>
        <v>216</v>
      </c>
    </row>
    <row r="5" spans="1:6" ht="16.5" thickTop="1" thickBot="1">
      <c r="A5" s="18" t="s">
        <v>413</v>
      </c>
      <c r="B5" s="18" t="s">
        <v>745</v>
      </c>
      <c r="C5" s="18">
        <v>159</v>
      </c>
      <c r="E5" s="13" t="s">
        <v>745</v>
      </c>
      <c r="F5" s="13">
        <f t="shared" si="0"/>
        <v>602</v>
      </c>
    </row>
    <row r="6" spans="1:6" ht="16.5" thickTop="1" thickBot="1">
      <c r="A6" s="18" t="s">
        <v>1078</v>
      </c>
      <c r="B6" s="18" t="s">
        <v>743</v>
      </c>
      <c r="C6" s="18">
        <v>91</v>
      </c>
      <c r="E6" s="13" t="s">
        <v>375</v>
      </c>
      <c r="F6" s="13">
        <f t="shared" si="0"/>
        <v>0</v>
      </c>
    </row>
    <row r="7" spans="1:6" ht="16.5" thickTop="1" thickBot="1">
      <c r="A7" s="18" t="s">
        <v>325</v>
      </c>
      <c r="B7" s="18" t="s">
        <v>444</v>
      </c>
      <c r="C7" s="18">
        <v>100</v>
      </c>
      <c r="E7" s="13" t="s">
        <v>743</v>
      </c>
      <c r="F7" s="13">
        <f t="shared" si="0"/>
        <v>661</v>
      </c>
    </row>
    <row r="8" spans="1:6" ht="16.5" thickTop="1" thickBot="1">
      <c r="A8" s="18" t="s">
        <v>772</v>
      </c>
      <c r="B8" s="18" t="s">
        <v>743</v>
      </c>
      <c r="C8" s="18">
        <v>191</v>
      </c>
      <c r="E8" s="13" t="s">
        <v>746</v>
      </c>
      <c r="F8" s="13">
        <f t="shared" si="0"/>
        <v>500</v>
      </c>
    </row>
    <row r="9" spans="1:6" ht="16.5" thickTop="1" thickBot="1">
      <c r="A9" s="18" t="s">
        <v>413</v>
      </c>
      <c r="B9" s="18" t="s">
        <v>745</v>
      </c>
      <c r="C9" s="18">
        <v>60</v>
      </c>
      <c r="E9" s="13" t="s">
        <v>744</v>
      </c>
      <c r="F9" s="13">
        <f t="shared" si="0"/>
        <v>0</v>
      </c>
    </row>
    <row r="10" spans="1:6" ht="16.5" thickTop="1" thickBot="1">
      <c r="A10" s="18" t="s">
        <v>50</v>
      </c>
      <c r="B10" s="18" t="s">
        <v>743</v>
      </c>
      <c r="C10" s="18">
        <v>66</v>
      </c>
      <c r="E10" s="13" t="s">
        <v>444</v>
      </c>
      <c r="F10" s="13">
        <f t="shared" si="0"/>
        <v>129</v>
      </c>
    </row>
    <row r="11" spans="1:6" ht="16.5" thickTop="1" thickBot="1">
      <c r="A11" s="18" t="s">
        <v>45</v>
      </c>
      <c r="B11" s="18" t="s">
        <v>45</v>
      </c>
      <c r="C11" s="18">
        <v>409</v>
      </c>
      <c r="E11" s="13" t="s">
        <v>48</v>
      </c>
      <c r="F11" s="13">
        <f t="shared" si="0"/>
        <v>0</v>
      </c>
    </row>
    <row r="12" spans="1:6" ht="16.5" thickTop="1" thickBot="1">
      <c r="A12" s="18" t="s">
        <v>45</v>
      </c>
      <c r="B12" s="18" t="s">
        <v>45</v>
      </c>
      <c r="C12" s="18">
        <v>575</v>
      </c>
      <c r="E12" s="13" t="s">
        <v>49</v>
      </c>
      <c r="F12" s="13">
        <f t="shared" si="0"/>
        <v>2068</v>
      </c>
    </row>
    <row r="13" spans="1:6" ht="16.5" thickTop="1" thickBot="1">
      <c r="A13" s="18" t="s">
        <v>45</v>
      </c>
      <c r="B13" s="18" t="s">
        <v>45</v>
      </c>
      <c r="C13" s="18">
        <v>386</v>
      </c>
      <c r="E13" s="13" t="s">
        <v>408</v>
      </c>
      <c r="F13" s="13">
        <f>SUM(F2:F12)</f>
        <v>5748</v>
      </c>
    </row>
    <row r="14" spans="1:6" ht="16.5" thickTop="1" thickBot="1">
      <c r="A14" s="18" t="s">
        <v>656</v>
      </c>
      <c r="B14" s="18" t="s">
        <v>745</v>
      </c>
      <c r="C14" s="18">
        <v>102</v>
      </c>
      <c r="E14" s="4"/>
      <c r="F14" s="4"/>
    </row>
    <row r="15" spans="1:6" ht="16.5" thickTop="1" thickBot="1">
      <c r="A15" s="18" t="s">
        <v>333</v>
      </c>
      <c r="B15" s="18" t="s">
        <v>745</v>
      </c>
      <c r="C15" s="18">
        <v>155</v>
      </c>
    </row>
    <row r="16" spans="1:6" ht="16.5" thickTop="1" thickBot="1">
      <c r="A16" s="18" t="s">
        <v>933</v>
      </c>
      <c r="B16" s="18" t="s">
        <v>745</v>
      </c>
      <c r="C16" s="18">
        <v>77</v>
      </c>
    </row>
    <row r="17" spans="1:3" ht="16.5" thickTop="1" thickBot="1">
      <c r="A17" s="18" t="s">
        <v>47</v>
      </c>
      <c r="B17" s="18" t="s">
        <v>47</v>
      </c>
      <c r="C17" s="18">
        <v>216</v>
      </c>
    </row>
    <row r="18" spans="1:3" ht="16.5" thickTop="1" thickBot="1">
      <c r="A18" s="18" t="s">
        <v>45</v>
      </c>
      <c r="B18" s="18" t="s">
        <v>45</v>
      </c>
      <c r="C18" s="18">
        <v>152</v>
      </c>
    </row>
    <row r="19" spans="1:3" ht="16.5" thickTop="1" thickBot="1">
      <c r="A19" s="18" t="s">
        <v>1219</v>
      </c>
      <c r="B19" s="18" t="s">
        <v>49</v>
      </c>
      <c r="C19" s="18">
        <v>20</v>
      </c>
    </row>
    <row r="20" spans="1:3" ht="16.5" thickTop="1" thickBot="1">
      <c r="A20" s="18" t="s">
        <v>1134</v>
      </c>
      <c r="B20" s="18" t="s">
        <v>49</v>
      </c>
      <c r="C20" s="18">
        <v>2048</v>
      </c>
    </row>
    <row r="21" spans="1:3" ht="16.5" thickTop="1" thickBot="1">
      <c r="A21" s="18" t="s">
        <v>1078</v>
      </c>
      <c r="B21" s="18" t="s">
        <v>743</v>
      </c>
      <c r="C21" s="18">
        <v>70</v>
      </c>
    </row>
    <row r="22" spans="1:3" ht="16.5" thickTop="1" thickBot="1">
      <c r="A22" s="18" t="s">
        <v>1220</v>
      </c>
      <c r="B22" s="18" t="s">
        <v>746</v>
      </c>
      <c r="C22" s="18">
        <v>500</v>
      </c>
    </row>
    <row r="23" spans="1:3" ht="16.5" thickTop="1" thickBot="1">
      <c r="A23" s="18" t="s">
        <v>325</v>
      </c>
      <c r="B23" s="18" t="s">
        <v>444</v>
      </c>
      <c r="C23" s="18">
        <v>29</v>
      </c>
    </row>
    <row r="24" spans="1:3" ht="16.5" thickTop="1" thickBot="1">
      <c r="A24" s="18" t="s">
        <v>50</v>
      </c>
      <c r="B24" s="18" t="s">
        <v>743</v>
      </c>
      <c r="C24" s="18">
        <v>210</v>
      </c>
    </row>
    <row r="25" spans="1:3" ht="16.5" thickTop="1" thickBot="1">
      <c r="A25" s="18" t="s">
        <v>45</v>
      </c>
      <c r="B25" s="18" t="s">
        <v>45</v>
      </c>
      <c r="C25" s="18">
        <v>50</v>
      </c>
    </row>
    <row r="26" spans="1:3" ht="16.5" thickTop="1" thickBot="1">
      <c r="A26" s="18" t="s">
        <v>772</v>
      </c>
      <c r="B26" s="18" t="s">
        <v>743</v>
      </c>
      <c r="C26" s="18">
        <v>33</v>
      </c>
    </row>
    <row r="27" spans="1:3" ht="16.5" thickTop="1" thickBot="1">
      <c r="A27" s="18"/>
      <c r="B27" s="18"/>
      <c r="C27" s="18"/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31:B41" xr:uid="{53F09BD2-35CF-465D-8ECD-0C2FD6139D88}">
      <formula1>"猫砂,猫粮,零食,药,日用品,买猫,其它"</formula1>
    </dataValidation>
    <dataValidation type="list" allowBlank="1" showInputMessage="1" showErrorMessage="1" sqref="B2:B30" xr:uid="{88A58D82-BC00-4B3F-9FC9-B2099B9244EF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EEBA-1842-4068-A51A-B58669CF9D49}">
  <dimension ref="A1:F42"/>
  <sheetViews>
    <sheetView workbookViewId="0">
      <selection activeCell="B17" sqref="B17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421</v>
      </c>
      <c r="B2" s="18" t="s">
        <v>745</v>
      </c>
      <c r="C2" s="18">
        <v>60</v>
      </c>
      <c r="E2" s="13" t="s">
        <v>1</v>
      </c>
      <c r="F2" s="13">
        <f t="shared" ref="F2:F12" si="0">SUMIF(B:B,E2,C:C)</f>
        <v>1854</v>
      </c>
    </row>
    <row r="3" spans="1:6" ht="16.5" thickTop="1" thickBot="1">
      <c r="A3" s="18" t="s">
        <v>1215</v>
      </c>
      <c r="B3" s="18" t="s">
        <v>745</v>
      </c>
      <c r="C3" s="18">
        <v>18</v>
      </c>
      <c r="E3" s="13" t="s">
        <v>2</v>
      </c>
      <c r="F3" s="13">
        <f t="shared" si="0"/>
        <v>2520</v>
      </c>
    </row>
    <row r="4" spans="1:6" ht="16.5" thickTop="1" thickBot="1">
      <c r="A4" s="18" t="s">
        <v>569</v>
      </c>
      <c r="B4" s="18" t="s">
        <v>49</v>
      </c>
      <c r="C4" s="18">
        <v>25</v>
      </c>
      <c r="E4" s="13" t="s">
        <v>3</v>
      </c>
      <c r="F4" s="13">
        <f t="shared" si="0"/>
        <v>340</v>
      </c>
    </row>
    <row r="5" spans="1:6" ht="16.5" thickTop="1" thickBot="1">
      <c r="A5" s="18" t="s">
        <v>698</v>
      </c>
      <c r="B5" s="18" t="s">
        <v>46</v>
      </c>
      <c r="C5" s="18">
        <v>2160</v>
      </c>
      <c r="E5" s="13" t="s">
        <v>745</v>
      </c>
      <c r="F5" s="13">
        <f t="shared" si="0"/>
        <v>78</v>
      </c>
    </row>
    <row r="6" spans="1:6" ht="16.5" thickTop="1" thickBot="1">
      <c r="A6" s="18" t="s">
        <v>1217</v>
      </c>
      <c r="B6" s="18" t="s">
        <v>46</v>
      </c>
      <c r="C6" s="18">
        <v>360</v>
      </c>
      <c r="E6" s="13" t="s">
        <v>375</v>
      </c>
      <c r="F6" s="13">
        <f t="shared" si="0"/>
        <v>0</v>
      </c>
    </row>
    <row r="7" spans="1:6" ht="16.5" thickTop="1" thickBot="1">
      <c r="A7" s="18" t="s">
        <v>45</v>
      </c>
      <c r="B7" s="18" t="s">
        <v>45</v>
      </c>
      <c r="C7" s="18">
        <v>150</v>
      </c>
      <c r="E7" s="13" t="s">
        <v>743</v>
      </c>
      <c r="F7" s="13">
        <f t="shared" si="0"/>
        <v>250</v>
      </c>
    </row>
    <row r="8" spans="1:6" ht="16.5" thickTop="1" thickBot="1">
      <c r="A8" s="18" t="s">
        <v>1134</v>
      </c>
      <c r="B8" s="18" t="s">
        <v>49</v>
      </c>
      <c r="C8" s="18">
        <v>2180</v>
      </c>
      <c r="E8" s="13" t="s">
        <v>746</v>
      </c>
      <c r="F8" s="13">
        <f t="shared" si="0"/>
        <v>400</v>
      </c>
    </row>
    <row r="9" spans="1:6" ht="16.5" thickTop="1" thickBot="1">
      <c r="A9" s="18" t="s">
        <v>495</v>
      </c>
      <c r="B9" s="18" t="s">
        <v>743</v>
      </c>
      <c r="C9" s="18">
        <v>90</v>
      </c>
      <c r="E9" s="13" t="s">
        <v>744</v>
      </c>
      <c r="F9" s="13">
        <f t="shared" si="0"/>
        <v>0</v>
      </c>
    </row>
    <row r="10" spans="1:6" ht="16.5" thickTop="1" thickBot="1">
      <c r="A10" s="18" t="s">
        <v>482</v>
      </c>
      <c r="B10" s="18" t="s">
        <v>47</v>
      </c>
      <c r="C10" s="18">
        <v>200</v>
      </c>
      <c r="E10" s="13" t="s">
        <v>444</v>
      </c>
      <c r="F10" s="13">
        <f t="shared" si="0"/>
        <v>0</v>
      </c>
    </row>
    <row r="11" spans="1:6" ht="16.5" thickTop="1" thickBot="1">
      <c r="A11" s="18" t="s">
        <v>1218</v>
      </c>
      <c r="B11" s="18" t="s">
        <v>47</v>
      </c>
      <c r="C11" s="18">
        <v>140</v>
      </c>
      <c r="E11" s="13" t="s">
        <v>48</v>
      </c>
      <c r="F11" s="13">
        <f t="shared" si="0"/>
        <v>0</v>
      </c>
    </row>
    <row r="12" spans="1:6" ht="16.5" thickTop="1" thickBot="1">
      <c r="A12" s="18" t="s">
        <v>45</v>
      </c>
      <c r="B12" s="18" t="s">
        <v>45</v>
      </c>
      <c r="C12" s="18">
        <v>129</v>
      </c>
      <c r="E12" s="13" t="s">
        <v>49</v>
      </c>
      <c r="F12" s="13">
        <f t="shared" si="0"/>
        <v>2217</v>
      </c>
    </row>
    <row r="13" spans="1:6" ht="16.5" thickTop="1" thickBot="1">
      <c r="A13" s="18" t="s">
        <v>45</v>
      </c>
      <c r="B13" s="18" t="s">
        <v>45</v>
      </c>
      <c r="C13" s="18">
        <v>775</v>
      </c>
      <c r="E13" s="13" t="s">
        <v>408</v>
      </c>
      <c r="F13" s="13">
        <f>SUM(F2:F12)</f>
        <v>7659</v>
      </c>
    </row>
    <row r="14" spans="1:6" ht="16.5" thickTop="1" thickBot="1">
      <c r="A14" s="18" t="s">
        <v>45</v>
      </c>
      <c r="B14" s="18" t="s">
        <v>45</v>
      </c>
      <c r="C14" s="18">
        <v>800</v>
      </c>
      <c r="E14" s="4"/>
      <c r="F14" s="4"/>
    </row>
    <row r="15" spans="1:6" ht="16.5" thickTop="1" thickBot="1">
      <c r="A15" s="18" t="s">
        <v>1140</v>
      </c>
      <c r="B15" s="18" t="s">
        <v>746</v>
      </c>
      <c r="C15" s="18">
        <v>400</v>
      </c>
    </row>
    <row r="16" spans="1:6" ht="16.5" thickTop="1" thickBot="1">
      <c r="A16" s="18" t="s">
        <v>969</v>
      </c>
      <c r="B16" s="18" t="s">
        <v>743</v>
      </c>
      <c r="C16" s="18">
        <v>160</v>
      </c>
    </row>
    <row r="17" spans="1:3" ht="16.5" thickTop="1" thickBot="1">
      <c r="A17" s="18" t="s">
        <v>486</v>
      </c>
      <c r="B17" s="18" t="s">
        <v>49</v>
      </c>
      <c r="C17" s="18">
        <v>12</v>
      </c>
    </row>
    <row r="18" spans="1:3" ht="16.5" thickTop="1" thickBot="1">
      <c r="A18" s="18"/>
      <c r="B18" s="18"/>
      <c r="C18" s="18"/>
    </row>
    <row r="19" spans="1:3" ht="16.5" thickTop="1" thickBot="1">
      <c r="A19" s="18"/>
      <c r="B19" s="18"/>
      <c r="C19" s="18"/>
    </row>
    <row r="20" spans="1:3" ht="16.5" thickTop="1" thickBot="1">
      <c r="A20" s="18"/>
      <c r="B20" s="18"/>
      <c r="C20" s="18"/>
    </row>
    <row r="21" spans="1:3" ht="16.5" thickTop="1" thickBot="1">
      <c r="A21" s="18"/>
      <c r="B21" s="18"/>
      <c r="C21" s="18"/>
    </row>
    <row r="22" spans="1:3" ht="16.5" thickTop="1" thickBot="1">
      <c r="A22" s="18"/>
      <c r="B22" s="18"/>
      <c r="C22" s="18"/>
    </row>
    <row r="23" spans="1:3" ht="16.5" thickTop="1" thickBot="1">
      <c r="A23" s="18"/>
      <c r="B23" s="18"/>
      <c r="C23" s="18"/>
    </row>
    <row r="24" spans="1:3" ht="16.5" thickTop="1" thickBot="1">
      <c r="A24" s="18"/>
      <c r="B24" s="18"/>
      <c r="C24" s="18"/>
    </row>
    <row r="25" spans="1:3" ht="16.5" thickTop="1" thickBot="1">
      <c r="A25" s="18"/>
      <c r="B25" s="18"/>
      <c r="C25" s="18"/>
    </row>
    <row r="26" spans="1:3" ht="16.5" thickTop="1" thickBot="1">
      <c r="A26" s="18"/>
      <c r="B26" s="18"/>
      <c r="C26" s="18"/>
    </row>
    <row r="27" spans="1:3" ht="16.5" thickTop="1" thickBot="1">
      <c r="A27" s="18"/>
      <c r="B27" s="18"/>
      <c r="C27" s="18"/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2:B30" xr:uid="{C908C09D-17F7-40E8-826B-1C7DD11F89D2}">
      <formula1>"猫砂,猫粮,零食,消耗品,疫苗,常用药,治疗费,不常用药,运费,买猫,其它"</formula1>
    </dataValidation>
    <dataValidation type="list" allowBlank="1" showInputMessage="1" showErrorMessage="1" sqref="B31:B41" xr:uid="{FB6BB74B-72A7-4620-BBD3-6E921BEA99CA}">
      <formula1>"猫砂,猫粮,零食,药,日用品,买猫,其它"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7B29-90C6-416E-93FD-480F06084BF8}">
  <dimension ref="A1:F42"/>
  <sheetViews>
    <sheetView workbookViewId="0">
      <selection activeCell="B5" sqref="B5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991</v>
      </c>
      <c r="B2" s="18" t="s">
        <v>743</v>
      </c>
      <c r="C2" s="18">
        <v>43</v>
      </c>
      <c r="E2" s="13" t="s">
        <v>1</v>
      </c>
      <c r="F2" s="13">
        <f t="shared" ref="F2:F12" si="0">SUMIF(B:B,E2,C:C)</f>
        <v>0</v>
      </c>
    </row>
    <row r="3" spans="1:6" ht="16.5" thickTop="1" thickBot="1">
      <c r="A3" s="18" t="s">
        <v>541</v>
      </c>
      <c r="B3" s="18" t="s">
        <v>745</v>
      </c>
      <c r="C3" s="18">
        <v>90</v>
      </c>
      <c r="E3" s="13" t="s">
        <v>2</v>
      </c>
      <c r="F3" s="13">
        <f t="shared" si="0"/>
        <v>0</v>
      </c>
    </row>
    <row r="4" spans="1:6" ht="16.5" thickTop="1" thickBot="1">
      <c r="A4" s="18" t="s">
        <v>1216</v>
      </c>
      <c r="B4" s="18" t="s">
        <v>745</v>
      </c>
      <c r="C4" s="18">
        <v>39</v>
      </c>
      <c r="E4" s="13" t="s">
        <v>3</v>
      </c>
      <c r="F4" s="13">
        <f t="shared" si="0"/>
        <v>0</v>
      </c>
    </row>
    <row r="5" spans="1:6" ht="16.5" thickTop="1" thickBot="1">
      <c r="A5" s="18" t="s">
        <v>1134</v>
      </c>
      <c r="B5" s="18" t="s">
        <v>49</v>
      </c>
      <c r="C5" s="18">
        <v>2124</v>
      </c>
      <c r="E5" s="13" t="s">
        <v>745</v>
      </c>
      <c r="F5" s="13">
        <f t="shared" si="0"/>
        <v>129</v>
      </c>
    </row>
    <row r="6" spans="1:6" ht="16.5" thickTop="1" thickBot="1">
      <c r="A6" s="18"/>
      <c r="B6" s="18"/>
      <c r="C6" s="18"/>
      <c r="E6" s="13" t="s">
        <v>375</v>
      </c>
      <c r="F6" s="13">
        <f t="shared" si="0"/>
        <v>0</v>
      </c>
    </row>
    <row r="7" spans="1:6" ht="16.5" thickTop="1" thickBot="1">
      <c r="A7" s="18"/>
      <c r="B7" s="18"/>
      <c r="C7" s="18"/>
      <c r="E7" s="13" t="s">
        <v>743</v>
      </c>
      <c r="F7" s="13">
        <f t="shared" si="0"/>
        <v>43</v>
      </c>
    </row>
    <row r="8" spans="1:6" ht="16.5" thickTop="1" thickBot="1">
      <c r="A8" s="18"/>
      <c r="B8" s="18"/>
      <c r="C8" s="18"/>
      <c r="E8" s="13" t="s">
        <v>746</v>
      </c>
      <c r="F8" s="13">
        <f t="shared" si="0"/>
        <v>0</v>
      </c>
    </row>
    <row r="9" spans="1:6" ht="16.5" thickTop="1" thickBot="1">
      <c r="A9" s="18"/>
      <c r="B9" s="18"/>
      <c r="C9" s="18"/>
      <c r="E9" s="13" t="s">
        <v>744</v>
      </c>
      <c r="F9" s="13">
        <f t="shared" si="0"/>
        <v>0</v>
      </c>
    </row>
    <row r="10" spans="1:6" ht="16.5" thickTop="1" thickBot="1">
      <c r="A10" s="18"/>
      <c r="B10" s="18"/>
      <c r="C10" s="18"/>
      <c r="E10" s="13" t="s">
        <v>444</v>
      </c>
      <c r="F10" s="13">
        <f t="shared" si="0"/>
        <v>0</v>
      </c>
    </row>
    <row r="11" spans="1:6" ht="16.5" thickTop="1" thickBot="1">
      <c r="A11" s="18"/>
      <c r="B11" s="18"/>
      <c r="C11" s="18"/>
      <c r="E11" s="13" t="s">
        <v>48</v>
      </c>
      <c r="F11" s="13">
        <f t="shared" si="0"/>
        <v>0</v>
      </c>
    </row>
    <row r="12" spans="1:6" ht="16.5" thickTop="1" thickBot="1">
      <c r="A12" s="18"/>
      <c r="B12" s="18"/>
      <c r="C12" s="18"/>
      <c r="E12" s="13" t="s">
        <v>49</v>
      </c>
      <c r="F12" s="13">
        <f t="shared" si="0"/>
        <v>2124</v>
      </c>
    </row>
    <row r="13" spans="1:6" ht="16.5" thickTop="1" thickBot="1">
      <c r="A13" s="18"/>
      <c r="B13" s="18"/>
      <c r="C13" s="18"/>
      <c r="E13" s="13" t="s">
        <v>408</v>
      </c>
      <c r="F13" s="13">
        <f>SUM(F2:F12)</f>
        <v>2296</v>
      </c>
    </row>
    <row r="14" spans="1:6" ht="16.5" thickTop="1" thickBot="1">
      <c r="A14" s="18"/>
      <c r="B14" s="18"/>
      <c r="C14" s="18"/>
      <c r="E14" s="4"/>
      <c r="F14" s="4"/>
    </row>
    <row r="15" spans="1:6" ht="16.5" thickTop="1" thickBot="1">
      <c r="A15" s="18"/>
      <c r="B15" s="18"/>
      <c r="C15" s="18"/>
    </row>
    <row r="16" spans="1:6" ht="16.5" thickTop="1" thickBot="1">
      <c r="A16" s="18"/>
      <c r="B16" s="18"/>
      <c r="C16" s="18"/>
    </row>
    <row r="17" spans="1:3" ht="16.5" thickTop="1" thickBot="1">
      <c r="A17" s="18"/>
      <c r="B17" s="18"/>
      <c r="C17" s="18"/>
    </row>
    <row r="18" spans="1:3" ht="16.5" thickTop="1" thickBot="1">
      <c r="A18" s="18"/>
      <c r="B18" s="18"/>
      <c r="C18" s="18"/>
    </row>
    <row r="19" spans="1:3" ht="16.5" thickTop="1" thickBot="1">
      <c r="A19" s="18"/>
      <c r="B19" s="18"/>
      <c r="C19" s="18"/>
    </row>
    <row r="20" spans="1:3" ht="16.5" thickTop="1" thickBot="1">
      <c r="A20" s="18"/>
      <c r="B20" s="18"/>
      <c r="C20" s="18"/>
    </row>
    <row r="21" spans="1:3" ht="16.5" thickTop="1" thickBot="1">
      <c r="A21" s="18"/>
      <c r="B21" s="18"/>
      <c r="C21" s="18"/>
    </row>
    <row r="22" spans="1:3" ht="16.5" thickTop="1" thickBot="1">
      <c r="A22" s="18"/>
      <c r="B22" s="18"/>
      <c r="C22" s="18"/>
    </row>
    <row r="23" spans="1:3" ht="16.5" thickTop="1" thickBot="1">
      <c r="A23" s="18"/>
      <c r="B23" s="18"/>
      <c r="C23" s="18"/>
    </row>
    <row r="24" spans="1:3" ht="16.5" thickTop="1" thickBot="1">
      <c r="A24" s="18"/>
      <c r="B24" s="18"/>
      <c r="C24" s="18"/>
    </row>
    <row r="25" spans="1:3" ht="16.5" thickTop="1" thickBot="1">
      <c r="A25" s="18"/>
      <c r="B25" s="18"/>
      <c r="C25" s="18"/>
    </row>
    <row r="26" spans="1:3" ht="16.5" thickTop="1" thickBot="1">
      <c r="A26" s="18"/>
      <c r="B26" s="18"/>
      <c r="C26" s="18"/>
    </row>
    <row r="27" spans="1:3" ht="16.5" thickTop="1" thickBot="1">
      <c r="A27" s="18"/>
      <c r="B27" s="18"/>
      <c r="C27" s="18"/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31:B41" xr:uid="{C99A8FCF-34AD-4963-838A-00BC68E18345}">
      <formula1>"猫砂,猫粮,零食,药,日用品,买猫,其它"</formula1>
    </dataValidation>
    <dataValidation type="list" allowBlank="1" showInputMessage="1" showErrorMessage="1" sqref="B2:B30" xr:uid="{E81E5463-11D3-4122-B397-F058AD7A5AE6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354F7-97ED-4105-876B-FD4050250627}">
  <dimension ref="A1:F42"/>
  <sheetViews>
    <sheetView workbookViewId="0">
      <selection activeCell="C50" sqref="C50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1157</v>
      </c>
      <c r="B2" s="18" t="s">
        <v>49</v>
      </c>
      <c r="C2" s="18">
        <v>15</v>
      </c>
      <c r="E2" s="13" t="s">
        <v>1</v>
      </c>
      <c r="F2" s="13">
        <f t="shared" ref="F2:F12" si="0">SUMIF(B:B,E2,C:C)</f>
        <v>0</v>
      </c>
    </row>
    <row r="3" spans="1:6" ht="16.5" thickTop="1" thickBot="1">
      <c r="A3" s="18" t="s">
        <v>772</v>
      </c>
      <c r="B3" s="18" t="s">
        <v>743</v>
      </c>
      <c r="C3" s="18">
        <v>100</v>
      </c>
      <c r="E3" s="13" t="s">
        <v>2</v>
      </c>
      <c r="F3" s="13">
        <f t="shared" si="0"/>
        <v>1935</v>
      </c>
    </row>
    <row r="4" spans="1:6" ht="16.5" thickTop="1" thickBot="1">
      <c r="A4" s="18" t="s">
        <v>391</v>
      </c>
      <c r="B4" s="18" t="s">
        <v>745</v>
      </c>
      <c r="C4" s="18">
        <v>94</v>
      </c>
      <c r="E4" s="13" t="s">
        <v>3</v>
      </c>
      <c r="F4" s="13">
        <f t="shared" si="0"/>
        <v>459</v>
      </c>
    </row>
    <row r="5" spans="1:6" ht="16.5" thickTop="1" thickBot="1">
      <c r="A5" s="18" t="s">
        <v>606</v>
      </c>
      <c r="B5" s="18" t="s">
        <v>743</v>
      </c>
      <c r="C5" s="18">
        <v>55</v>
      </c>
      <c r="E5" s="13" t="s">
        <v>745</v>
      </c>
      <c r="F5" s="13">
        <f t="shared" si="0"/>
        <v>434</v>
      </c>
    </row>
    <row r="6" spans="1:6" ht="16.5" thickTop="1" thickBot="1">
      <c r="A6" s="18" t="s">
        <v>482</v>
      </c>
      <c r="B6" s="18" t="s">
        <v>47</v>
      </c>
      <c r="C6" s="18">
        <v>209</v>
      </c>
      <c r="E6" s="13" t="s">
        <v>375</v>
      </c>
      <c r="F6" s="13">
        <f t="shared" si="0"/>
        <v>0</v>
      </c>
    </row>
    <row r="7" spans="1:6" ht="16.5" thickTop="1" thickBot="1">
      <c r="A7" s="18" t="s">
        <v>491</v>
      </c>
      <c r="B7" s="18" t="s">
        <v>745</v>
      </c>
      <c r="C7" s="18">
        <v>200</v>
      </c>
      <c r="E7" s="13" t="s">
        <v>743</v>
      </c>
      <c r="F7" s="13">
        <f t="shared" si="0"/>
        <v>230</v>
      </c>
    </row>
    <row r="8" spans="1:6" ht="16.5" thickTop="1" thickBot="1">
      <c r="A8" s="18" t="s">
        <v>391</v>
      </c>
      <c r="B8" s="18" t="s">
        <v>745</v>
      </c>
      <c r="C8" s="18">
        <v>140</v>
      </c>
      <c r="E8" s="13" t="s">
        <v>746</v>
      </c>
      <c r="F8" s="13">
        <f t="shared" si="0"/>
        <v>0</v>
      </c>
    </row>
    <row r="9" spans="1:6" ht="16.5" thickTop="1" thickBot="1">
      <c r="A9" s="18" t="s">
        <v>1134</v>
      </c>
      <c r="B9" s="18" t="s">
        <v>49</v>
      </c>
      <c r="C9" s="18">
        <v>231</v>
      </c>
      <c r="E9" s="13" t="s">
        <v>744</v>
      </c>
      <c r="F9" s="13">
        <f t="shared" si="0"/>
        <v>0</v>
      </c>
    </row>
    <row r="10" spans="1:6" ht="16.5" thickTop="1" thickBot="1">
      <c r="A10" s="18" t="s">
        <v>46</v>
      </c>
      <c r="B10" s="18" t="s">
        <v>46</v>
      </c>
      <c r="C10" s="18">
        <v>1935</v>
      </c>
      <c r="E10" s="13" t="s">
        <v>444</v>
      </c>
      <c r="F10" s="13">
        <f t="shared" si="0"/>
        <v>0</v>
      </c>
    </row>
    <row r="11" spans="1:6" ht="16.5" thickTop="1" thickBot="1">
      <c r="A11" s="18" t="s">
        <v>327</v>
      </c>
      <c r="B11" s="18" t="s">
        <v>47</v>
      </c>
      <c r="C11" s="18">
        <v>250</v>
      </c>
      <c r="E11" s="13" t="s">
        <v>48</v>
      </c>
      <c r="F11" s="13">
        <f t="shared" si="0"/>
        <v>0</v>
      </c>
    </row>
    <row r="12" spans="1:6" ht="16.5" thickTop="1" thickBot="1">
      <c r="A12" s="18" t="s">
        <v>606</v>
      </c>
      <c r="B12" s="18" t="s">
        <v>743</v>
      </c>
      <c r="C12" s="18">
        <v>75</v>
      </c>
      <c r="E12" s="13" t="s">
        <v>49</v>
      </c>
      <c r="F12" s="13">
        <f t="shared" si="0"/>
        <v>246</v>
      </c>
    </row>
    <row r="13" spans="1:6" ht="16.5" thickTop="1" thickBot="1">
      <c r="A13" s="18"/>
      <c r="B13" s="18"/>
      <c r="C13" s="18"/>
      <c r="E13" s="13" t="s">
        <v>408</v>
      </c>
      <c r="F13" s="13">
        <f>SUM(F2:F12)</f>
        <v>3304</v>
      </c>
    </row>
    <row r="14" spans="1:6" ht="16.5" thickTop="1" thickBot="1">
      <c r="A14" s="18"/>
      <c r="B14" s="18"/>
      <c r="C14" s="18"/>
      <c r="E14" s="4"/>
      <c r="F14" s="4"/>
    </row>
    <row r="15" spans="1:6" ht="16.5" thickTop="1" thickBot="1">
      <c r="A15" s="18"/>
      <c r="B15" s="18"/>
      <c r="C15" s="18"/>
    </row>
    <row r="16" spans="1:6" ht="16.5" thickTop="1" thickBot="1">
      <c r="A16" s="18"/>
      <c r="B16" s="18"/>
      <c r="C16" s="18"/>
    </row>
    <row r="17" spans="1:3" ht="16.5" thickTop="1" thickBot="1">
      <c r="A17" s="18"/>
      <c r="B17" s="18"/>
      <c r="C17" s="18"/>
    </row>
    <row r="18" spans="1:3" ht="16.5" thickTop="1" thickBot="1">
      <c r="A18" s="18"/>
      <c r="B18" s="18"/>
      <c r="C18" s="18"/>
    </row>
    <row r="19" spans="1:3" ht="16.5" thickTop="1" thickBot="1">
      <c r="A19" s="18"/>
      <c r="B19" s="18"/>
      <c r="C19" s="18"/>
    </row>
    <row r="20" spans="1:3" ht="16.5" thickTop="1" thickBot="1">
      <c r="A20" s="18"/>
      <c r="B20" s="18"/>
      <c r="C20" s="18"/>
    </row>
    <row r="21" spans="1:3" ht="16.5" thickTop="1" thickBot="1">
      <c r="A21" s="18"/>
      <c r="B21" s="18"/>
      <c r="C21" s="18"/>
    </row>
    <row r="22" spans="1:3" ht="16.5" thickTop="1" thickBot="1">
      <c r="A22" s="18"/>
      <c r="B22" s="18"/>
      <c r="C22" s="18"/>
    </row>
    <row r="23" spans="1:3" ht="16.5" thickTop="1" thickBot="1">
      <c r="A23" s="18"/>
      <c r="B23" s="18"/>
      <c r="C23" s="18"/>
    </row>
    <row r="24" spans="1:3" ht="16.5" thickTop="1" thickBot="1">
      <c r="A24" s="18"/>
      <c r="B24" s="18"/>
      <c r="C24" s="18"/>
    </row>
    <row r="25" spans="1:3" ht="16.5" thickTop="1" thickBot="1">
      <c r="A25" s="18"/>
      <c r="B25" s="18"/>
      <c r="C25" s="18"/>
    </row>
    <row r="26" spans="1:3" ht="16.5" thickTop="1" thickBot="1">
      <c r="A26" s="18"/>
      <c r="B26" s="18"/>
      <c r="C26" s="18"/>
    </row>
    <row r="27" spans="1:3" ht="16.5" thickTop="1" thickBot="1">
      <c r="A27" s="18"/>
      <c r="B27" s="18"/>
      <c r="C27" s="18"/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2:B30" xr:uid="{A8C79FE5-CFD5-4ABC-95BF-842E9DE7A254}">
      <formula1>"猫砂,猫粮,零食,消耗品,疫苗,常用药,治疗费,不常用药,运费,买猫,其它"</formula1>
    </dataValidation>
    <dataValidation type="list" allowBlank="1" showInputMessage="1" showErrorMessage="1" sqref="B31:B41" xr:uid="{FC312037-100F-4154-B643-C4E2BFB4CF46}">
      <formula1>"猫砂,猫粮,零食,药,日用品,买猫,其它"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938EF-E393-40C7-8868-754A6DA6C3D4}">
  <dimension ref="A1:F42"/>
  <sheetViews>
    <sheetView workbookViewId="0">
      <selection activeCell="F23" sqref="F23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1164</v>
      </c>
      <c r="B2" s="18" t="s">
        <v>49</v>
      </c>
      <c r="C2" s="18">
        <v>10</v>
      </c>
      <c r="E2" s="13" t="s">
        <v>1</v>
      </c>
      <c r="F2" s="13">
        <f t="shared" ref="F2:F12" si="0">SUMIF(B:B,E2,C:C)</f>
        <v>18</v>
      </c>
    </row>
    <row r="3" spans="1:6" ht="16.5" thickTop="1" thickBot="1">
      <c r="A3" s="18" t="s">
        <v>1166</v>
      </c>
      <c r="B3" s="18" t="s">
        <v>49</v>
      </c>
      <c r="C3" s="18">
        <v>158</v>
      </c>
      <c r="E3" s="13" t="s">
        <v>2</v>
      </c>
      <c r="F3" s="13">
        <f t="shared" si="0"/>
        <v>0</v>
      </c>
    </row>
    <row r="4" spans="1:6" ht="16.5" thickTop="1" thickBot="1">
      <c r="A4" s="18" t="s">
        <v>1167</v>
      </c>
      <c r="B4" s="18" t="s">
        <v>49</v>
      </c>
      <c r="C4" s="18">
        <v>35</v>
      </c>
      <c r="E4" s="13" t="s">
        <v>3</v>
      </c>
      <c r="F4" s="13">
        <f t="shared" si="0"/>
        <v>475</v>
      </c>
    </row>
    <row r="5" spans="1:6" ht="16.5" thickTop="1" thickBot="1">
      <c r="A5" s="18" t="s">
        <v>1168</v>
      </c>
      <c r="B5" s="18" t="s">
        <v>49</v>
      </c>
      <c r="C5" s="18">
        <v>55</v>
      </c>
      <c r="E5" s="13" t="s">
        <v>745</v>
      </c>
      <c r="F5" s="13">
        <f t="shared" si="0"/>
        <v>215</v>
      </c>
    </row>
    <row r="6" spans="1:6" ht="16.5" thickTop="1" thickBot="1">
      <c r="A6" s="18" t="s">
        <v>1169</v>
      </c>
      <c r="B6" s="18" t="s">
        <v>49</v>
      </c>
      <c r="C6" s="18">
        <v>8</v>
      </c>
      <c r="E6" s="13" t="s">
        <v>375</v>
      </c>
      <c r="F6" s="13">
        <f t="shared" si="0"/>
        <v>0</v>
      </c>
    </row>
    <row r="7" spans="1:6" ht="16.5" thickTop="1" thickBot="1">
      <c r="A7" s="18" t="s">
        <v>1182</v>
      </c>
      <c r="B7" s="18" t="s">
        <v>45</v>
      </c>
      <c r="C7" s="18">
        <v>18</v>
      </c>
      <c r="E7" s="13" t="s">
        <v>743</v>
      </c>
      <c r="F7" s="13">
        <f t="shared" si="0"/>
        <v>127</v>
      </c>
    </row>
    <row r="8" spans="1:6" ht="16.5" thickTop="1" thickBot="1">
      <c r="A8" s="18" t="s">
        <v>772</v>
      </c>
      <c r="B8" s="18" t="s">
        <v>743</v>
      </c>
      <c r="C8" s="18">
        <v>127</v>
      </c>
      <c r="E8" s="13" t="s">
        <v>746</v>
      </c>
      <c r="F8" s="13">
        <f t="shared" si="0"/>
        <v>0</v>
      </c>
    </row>
    <row r="9" spans="1:6" ht="16.5" thickTop="1" thickBot="1">
      <c r="A9" s="18" t="s">
        <v>1157</v>
      </c>
      <c r="B9" s="18" t="s">
        <v>49</v>
      </c>
      <c r="C9" s="18">
        <v>18</v>
      </c>
      <c r="E9" s="13" t="s">
        <v>744</v>
      </c>
      <c r="F9" s="13">
        <f t="shared" si="0"/>
        <v>0</v>
      </c>
    </row>
    <row r="10" spans="1:6" ht="16.5" thickTop="1" thickBot="1">
      <c r="A10" s="18" t="s">
        <v>486</v>
      </c>
      <c r="B10" s="18" t="s">
        <v>49</v>
      </c>
      <c r="C10" s="18">
        <v>20</v>
      </c>
      <c r="E10" s="13" t="s">
        <v>444</v>
      </c>
      <c r="F10" s="13">
        <f t="shared" si="0"/>
        <v>300</v>
      </c>
    </row>
    <row r="11" spans="1:6" ht="16.5" thickTop="1" thickBot="1">
      <c r="A11" s="18" t="s">
        <v>482</v>
      </c>
      <c r="B11" s="18" t="s">
        <v>47</v>
      </c>
      <c r="C11" s="18">
        <v>125</v>
      </c>
      <c r="E11" s="13" t="s">
        <v>48</v>
      </c>
      <c r="F11" s="13">
        <f t="shared" si="0"/>
        <v>2000</v>
      </c>
    </row>
    <row r="12" spans="1:6" ht="16.5" thickTop="1" thickBot="1">
      <c r="A12" s="18" t="s">
        <v>1183</v>
      </c>
      <c r="B12" s="18" t="s">
        <v>47</v>
      </c>
      <c r="C12" s="18">
        <v>350</v>
      </c>
      <c r="E12" s="13" t="s">
        <v>49</v>
      </c>
      <c r="F12" s="13">
        <f t="shared" si="0"/>
        <v>2674</v>
      </c>
    </row>
    <row r="13" spans="1:6" ht="16.5" thickTop="1" thickBot="1">
      <c r="A13" s="18" t="s">
        <v>1157</v>
      </c>
      <c r="B13" s="18" t="s">
        <v>49</v>
      </c>
      <c r="C13" s="18">
        <v>140</v>
      </c>
      <c r="E13" s="13" t="s">
        <v>408</v>
      </c>
      <c r="F13" s="13">
        <f>SUM(F2:F12)</f>
        <v>5809</v>
      </c>
    </row>
    <row r="14" spans="1:6" ht="16.5" thickTop="1" thickBot="1">
      <c r="A14" s="18" t="s">
        <v>1184</v>
      </c>
      <c r="B14" s="18" t="s">
        <v>49</v>
      </c>
      <c r="C14" s="18">
        <v>2025</v>
      </c>
      <c r="E14" s="4"/>
      <c r="F14" s="4"/>
    </row>
    <row r="15" spans="1:6" ht="16.5" thickTop="1" thickBot="1">
      <c r="A15" s="18" t="s">
        <v>325</v>
      </c>
      <c r="B15" s="18" t="s">
        <v>444</v>
      </c>
      <c r="C15" s="18">
        <v>300</v>
      </c>
    </row>
    <row r="16" spans="1:6" ht="16.5" thickTop="1" thickBot="1">
      <c r="A16" s="18" t="s">
        <v>964</v>
      </c>
      <c r="B16" s="18" t="s">
        <v>49</v>
      </c>
      <c r="C16" s="18">
        <v>64</v>
      </c>
    </row>
    <row r="17" spans="1:3" ht="16.5" thickTop="1" thickBot="1">
      <c r="A17" s="18" t="s">
        <v>1115</v>
      </c>
      <c r="B17" s="18" t="s">
        <v>745</v>
      </c>
      <c r="C17" s="18">
        <v>56</v>
      </c>
    </row>
    <row r="18" spans="1:3" ht="16.5" thickTop="1" thickBot="1">
      <c r="A18" s="18" t="s">
        <v>413</v>
      </c>
      <c r="B18" s="18" t="s">
        <v>745</v>
      </c>
      <c r="C18" s="18">
        <v>159</v>
      </c>
    </row>
    <row r="19" spans="1:3" ht="16.5" thickTop="1" thickBot="1">
      <c r="A19" s="18" t="s">
        <v>966</v>
      </c>
      <c r="B19" s="18" t="s">
        <v>49</v>
      </c>
      <c r="C19" s="18">
        <v>42</v>
      </c>
    </row>
    <row r="20" spans="1:3" ht="16.5" thickTop="1" thickBot="1">
      <c r="A20" s="18" t="s">
        <v>1185</v>
      </c>
      <c r="B20" s="18" t="s">
        <v>49</v>
      </c>
      <c r="C20" s="18">
        <v>10</v>
      </c>
    </row>
    <row r="21" spans="1:3" ht="16.5" thickTop="1" thickBot="1">
      <c r="A21" s="18" t="s">
        <v>966</v>
      </c>
      <c r="B21" s="18" t="s">
        <v>49</v>
      </c>
      <c r="C21" s="18">
        <v>89</v>
      </c>
    </row>
    <row r="22" spans="1:3" ht="16.5" thickTop="1" thickBot="1">
      <c r="A22" s="18" t="s">
        <v>1186</v>
      </c>
      <c r="B22" s="18" t="s">
        <v>48</v>
      </c>
      <c r="C22" s="18">
        <v>2000</v>
      </c>
    </row>
    <row r="23" spans="1:3" ht="16.5" thickTop="1" thickBot="1">
      <c r="A23" s="18"/>
      <c r="B23" s="18"/>
      <c r="C23" s="18"/>
    </row>
    <row r="24" spans="1:3" ht="16.5" thickTop="1" thickBot="1">
      <c r="A24" s="18"/>
      <c r="B24" s="18"/>
      <c r="C24" s="18"/>
    </row>
    <row r="25" spans="1:3" ht="16.5" thickTop="1" thickBot="1">
      <c r="A25" s="18"/>
      <c r="B25" s="18"/>
      <c r="C25" s="18"/>
    </row>
    <row r="26" spans="1:3" ht="16.5" thickTop="1" thickBot="1">
      <c r="A26" s="18"/>
      <c r="B26" s="18"/>
      <c r="C26" s="18"/>
    </row>
    <row r="27" spans="1:3" ht="16.5" thickTop="1" thickBot="1">
      <c r="A27" s="18"/>
      <c r="B27" s="18"/>
      <c r="C27" s="18"/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22:B30 B8 B15 B17:B18" xr:uid="{6AF855DC-269F-423C-9C2D-5ECABC22461E}">
      <formula1>"猫砂,猫粮,零食,消耗品,疫苗,常用药,治疗费,不常用药,运费,买猫,其它"</formula1>
    </dataValidation>
    <dataValidation type="list" allowBlank="1" showInputMessage="1" showErrorMessage="1" sqref="B31:B41 B2:B7 B9:B14 B16 B19:B21" xr:uid="{8C7BBB9D-3AC5-4A04-9B40-C51162C3DA81}">
      <formula1>"猫砂,猫粮,零食,药,日用品,买猫,其它"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4BB8A-A872-49B3-9739-504EB7E6E8B2}">
  <dimension ref="A1:F42"/>
  <sheetViews>
    <sheetView topLeftCell="A6" workbookViewId="0">
      <selection activeCell="B14" sqref="B14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725</v>
      </c>
      <c r="B2" s="18" t="s">
        <v>745</v>
      </c>
      <c r="C2" s="18">
        <v>129</v>
      </c>
      <c r="E2" s="13" t="s">
        <v>1</v>
      </c>
      <c r="F2" s="13">
        <f t="shared" ref="F2:F12" si="0">SUMIF(B:B,E2,C:C)</f>
        <v>5314</v>
      </c>
    </row>
    <row r="3" spans="1:6" ht="16.5" thickTop="1" thickBot="1">
      <c r="A3" s="18" t="s">
        <v>45</v>
      </c>
      <c r="B3" s="18" t="s">
        <v>45</v>
      </c>
      <c r="C3" s="18">
        <v>584</v>
      </c>
      <c r="E3" s="13" t="s">
        <v>2</v>
      </c>
      <c r="F3" s="13">
        <f t="shared" si="0"/>
        <v>0</v>
      </c>
    </row>
    <row r="4" spans="1:6" ht="16.5" thickTop="1" thickBot="1">
      <c r="A4" s="18" t="s">
        <v>45</v>
      </c>
      <c r="B4" s="18" t="s">
        <v>45</v>
      </c>
      <c r="C4" s="18">
        <v>2200</v>
      </c>
      <c r="E4" s="13" t="s">
        <v>3</v>
      </c>
      <c r="F4" s="13">
        <f t="shared" si="0"/>
        <v>249</v>
      </c>
    </row>
    <row r="5" spans="1:6" ht="16.5" thickTop="1" thickBot="1">
      <c r="A5" s="18" t="s">
        <v>45</v>
      </c>
      <c r="B5" s="18" t="s">
        <v>45</v>
      </c>
      <c r="C5" s="18">
        <v>294</v>
      </c>
      <c r="E5" s="13" t="s">
        <v>745</v>
      </c>
      <c r="F5" s="13">
        <f t="shared" si="0"/>
        <v>363</v>
      </c>
    </row>
    <row r="6" spans="1:6" ht="16.5" thickTop="1" thickBot="1">
      <c r="A6" s="18" t="s">
        <v>45</v>
      </c>
      <c r="B6" s="18" t="s">
        <v>45</v>
      </c>
      <c r="C6" s="18">
        <v>426</v>
      </c>
      <c r="E6" s="13" t="s">
        <v>375</v>
      </c>
      <c r="F6" s="13">
        <f t="shared" si="0"/>
        <v>3500</v>
      </c>
    </row>
    <row r="7" spans="1:6" ht="16.5" thickTop="1" thickBot="1">
      <c r="A7" s="18" t="s">
        <v>45</v>
      </c>
      <c r="B7" s="18" t="s">
        <v>45</v>
      </c>
      <c r="C7" s="18">
        <v>483</v>
      </c>
      <c r="E7" s="13" t="s">
        <v>743</v>
      </c>
      <c r="F7" s="13">
        <f t="shared" si="0"/>
        <v>180</v>
      </c>
    </row>
    <row r="8" spans="1:6" ht="16.5" thickTop="1" thickBot="1">
      <c r="A8" s="18" t="s">
        <v>375</v>
      </c>
      <c r="B8" s="18" t="s">
        <v>375</v>
      </c>
      <c r="C8" s="18">
        <v>3500</v>
      </c>
      <c r="E8" s="13" t="s">
        <v>746</v>
      </c>
      <c r="F8" s="13">
        <f t="shared" si="0"/>
        <v>0</v>
      </c>
    </row>
    <row r="9" spans="1:6" ht="16.5" thickTop="1" thickBot="1">
      <c r="A9" s="18" t="s">
        <v>45</v>
      </c>
      <c r="B9" s="18" t="s">
        <v>45</v>
      </c>
      <c r="C9" s="18">
        <v>160</v>
      </c>
      <c r="E9" s="13" t="s">
        <v>744</v>
      </c>
      <c r="F9" s="13">
        <f t="shared" si="0"/>
        <v>360</v>
      </c>
    </row>
    <row r="10" spans="1:6" ht="16.5" thickTop="1" thickBot="1">
      <c r="A10" s="18" t="s">
        <v>1048</v>
      </c>
      <c r="B10" s="18" t="s">
        <v>49</v>
      </c>
      <c r="C10" s="18">
        <v>960</v>
      </c>
      <c r="E10" s="13" t="s">
        <v>444</v>
      </c>
      <c r="F10" s="13">
        <f t="shared" si="0"/>
        <v>0</v>
      </c>
    </row>
    <row r="11" spans="1:6" ht="16.5" thickTop="1" thickBot="1">
      <c r="A11" s="18" t="s">
        <v>1155</v>
      </c>
      <c r="B11" s="18" t="s">
        <v>49</v>
      </c>
      <c r="C11" s="18">
        <v>1694</v>
      </c>
      <c r="E11" s="13" t="s">
        <v>48</v>
      </c>
      <c r="F11" s="13">
        <f t="shared" si="0"/>
        <v>0</v>
      </c>
    </row>
    <row r="12" spans="1:6" ht="16.5" thickTop="1" thickBot="1">
      <c r="A12" s="18" t="s">
        <v>391</v>
      </c>
      <c r="B12" s="18" t="s">
        <v>745</v>
      </c>
      <c r="C12" s="18">
        <v>12</v>
      </c>
      <c r="E12" s="13" t="s">
        <v>49</v>
      </c>
      <c r="F12" s="13">
        <f t="shared" si="0"/>
        <v>4320</v>
      </c>
    </row>
    <row r="13" spans="1:6" ht="16.5" thickTop="1" thickBot="1">
      <c r="A13" s="18" t="s">
        <v>45</v>
      </c>
      <c r="B13" s="18" t="s">
        <v>45</v>
      </c>
      <c r="C13" s="18">
        <v>140</v>
      </c>
      <c r="E13" s="13" t="s">
        <v>408</v>
      </c>
      <c r="F13" s="13">
        <f>SUM(F2:F12)</f>
        <v>14286</v>
      </c>
    </row>
    <row r="14" spans="1:6" ht="16.5" thickTop="1" thickBot="1">
      <c r="A14" s="18" t="s">
        <v>313</v>
      </c>
      <c r="B14" s="18" t="s">
        <v>743</v>
      </c>
      <c r="C14" s="18">
        <v>180</v>
      </c>
      <c r="E14" s="4"/>
      <c r="F14" s="4"/>
    </row>
    <row r="15" spans="1:6" ht="16.5" thickTop="1" thickBot="1">
      <c r="A15" s="18" t="s">
        <v>1156</v>
      </c>
      <c r="B15" s="18" t="s">
        <v>745</v>
      </c>
      <c r="C15" s="18">
        <v>50</v>
      </c>
    </row>
    <row r="16" spans="1:6" ht="16.5" thickTop="1" thickBot="1">
      <c r="A16" s="18" t="s">
        <v>45</v>
      </c>
      <c r="B16" s="18" t="s">
        <v>45</v>
      </c>
      <c r="C16" s="18">
        <v>130</v>
      </c>
    </row>
    <row r="17" spans="1:3" ht="16.5" thickTop="1" thickBot="1">
      <c r="A17" s="18" t="s">
        <v>45</v>
      </c>
      <c r="B17" s="18" t="s">
        <v>45</v>
      </c>
      <c r="C17" s="18">
        <v>610</v>
      </c>
    </row>
    <row r="18" spans="1:3" ht="16.5" thickTop="1" thickBot="1">
      <c r="A18" s="18" t="s">
        <v>45</v>
      </c>
      <c r="B18" s="18" t="s">
        <v>45</v>
      </c>
      <c r="C18" s="18">
        <v>287</v>
      </c>
    </row>
    <row r="19" spans="1:3" ht="16.5" thickTop="1" thickBot="1">
      <c r="A19" s="18" t="s">
        <v>1157</v>
      </c>
      <c r="B19" s="18" t="s">
        <v>49</v>
      </c>
      <c r="C19" s="18">
        <v>20</v>
      </c>
    </row>
    <row r="20" spans="1:3" ht="16.5" thickTop="1" thickBot="1">
      <c r="A20" s="18" t="s">
        <v>1158</v>
      </c>
      <c r="B20" s="18" t="s">
        <v>47</v>
      </c>
      <c r="C20" s="18">
        <v>150</v>
      </c>
    </row>
    <row r="21" spans="1:3" ht="16.5" thickTop="1" thickBot="1">
      <c r="A21" s="18">
        <v>441</v>
      </c>
      <c r="B21" s="18" t="s">
        <v>744</v>
      </c>
      <c r="C21" s="18">
        <v>360</v>
      </c>
    </row>
    <row r="22" spans="1:3" ht="16.5" thickTop="1" thickBot="1">
      <c r="A22" s="18" t="s">
        <v>1159</v>
      </c>
      <c r="B22" s="18" t="s">
        <v>49</v>
      </c>
      <c r="C22" s="18">
        <v>761</v>
      </c>
    </row>
    <row r="23" spans="1:3" ht="16.5" thickTop="1" thickBot="1">
      <c r="A23" s="18" t="s">
        <v>1158</v>
      </c>
      <c r="B23" s="18" t="s">
        <v>47</v>
      </c>
      <c r="C23" s="18">
        <v>99</v>
      </c>
    </row>
    <row r="24" spans="1:3" ht="16.5" thickTop="1" thickBot="1">
      <c r="A24" s="18" t="s">
        <v>967</v>
      </c>
      <c r="B24" s="18" t="s">
        <v>49</v>
      </c>
      <c r="C24" s="18">
        <v>146</v>
      </c>
    </row>
    <row r="25" spans="1:3" ht="16.5" thickTop="1" thickBot="1">
      <c r="A25" s="18" t="s">
        <v>413</v>
      </c>
      <c r="B25" s="18" t="s">
        <v>745</v>
      </c>
      <c r="C25" s="18">
        <v>159</v>
      </c>
    </row>
    <row r="26" spans="1:3" ht="16.5" thickTop="1" thickBot="1">
      <c r="A26" s="18" t="s">
        <v>1160</v>
      </c>
      <c r="B26" s="18" t="s">
        <v>49</v>
      </c>
      <c r="C26" s="18">
        <v>119</v>
      </c>
    </row>
    <row r="27" spans="1:3" ht="16.5" thickTop="1" thickBot="1">
      <c r="A27" s="18" t="s">
        <v>1161</v>
      </c>
      <c r="B27" s="18" t="s">
        <v>49</v>
      </c>
      <c r="C27" s="18">
        <v>6</v>
      </c>
    </row>
    <row r="28" spans="1:3" ht="16.5" thickTop="1" thickBot="1">
      <c r="A28" s="18" t="s">
        <v>1162</v>
      </c>
      <c r="B28" s="18" t="s">
        <v>745</v>
      </c>
      <c r="C28" s="18">
        <v>13</v>
      </c>
    </row>
    <row r="29" spans="1:3" ht="16.5" thickTop="1" thickBot="1">
      <c r="A29" s="18" t="s">
        <v>1163</v>
      </c>
      <c r="B29" s="18" t="s">
        <v>49</v>
      </c>
      <c r="C29" s="18">
        <v>55</v>
      </c>
    </row>
    <row r="30" spans="1:3" ht="16.5" thickTop="1" thickBot="1">
      <c r="A30" s="18" t="s">
        <v>1164</v>
      </c>
      <c r="B30" s="18" t="s">
        <v>49</v>
      </c>
      <c r="C30" s="18">
        <v>22</v>
      </c>
    </row>
    <row r="31" spans="1:3" ht="16.5" thickTop="1" thickBot="1">
      <c r="A31" s="18" t="s">
        <v>1165</v>
      </c>
      <c r="B31" s="18" t="s">
        <v>49</v>
      </c>
      <c r="C31" s="18">
        <v>369</v>
      </c>
    </row>
    <row r="32" spans="1:3" ht="16.5" thickTop="1" thickBot="1">
      <c r="A32" s="18" t="s">
        <v>1164</v>
      </c>
      <c r="B32" s="18" t="s">
        <v>49</v>
      </c>
      <c r="C32" s="18">
        <v>10</v>
      </c>
    </row>
    <row r="33" spans="1:3" ht="16.5" thickTop="1" thickBot="1">
      <c r="A33" s="18" t="s">
        <v>1166</v>
      </c>
      <c r="B33" s="18" t="s">
        <v>49</v>
      </c>
      <c r="C33" s="18">
        <v>158</v>
      </c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34:B41" xr:uid="{3590F1F5-8889-4ECB-B477-0195D036F829}">
      <formula1>"猫砂,猫粮,零食,药,日用品,买猫,其它"</formula1>
    </dataValidation>
    <dataValidation type="list" allowBlank="1" showInputMessage="1" showErrorMessage="1" sqref="B2:B33" xr:uid="{96121C05-78BB-4CCE-850A-171E78D7E92B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C1070-8BD3-43BD-A0E8-D40FCF1394D7}">
  <dimension ref="A1:F42"/>
  <sheetViews>
    <sheetView workbookViewId="0">
      <selection sqref="A1:XFD1048576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999</v>
      </c>
      <c r="B2" s="18" t="s">
        <v>745</v>
      </c>
      <c r="C2" s="18">
        <v>5</v>
      </c>
      <c r="E2" s="13" t="s">
        <v>1</v>
      </c>
      <c r="F2" s="13">
        <f t="shared" ref="F2:F12" si="0">SUMIF(B:B,E2,C:C)</f>
        <v>0</v>
      </c>
    </row>
    <row r="3" spans="1:6" ht="16.5" thickTop="1" thickBot="1">
      <c r="A3" s="18" t="s">
        <v>482</v>
      </c>
      <c r="B3" s="18" t="s">
        <v>47</v>
      </c>
      <c r="C3" s="18">
        <v>53</v>
      </c>
      <c r="E3" s="13" t="s">
        <v>2</v>
      </c>
      <c r="F3" s="13">
        <f t="shared" si="0"/>
        <v>1750</v>
      </c>
    </row>
    <row r="4" spans="1:6" ht="16.5" thickTop="1" thickBot="1">
      <c r="A4" s="18" t="s">
        <v>391</v>
      </c>
      <c r="B4" s="18" t="s">
        <v>745</v>
      </c>
      <c r="C4" s="18">
        <v>110</v>
      </c>
      <c r="E4" s="13" t="s">
        <v>3</v>
      </c>
      <c r="F4" s="13">
        <f t="shared" si="0"/>
        <v>262</v>
      </c>
    </row>
    <row r="5" spans="1:6" ht="16.5" thickTop="1" thickBot="1">
      <c r="A5" s="18" t="s">
        <v>482</v>
      </c>
      <c r="B5" s="18" t="s">
        <v>47</v>
      </c>
      <c r="C5" s="18">
        <v>209</v>
      </c>
      <c r="E5" s="13" t="s">
        <v>745</v>
      </c>
      <c r="F5" s="13">
        <f t="shared" si="0"/>
        <v>115</v>
      </c>
    </row>
    <row r="6" spans="1:6" ht="16.5" thickTop="1" thickBot="1">
      <c r="A6" s="18" t="s">
        <v>1134</v>
      </c>
      <c r="B6" s="18" t="s">
        <v>49</v>
      </c>
      <c r="C6" s="18">
        <v>2325</v>
      </c>
      <c r="E6" s="13" t="s">
        <v>375</v>
      </c>
      <c r="F6" s="13">
        <f t="shared" si="0"/>
        <v>0</v>
      </c>
    </row>
    <row r="7" spans="1:6" ht="16.5" thickTop="1" thickBot="1">
      <c r="A7" s="18" t="s">
        <v>50</v>
      </c>
      <c r="B7" s="18" t="s">
        <v>743</v>
      </c>
      <c r="C7" s="18">
        <v>210</v>
      </c>
      <c r="E7" s="13" t="s">
        <v>743</v>
      </c>
      <c r="F7" s="13">
        <f t="shared" si="0"/>
        <v>390</v>
      </c>
    </row>
    <row r="8" spans="1:6" ht="16.5" thickTop="1" thickBot="1">
      <c r="A8" s="18" t="s">
        <v>325</v>
      </c>
      <c r="B8" s="18" t="s">
        <v>444</v>
      </c>
      <c r="C8" s="18">
        <v>66</v>
      </c>
      <c r="E8" s="13" t="s">
        <v>746</v>
      </c>
      <c r="F8" s="13">
        <f t="shared" si="0"/>
        <v>0</v>
      </c>
    </row>
    <row r="9" spans="1:6" ht="16.5" thickTop="1" thickBot="1">
      <c r="A9" s="18" t="s">
        <v>1141</v>
      </c>
      <c r="B9" s="18" t="s">
        <v>743</v>
      </c>
      <c r="C9" s="18">
        <v>180</v>
      </c>
      <c r="E9" s="13" t="s">
        <v>744</v>
      </c>
      <c r="F9" s="13">
        <f t="shared" si="0"/>
        <v>0</v>
      </c>
    </row>
    <row r="10" spans="1:6" ht="16.5" thickTop="1" thickBot="1">
      <c r="A10" s="18" t="s">
        <v>46</v>
      </c>
      <c r="B10" s="18" t="s">
        <v>46</v>
      </c>
      <c r="C10" s="18">
        <v>1750</v>
      </c>
      <c r="E10" s="13" t="s">
        <v>444</v>
      </c>
      <c r="F10" s="13">
        <f t="shared" si="0"/>
        <v>66</v>
      </c>
    </row>
    <row r="11" spans="1:6" ht="16.5" thickTop="1" thickBot="1">
      <c r="A11" s="18"/>
      <c r="B11" s="18"/>
      <c r="C11" s="18"/>
      <c r="E11" s="13" t="s">
        <v>48</v>
      </c>
      <c r="F11" s="13">
        <f t="shared" si="0"/>
        <v>0</v>
      </c>
    </row>
    <row r="12" spans="1:6" ht="16.5" thickTop="1" thickBot="1">
      <c r="A12" s="18"/>
      <c r="B12" s="18"/>
      <c r="C12" s="18"/>
      <c r="E12" s="13" t="s">
        <v>49</v>
      </c>
      <c r="F12" s="13">
        <f t="shared" si="0"/>
        <v>2325</v>
      </c>
    </row>
    <row r="13" spans="1:6" ht="16.5" thickTop="1" thickBot="1">
      <c r="A13" s="18"/>
      <c r="B13" s="18"/>
      <c r="C13" s="18"/>
      <c r="E13" s="13" t="s">
        <v>408</v>
      </c>
      <c r="F13" s="13">
        <f>SUM(F2:F12)</f>
        <v>4908</v>
      </c>
    </row>
    <row r="14" spans="1:6" ht="16.5" thickTop="1" thickBot="1">
      <c r="A14" s="18"/>
      <c r="B14" s="18"/>
      <c r="C14" s="18"/>
      <c r="E14" s="4"/>
      <c r="F14" s="4"/>
    </row>
    <row r="15" spans="1:6" ht="16.5" thickTop="1" thickBot="1">
      <c r="A15" s="18"/>
      <c r="B15" s="18"/>
      <c r="C15" s="18"/>
    </row>
    <row r="16" spans="1:6" ht="16.5" thickTop="1" thickBot="1">
      <c r="A16" s="18"/>
      <c r="B16" s="18"/>
      <c r="C16" s="18"/>
    </row>
    <row r="17" spans="1:3" ht="16.5" thickTop="1" thickBot="1">
      <c r="A17" s="18"/>
      <c r="B17" s="18"/>
      <c r="C17" s="18"/>
    </row>
    <row r="18" spans="1:3" ht="16.5" thickTop="1" thickBot="1">
      <c r="A18" s="18"/>
      <c r="B18" s="18"/>
      <c r="C18" s="18"/>
    </row>
    <row r="19" spans="1:3" ht="16.5" thickTop="1" thickBot="1">
      <c r="A19" s="18"/>
      <c r="B19" s="18"/>
      <c r="C19" s="18"/>
    </row>
    <row r="20" spans="1:3" ht="16.5" thickTop="1" thickBot="1">
      <c r="A20" s="18"/>
      <c r="B20" s="18"/>
      <c r="C20" s="18"/>
    </row>
    <row r="21" spans="1:3" ht="16.5" thickTop="1" thickBot="1">
      <c r="A21" s="18"/>
      <c r="B21" s="18"/>
      <c r="C21" s="18"/>
    </row>
    <row r="22" spans="1:3" ht="16.5" thickTop="1" thickBot="1">
      <c r="A22" s="18"/>
      <c r="B22" s="18"/>
      <c r="C22" s="18"/>
    </row>
    <row r="23" spans="1:3" ht="16.5" thickTop="1" thickBot="1">
      <c r="A23" s="18"/>
      <c r="B23" s="18"/>
      <c r="C23" s="18"/>
    </row>
    <row r="24" spans="1:3" ht="16.5" thickTop="1" thickBot="1">
      <c r="A24" s="18"/>
      <c r="B24" s="18"/>
      <c r="C24" s="18"/>
    </row>
    <row r="25" spans="1:3" ht="16.5" thickTop="1" thickBot="1">
      <c r="A25" s="18"/>
      <c r="B25" s="18"/>
      <c r="C25" s="18"/>
    </row>
    <row r="26" spans="1:3" ht="16.5" thickTop="1" thickBot="1">
      <c r="A26" s="18"/>
      <c r="B26" s="18"/>
      <c r="C26" s="18"/>
    </row>
    <row r="27" spans="1:3" ht="16.5" thickTop="1" thickBot="1">
      <c r="A27" s="18"/>
      <c r="B27" s="18"/>
      <c r="C27" s="18"/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2:B30" xr:uid="{A3921666-BD19-48CF-BA6E-2BA70E5F705C}">
      <formula1>"猫砂,猫粮,零食,消耗品,疫苗,常用药,治疗费,不常用药,运费,买猫,其它"</formula1>
    </dataValidation>
    <dataValidation type="list" allowBlank="1" showInputMessage="1" showErrorMessage="1" sqref="B31:B41" xr:uid="{025F7596-C91F-48C8-8FA8-5A83C526CDC2}">
      <formula1>"猫砂,猫粮,零食,药,日用品,买猫,其它"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42ED8-32CE-4F7E-B22C-01AEC641DAF0}">
  <dimension ref="A1:F42"/>
  <sheetViews>
    <sheetView workbookViewId="0">
      <selection activeCell="C18" sqref="C18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413</v>
      </c>
      <c r="B2" s="18" t="s">
        <v>745</v>
      </c>
      <c r="C2" s="18">
        <v>160</v>
      </c>
      <c r="E2" s="13" t="s">
        <v>1</v>
      </c>
      <c r="F2" s="13">
        <f t="shared" ref="F2:F12" si="0">SUMIF(B:B,E2,C:C)</f>
        <v>1825</v>
      </c>
    </row>
    <row r="3" spans="1:6" ht="16.5" thickTop="1" thickBot="1">
      <c r="A3" s="18" t="s">
        <v>421</v>
      </c>
      <c r="B3" s="18" t="s">
        <v>745</v>
      </c>
      <c r="C3" s="18">
        <v>60</v>
      </c>
      <c r="E3" s="13" t="s">
        <v>2</v>
      </c>
      <c r="F3" s="13">
        <f t="shared" si="0"/>
        <v>1050</v>
      </c>
    </row>
    <row r="4" spans="1:6" ht="16.5" thickTop="1" thickBot="1">
      <c r="A4" s="18" t="s">
        <v>1135</v>
      </c>
      <c r="B4" s="18" t="s">
        <v>49</v>
      </c>
      <c r="C4" s="18">
        <v>34</v>
      </c>
      <c r="E4" s="13" t="s">
        <v>3</v>
      </c>
      <c r="F4" s="13">
        <f t="shared" si="0"/>
        <v>324</v>
      </c>
    </row>
    <row r="5" spans="1:6" ht="16.5" thickTop="1" thickBot="1">
      <c r="A5" s="18" t="s">
        <v>1136</v>
      </c>
      <c r="B5" s="18" t="s">
        <v>49</v>
      </c>
      <c r="C5" s="18">
        <v>6</v>
      </c>
      <c r="E5" s="13" t="s">
        <v>745</v>
      </c>
      <c r="F5" s="13">
        <f t="shared" si="0"/>
        <v>491</v>
      </c>
    </row>
    <row r="6" spans="1:6" ht="16.5" thickTop="1" thickBot="1">
      <c r="A6" s="18" t="s">
        <v>45</v>
      </c>
      <c r="B6" s="18" t="s">
        <v>45</v>
      </c>
      <c r="C6" s="18">
        <v>125</v>
      </c>
      <c r="E6" s="13" t="s">
        <v>375</v>
      </c>
      <c r="F6" s="13">
        <f t="shared" si="0"/>
        <v>100</v>
      </c>
    </row>
    <row r="7" spans="1:6" ht="16.5" thickTop="1" thickBot="1">
      <c r="A7" s="18" t="s">
        <v>46</v>
      </c>
      <c r="B7" s="18" t="s">
        <v>46</v>
      </c>
      <c r="C7" s="18">
        <v>1050</v>
      </c>
      <c r="E7" s="13" t="s">
        <v>743</v>
      </c>
      <c r="F7" s="13">
        <f t="shared" si="0"/>
        <v>146</v>
      </c>
    </row>
    <row r="8" spans="1:6" ht="16.5" thickTop="1" thickBot="1">
      <c r="A8" s="18" t="s">
        <v>391</v>
      </c>
      <c r="B8" s="18" t="s">
        <v>745</v>
      </c>
      <c r="C8" s="18">
        <v>81</v>
      </c>
      <c r="E8" s="13" t="s">
        <v>746</v>
      </c>
      <c r="F8" s="13">
        <f t="shared" si="0"/>
        <v>0</v>
      </c>
    </row>
    <row r="9" spans="1:6" ht="16.5" thickTop="1" thickBot="1">
      <c r="A9" s="18" t="s">
        <v>375</v>
      </c>
      <c r="B9" s="18" t="s">
        <v>375</v>
      </c>
      <c r="C9" s="18">
        <v>100</v>
      </c>
      <c r="E9" s="13" t="s">
        <v>744</v>
      </c>
      <c r="F9" s="13">
        <f t="shared" si="0"/>
        <v>0</v>
      </c>
    </row>
    <row r="10" spans="1:6" ht="16.5" thickTop="1" thickBot="1">
      <c r="A10" s="18" t="s">
        <v>1139</v>
      </c>
      <c r="B10" s="18" t="s">
        <v>49</v>
      </c>
      <c r="C10" s="18">
        <v>459</v>
      </c>
      <c r="E10" s="13" t="s">
        <v>444</v>
      </c>
      <c r="F10" s="13">
        <f t="shared" si="0"/>
        <v>0</v>
      </c>
    </row>
    <row r="11" spans="1:6" ht="16.5" thickTop="1" thickBot="1">
      <c r="A11" s="18" t="s">
        <v>606</v>
      </c>
      <c r="B11" s="18" t="s">
        <v>743</v>
      </c>
      <c r="C11" s="18">
        <v>146</v>
      </c>
      <c r="E11" s="13" t="s">
        <v>48</v>
      </c>
      <c r="F11" s="13">
        <f t="shared" si="0"/>
        <v>0</v>
      </c>
    </row>
    <row r="12" spans="1:6" ht="16.5" thickTop="1" thickBot="1">
      <c r="A12" s="18" t="s">
        <v>333</v>
      </c>
      <c r="B12" s="18" t="s">
        <v>745</v>
      </c>
      <c r="C12" s="18">
        <v>100</v>
      </c>
      <c r="E12" s="13" t="s">
        <v>49</v>
      </c>
      <c r="F12" s="13">
        <f t="shared" si="0"/>
        <v>1935</v>
      </c>
    </row>
    <row r="13" spans="1:6" ht="16.5" thickTop="1" thickBot="1">
      <c r="A13" s="18" t="s">
        <v>391</v>
      </c>
      <c r="B13" s="18" t="s">
        <v>745</v>
      </c>
      <c r="C13" s="18">
        <v>18</v>
      </c>
      <c r="E13" s="13" t="s">
        <v>408</v>
      </c>
      <c r="F13" s="13">
        <f>SUM(F2:F12)</f>
        <v>5871</v>
      </c>
    </row>
    <row r="14" spans="1:6" ht="16.5" thickTop="1" thickBot="1">
      <c r="A14" s="18" t="s">
        <v>482</v>
      </c>
      <c r="B14" s="18" t="s">
        <v>47</v>
      </c>
      <c r="C14" s="18">
        <v>324</v>
      </c>
      <c r="E14" s="4"/>
      <c r="F14" s="4"/>
    </row>
    <row r="15" spans="1:6" ht="16.5" thickTop="1" thickBot="1">
      <c r="A15" s="18" t="s">
        <v>1140</v>
      </c>
      <c r="B15" s="18" t="s">
        <v>49</v>
      </c>
      <c r="C15" s="18">
        <v>300</v>
      </c>
    </row>
    <row r="16" spans="1:6" ht="16.5" thickTop="1" thickBot="1">
      <c r="A16" s="18" t="s">
        <v>933</v>
      </c>
      <c r="B16" s="18" t="s">
        <v>745</v>
      </c>
      <c r="C16" s="18">
        <v>72</v>
      </c>
    </row>
    <row r="17" spans="1:3" ht="16.5" thickTop="1" thickBot="1">
      <c r="A17" s="18" t="s">
        <v>45</v>
      </c>
      <c r="B17" s="18" t="s">
        <v>45</v>
      </c>
      <c r="C17" s="18">
        <v>1700</v>
      </c>
    </row>
    <row r="18" spans="1:3" ht="16.5" thickTop="1" thickBot="1">
      <c r="A18" s="18" t="s">
        <v>1134</v>
      </c>
      <c r="B18" s="18" t="s">
        <v>49</v>
      </c>
      <c r="C18" s="18">
        <v>1136</v>
      </c>
    </row>
    <row r="19" spans="1:3" ht="16.5" thickTop="1" thickBot="1">
      <c r="A19" s="18"/>
      <c r="B19" s="18"/>
      <c r="C19" s="18"/>
    </row>
    <row r="20" spans="1:3" ht="16.5" thickTop="1" thickBot="1">
      <c r="A20" s="18"/>
      <c r="B20" s="18"/>
      <c r="C20" s="18"/>
    </row>
    <row r="21" spans="1:3" ht="16.5" thickTop="1" thickBot="1">
      <c r="A21" s="18"/>
      <c r="B21" s="18"/>
      <c r="C21" s="18"/>
    </row>
    <row r="22" spans="1:3" ht="16.5" thickTop="1" thickBot="1">
      <c r="A22" s="18"/>
      <c r="B22" s="18"/>
      <c r="C22" s="18"/>
    </row>
    <row r="23" spans="1:3" ht="16.5" thickTop="1" thickBot="1">
      <c r="A23" s="18"/>
      <c r="B23" s="18"/>
      <c r="C23" s="18"/>
    </row>
    <row r="24" spans="1:3" ht="16.5" thickTop="1" thickBot="1">
      <c r="A24" s="18"/>
      <c r="B24" s="18"/>
      <c r="C24" s="18"/>
    </row>
    <row r="25" spans="1:3" ht="16.5" thickTop="1" thickBot="1">
      <c r="A25" s="18"/>
      <c r="B25" s="18"/>
      <c r="C25" s="18"/>
    </row>
    <row r="26" spans="1:3" ht="16.5" thickTop="1" thickBot="1">
      <c r="A26" s="18"/>
      <c r="B26" s="18"/>
      <c r="C26" s="18"/>
    </row>
    <row r="27" spans="1:3" ht="16.5" thickTop="1" thickBot="1">
      <c r="A27" s="18"/>
      <c r="B27" s="18"/>
      <c r="C27" s="18"/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31:B41" xr:uid="{50F6B9F6-5B74-4AC4-AE71-206AC595BC09}">
      <formula1>"猫砂,猫粮,零食,药,日用品,买猫,其它"</formula1>
    </dataValidation>
    <dataValidation type="list" allowBlank="1" showInputMessage="1" showErrorMessage="1" sqref="B2:B30" xr:uid="{5C68755D-4F7F-4E44-8E6F-C10756F65500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8F19F-E6A3-4275-9301-4DF4A44F9175}">
  <dimension ref="A1:F42"/>
  <sheetViews>
    <sheetView workbookViewId="0">
      <selection activeCell="D27" sqref="D27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1131</v>
      </c>
      <c r="B2" s="18" t="s">
        <v>745</v>
      </c>
      <c r="C2" s="18">
        <v>24</v>
      </c>
      <c r="E2" s="13" t="s">
        <v>1</v>
      </c>
      <c r="F2" s="13">
        <f t="shared" ref="F2:F12" si="0">SUMIF(B:B,E2,C:C)</f>
        <v>800</v>
      </c>
    </row>
    <row r="3" spans="1:6" ht="16.5" thickTop="1" thickBot="1">
      <c r="A3" s="18" t="s">
        <v>541</v>
      </c>
      <c r="B3" s="18" t="s">
        <v>745</v>
      </c>
      <c r="C3" s="18">
        <v>28</v>
      </c>
      <c r="E3" s="13" t="s">
        <v>2</v>
      </c>
      <c r="F3" s="13">
        <f t="shared" si="0"/>
        <v>35</v>
      </c>
    </row>
    <row r="4" spans="1:6" ht="16.5" thickTop="1" thickBot="1">
      <c r="A4" s="18" t="s">
        <v>327</v>
      </c>
      <c r="B4" s="18" t="s">
        <v>47</v>
      </c>
      <c r="C4" s="18">
        <v>345</v>
      </c>
      <c r="E4" s="13" t="s">
        <v>3</v>
      </c>
      <c r="F4" s="13">
        <f t="shared" si="0"/>
        <v>614</v>
      </c>
    </row>
    <row r="5" spans="1:6" ht="16.5" thickTop="1" thickBot="1">
      <c r="A5" s="18" t="s">
        <v>538</v>
      </c>
      <c r="B5" s="18" t="s">
        <v>47</v>
      </c>
      <c r="C5" s="18">
        <v>60</v>
      </c>
      <c r="E5" s="13" t="s">
        <v>745</v>
      </c>
      <c r="F5" s="13">
        <f t="shared" si="0"/>
        <v>86</v>
      </c>
    </row>
    <row r="6" spans="1:6" ht="16.5" thickTop="1" thickBot="1">
      <c r="A6" s="18" t="s">
        <v>391</v>
      </c>
      <c r="B6" s="18" t="s">
        <v>745</v>
      </c>
      <c r="C6" s="18">
        <v>15</v>
      </c>
      <c r="E6" s="13" t="s">
        <v>375</v>
      </c>
      <c r="F6" s="13">
        <f t="shared" si="0"/>
        <v>956</v>
      </c>
    </row>
    <row r="7" spans="1:6" ht="16.5" thickTop="1" thickBot="1">
      <c r="A7" s="18" t="s">
        <v>375</v>
      </c>
      <c r="B7" s="18" t="s">
        <v>375</v>
      </c>
      <c r="C7" s="18">
        <v>956</v>
      </c>
      <c r="E7" s="13" t="s">
        <v>743</v>
      </c>
      <c r="F7" s="13">
        <f t="shared" si="0"/>
        <v>196</v>
      </c>
    </row>
    <row r="8" spans="1:6" ht="16.5" thickTop="1" thickBot="1">
      <c r="A8" s="18" t="s">
        <v>45</v>
      </c>
      <c r="B8" s="18" t="s">
        <v>45</v>
      </c>
      <c r="C8" s="18">
        <v>800</v>
      </c>
      <c r="E8" s="13" t="s">
        <v>746</v>
      </c>
      <c r="F8" s="13">
        <f t="shared" si="0"/>
        <v>0</v>
      </c>
    </row>
    <row r="9" spans="1:6" ht="16.5" thickTop="1" thickBot="1">
      <c r="A9" s="18" t="s">
        <v>482</v>
      </c>
      <c r="B9" s="18" t="s">
        <v>47</v>
      </c>
      <c r="C9" s="18">
        <v>209</v>
      </c>
      <c r="E9" s="13" t="s">
        <v>744</v>
      </c>
      <c r="F9" s="13">
        <f t="shared" si="0"/>
        <v>0</v>
      </c>
    </row>
    <row r="10" spans="1:6" ht="16.5" thickTop="1" thickBot="1">
      <c r="A10" s="18" t="s">
        <v>46</v>
      </c>
      <c r="B10" s="18" t="s">
        <v>46</v>
      </c>
      <c r="C10" s="18">
        <v>35</v>
      </c>
      <c r="E10" s="13" t="s">
        <v>444</v>
      </c>
      <c r="F10" s="13">
        <f t="shared" si="0"/>
        <v>0</v>
      </c>
    </row>
    <row r="11" spans="1:6" ht="16.5" thickTop="1" thickBot="1">
      <c r="A11" s="18" t="s">
        <v>579</v>
      </c>
      <c r="B11" s="18" t="s">
        <v>743</v>
      </c>
      <c r="C11" s="18">
        <v>196</v>
      </c>
      <c r="E11" s="13" t="s">
        <v>48</v>
      </c>
      <c r="F11" s="13">
        <f t="shared" si="0"/>
        <v>0</v>
      </c>
    </row>
    <row r="12" spans="1:6" ht="16.5" thickTop="1" thickBot="1">
      <c r="A12" s="18" t="s">
        <v>933</v>
      </c>
      <c r="B12" s="18" t="s">
        <v>745</v>
      </c>
      <c r="C12" s="18">
        <v>19</v>
      </c>
      <c r="E12" s="13" t="s">
        <v>49</v>
      </c>
      <c r="F12" s="13">
        <f t="shared" si="0"/>
        <v>2589</v>
      </c>
    </row>
    <row r="13" spans="1:6" ht="16.5" thickTop="1" thickBot="1">
      <c r="A13" s="18" t="s">
        <v>1133</v>
      </c>
      <c r="B13" s="18" t="s">
        <v>49</v>
      </c>
      <c r="C13" s="18">
        <v>167</v>
      </c>
      <c r="E13" s="13" t="s">
        <v>408</v>
      </c>
      <c r="F13" s="13">
        <f>SUM(F2:F12)</f>
        <v>5276</v>
      </c>
    </row>
    <row r="14" spans="1:6" ht="16.5" thickTop="1" thickBot="1">
      <c r="A14" s="18" t="s">
        <v>449</v>
      </c>
      <c r="B14" s="18" t="s">
        <v>49</v>
      </c>
      <c r="C14" s="18">
        <v>390</v>
      </c>
      <c r="E14" s="4"/>
      <c r="F14" s="4"/>
    </row>
    <row r="15" spans="1:6" ht="16.5" thickTop="1" thickBot="1">
      <c r="A15" s="18" t="s">
        <v>1134</v>
      </c>
      <c r="B15" s="18" t="s">
        <v>49</v>
      </c>
      <c r="C15" s="18">
        <v>2002</v>
      </c>
    </row>
    <row r="16" spans="1:6" ht="16.5" thickTop="1" thickBot="1">
      <c r="A16" s="18" t="s">
        <v>322</v>
      </c>
      <c r="B16" s="18" t="s">
        <v>49</v>
      </c>
      <c r="C16" s="18">
        <v>30</v>
      </c>
    </row>
    <row r="17" spans="1:3" ht="16.5" thickTop="1" thickBot="1">
      <c r="A17" s="18"/>
      <c r="B17" s="18"/>
      <c r="C17" s="18"/>
    </row>
    <row r="18" spans="1:3" ht="16.5" thickTop="1" thickBot="1">
      <c r="A18" s="18"/>
      <c r="B18" s="18"/>
      <c r="C18" s="18"/>
    </row>
    <row r="19" spans="1:3" ht="16.5" thickTop="1" thickBot="1">
      <c r="A19" s="18"/>
      <c r="B19" s="18"/>
      <c r="C19" s="18"/>
    </row>
    <row r="20" spans="1:3" ht="16.5" thickTop="1" thickBot="1">
      <c r="A20" s="18"/>
      <c r="B20" s="18"/>
      <c r="C20" s="18"/>
    </row>
    <row r="21" spans="1:3" ht="16.5" thickTop="1" thickBot="1">
      <c r="A21" s="18"/>
      <c r="B21" s="18"/>
      <c r="C21" s="18"/>
    </row>
    <row r="22" spans="1:3" ht="16.5" thickTop="1" thickBot="1">
      <c r="A22" s="18"/>
      <c r="B22" s="18"/>
      <c r="C22" s="18"/>
    </row>
    <row r="23" spans="1:3" ht="16.5" thickTop="1" thickBot="1">
      <c r="A23" s="18"/>
      <c r="B23" s="18"/>
      <c r="C23" s="18"/>
    </row>
    <row r="24" spans="1:3" ht="16.5" thickTop="1" thickBot="1">
      <c r="A24" s="18"/>
      <c r="B24" s="18"/>
      <c r="C24" s="18"/>
    </row>
    <row r="25" spans="1:3" ht="16.5" thickTop="1" thickBot="1">
      <c r="A25" s="18"/>
      <c r="B25" s="18"/>
      <c r="C25" s="18"/>
    </row>
    <row r="26" spans="1:3" ht="16.5" thickTop="1" thickBot="1">
      <c r="A26" s="18"/>
      <c r="B26" s="18"/>
      <c r="C26" s="18"/>
    </row>
    <row r="27" spans="1:3" ht="16.5" thickTop="1" thickBot="1">
      <c r="A27" s="18"/>
      <c r="B27" s="18"/>
      <c r="C27" s="18"/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2:B30" xr:uid="{C8CF2BB1-A857-41EB-A4C6-436C76E0ECB5}">
      <formula1>"猫砂,猫粮,零食,消耗品,疫苗,常用药,治疗费,不常用药,运费,买猫,其它"</formula1>
    </dataValidation>
    <dataValidation type="list" allowBlank="1" showInputMessage="1" showErrorMessage="1" sqref="B31:B41" xr:uid="{2AB04337-75FC-4D85-8049-D14D29E80734}">
      <formula1>"猫砂,猫粮,零食,药,日用品,买猫,其它"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5A959-32B1-4A36-BCFB-8EBA2989339F}">
  <dimension ref="A1:F42"/>
  <sheetViews>
    <sheetView workbookViewId="0">
      <selection activeCell="D28" sqref="D28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482</v>
      </c>
      <c r="B2" s="18" t="s">
        <v>45</v>
      </c>
      <c r="C2" s="18">
        <v>209</v>
      </c>
      <c r="E2" s="13" t="s">
        <v>1</v>
      </c>
      <c r="F2" s="13">
        <f t="shared" ref="F2:F12" si="0">SUMIF(B:B,E2,C:C)</f>
        <v>1194</v>
      </c>
    </row>
    <row r="3" spans="1:6" ht="16.5" thickTop="1" thickBot="1">
      <c r="A3" s="18" t="s">
        <v>45</v>
      </c>
      <c r="B3" s="18" t="s">
        <v>45</v>
      </c>
      <c r="C3" s="18">
        <v>45</v>
      </c>
      <c r="E3" s="13" t="s">
        <v>2</v>
      </c>
      <c r="F3" s="13">
        <f t="shared" si="0"/>
        <v>470</v>
      </c>
    </row>
    <row r="4" spans="1:6" ht="16.5" thickTop="1" thickBot="1">
      <c r="A4" s="18" t="s">
        <v>933</v>
      </c>
      <c r="B4" s="18" t="s">
        <v>745</v>
      </c>
      <c r="C4" s="18">
        <v>34</v>
      </c>
      <c r="E4" s="13" t="s">
        <v>3</v>
      </c>
      <c r="F4" s="13">
        <f t="shared" si="0"/>
        <v>538</v>
      </c>
    </row>
    <row r="5" spans="1:6" ht="16.5" thickTop="1" thickBot="1">
      <c r="A5" s="18" t="s">
        <v>961</v>
      </c>
      <c r="B5" s="18" t="s">
        <v>49</v>
      </c>
      <c r="C5" s="18">
        <v>100</v>
      </c>
      <c r="E5" s="13" t="s">
        <v>745</v>
      </c>
      <c r="F5" s="13">
        <f t="shared" si="0"/>
        <v>194</v>
      </c>
    </row>
    <row r="6" spans="1:6" ht="16.5" thickTop="1" thickBot="1">
      <c r="A6" s="18" t="s">
        <v>327</v>
      </c>
      <c r="B6" s="18" t="s">
        <v>47</v>
      </c>
      <c r="C6" s="18">
        <v>230</v>
      </c>
      <c r="E6" s="13" t="s">
        <v>375</v>
      </c>
      <c r="F6" s="13">
        <f t="shared" si="0"/>
        <v>956</v>
      </c>
    </row>
    <row r="7" spans="1:6" ht="16.5" thickTop="1" thickBot="1">
      <c r="A7" s="18" t="s">
        <v>538</v>
      </c>
      <c r="B7" s="18" t="s">
        <v>47</v>
      </c>
      <c r="C7" s="18">
        <v>170</v>
      </c>
      <c r="E7" s="13" t="s">
        <v>743</v>
      </c>
      <c r="F7" s="13">
        <f t="shared" si="0"/>
        <v>400</v>
      </c>
    </row>
    <row r="8" spans="1:6" ht="16.5" thickTop="1" thickBot="1">
      <c r="A8" s="18" t="s">
        <v>45</v>
      </c>
      <c r="B8" s="18" t="s">
        <v>45</v>
      </c>
      <c r="C8" s="18">
        <v>410</v>
      </c>
      <c r="E8" s="13" t="s">
        <v>746</v>
      </c>
      <c r="F8" s="13">
        <f t="shared" si="0"/>
        <v>0</v>
      </c>
    </row>
    <row r="9" spans="1:6" ht="16.5" thickTop="1" thickBot="1">
      <c r="A9" s="18" t="s">
        <v>49</v>
      </c>
      <c r="B9" s="18" t="s">
        <v>49</v>
      </c>
      <c r="C9" s="18">
        <v>26.8</v>
      </c>
      <c r="E9" s="13" t="s">
        <v>744</v>
      </c>
      <c r="F9" s="13">
        <f t="shared" si="0"/>
        <v>0</v>
      </c>
    </row>
    <row r="10" spans="1:6" ht="16.5" thickTop="1" thickBot="1">
      <c r="A10" s="18" t="s">
        <v>1048</v>
      </c>
      <c r="B10" s="18" t="s">
        <v>49</v>
      </c>
      <c r="C10" s="18">
        <v>300</v>
      </c>
      <c r="E10" s="13" t="s">
        <v>444</v>
      </c>
      <c r="F10" s="13">
        <f t="shared" si="0"/>
        <v>56</v>
      </c>
    </row>
    <row r="11" spans="1:6" ht="16.5" thickTop="1" thickBot="1">
      <c r="A11" s="18" t="s">
        <v>538</v>
      </c>
      <c r="B11" s="18" t="s">
        <v>47</v>
      </c>
      <c r="C11" s="18">
        <v>36</v>
      </c>
      <c r="E11" s="13" t="s">
        <v>48</v>
      </c>
      <c r="F11" s="13">
        <f t="shared" si="0"/>
        <v>0</v>
      </c>
    </row>
    <row r="12" spans="1:6" ht="16.5" thickTop="1" thickBot="1">
      <c r="A12" s="18" t="s">
        <v>321</v>
      </c>
      <c r="B12" s="18" t="s">
        <v>49</v>
      </c>
      <c r="C12" s="18">
        <v>320</v>
      </c>
      <c r="E12" s="13" t="s">
        <v>49</v>
      </c>
      <c r="F12" s="13">
        <f t="shared" si="0"/>
        <v>3127.3</v>
      </c>
    </row>
    <row r="13" spans="1:6" ht="16.5" thickTop="1" thickBot="1">
      <c r="A13" s="18" t="s">
        <v>381</v>
      </c>
      <c r="B13" s="18" t="s">
        <v>444</v>
      </c>
      <c r="C13" s="18">
        <v>34</v>
      </c>
      <c r="E13" s="13" t="s">
        <v>408</v>
      </c>
      <c r="F13" s="13">
        <f>SUM(F2:F12)</f>
        <v>6935.3</v>
      </c>
    </row>
    <row r="14" spans="1:6" ht="16.5" thickTop="1" thickBot="1">
      <c r="A14" s="18" t="s">
        <v>1010</v>
      </c>
      <c r="B14" s="18" t="s">
        <v>444</v>
      </c>
      <c r="C14" s="18">
        <v>22</v>
      </c>
      <c r="E14" s="4"/>
      <c r="F14" s="4"/>
    </row>
    <row r="15" spans="1:6" ht="16.5" thickTop="1" thickBot="1">
      <c r="A15" s="18" t="s">
        <v>538</v>
      </c>
      <c r="B15" s="18" t="s">
        <v>47</v>
      </c>
      <c r="C15" s="18">
        <v>102</v>
      </c>
    </row>
    <row r="16" spans="1:6" ht="16.5" thickTop="1" thickBot="1">
      <c r="A16" s="18" t="s">
        <v>1127</v>
      </c>
      <c r="B16" s="18" t="s">
        <v>49</v>
      </c>
      <c r="C16" s="18">
        <v>400</v>
      </c>
    </row>
    <row r="17" spans="1:3" ht="16.5" thickTop="1" thickBot="1">
      <c r="A17" s="18" t="s">
        <v>1048</v>
      </c>
      <c r="B17" s="18" t="s">
        <v>49</v>
      </c>
      <c r="C17" s="18">
        <v>430</v>
      </c>
    </row>
    <row r="18" spans="1:3" ht="16.5" thickTop="1" thickBot="1">
      <c r="A18" s="18" t="s">
        <v>46</v>
      </c>
      <c r="B18" s="18" t="s">
        <v>46</v>
      </c>
      <c r="C18" s="18">
        <v>470</v>
      </c>
    </row>
    <row r="19" spans="1:3" ht="16.5" thickTop="1" thickBot="1">
      <c r="A19" s="18" t="s">
        <v>45</v>
      </c>
      <c r="B19" s="18" t="s">
        <v>45</v>
      </c>
      <c r="C19" s="18">
        <v>190</v>
      </c>
    </row>
    <row r="20" spans="1:3" ht="16.5" thickTop="1" thickBot="1">
      <c r="A20" s="18" t="s">
        <v>45</v>
      </c>
      <c r="B20" s="18" t="s">
        <v>45</v>
      </c>
      <c r="C20" s="18">
        <v>40</v>
      </c>
    </row>
    <row r="21" spans="1:3" ht="16.5" thickTop="1" thickBot="1">
      <c r="A21" s="18" t="s">
        <v>375</v>
      </c>
      <c r="B21" s="18" t="s">
        <v>375</v>
      </c>
      <c r="C21" s="18">
        <v>956</v>
      </c>
    </row>
    <row r="22" spans="1:3" ht="16.5" thickTop="1" thickBot="1">
      <c r="A22" s="18" t="s">
        <v>45</v>
      </c>
      <c r="B22" s="18" t="s">
        <v>45</v>
      </c>
      <c r="C22" s="18">
        <v>300</v>
      </c>
    </row>
    <row r="23" spans="1:3" ht="16.5" thickTop="1" thickBot="1">
      <c r="A23" s="18" t="s">
        <v>330</v>
      </c>
      <c r="B23" s="18" t="s">
        <v>49</v>
      </c>
      <c r="C23" s="18">
        <v>32</v>
      </c>
    </row>
    <row r="24" spans="1:3" ht="16.5" thickTop="1" thickBot="1">
      <c r="A24" s="18">
        <v>441</v>
      </c>
      <c r="B24" s="18" t="s">
        <v>743</v>
      </c>
      <c r="C24" s="18">
        <v>400</v>
      </c>
    </row>
    <row r="25" spans="1:3" ht="16.5" thickTop="1" thickBot="1">
      <c r="A25" s="18" t="s">
        <v>1128</v>
      </c>
      <c r="B25" s="18" t="s">
        <v>49</v>
      </c>
      <c r="C25" s="18">
        <v>1409</v>
      </c>
    </row>
    <row r="26" spans="1:3" ht="16.5" thickTop="1" thickBot="1">
      <c r="A26" s="18" t="s">
        <v>413</v>
      </c>
      <c r="B26" s="18" t="s">
        <v>745</v>
      </c>
      <c r="C26" s="18">
        <v>160</v>
      </c>
    </row>
    <row r="27" spans="1:3" ht="16.5" thickTop="1" thickBot="1">
      <c r="A27" s="18" t="s">
        <v>1129</v>
      </c>
      <c r="B27" s="18" t="s">
        <v>49</v>
      </c>
      <c r="C27" s="18">
        <v>26.5</v>
      </c>
    </row>
    <row r="28" spans="1:3" ht="16.5" thickTop="1" thickBot="1">
      <c r="A28" s="18" t="s">
        <v>1130</v>
      </c>
      <c r="B28" s="18" t="s">
        <v>49</v>
      </c>
      <c r="C28" s="18">
        <v>83</v>
      </c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31:B41" xr:uid="{FDC8D634-9D98-4B2A-AB1A-ACBCAFCF1C9C}">
      <formula1>"猫砂,猫粮,零食,药,日用品,买猫,其它"</formula1>
    </dataValidation>
    <dataValidation type="list" allowBlank="1" showInputMessage="1" showErrorMessage="1" sqref="B2:B30" xr:uid="{5222F573-796A-4B6D-86DF-12F3B0B21EFB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15D7D-081E-49F6-BDE0-86CFD9E0CD8C}">
  <dimension ref="A1:F42"/>
  <sheetViews>
    <sheetView workbookViewId="0">
      <selection activeCell="E23" sqref="E23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1110</v>
      </c>
      <c r="B2" s="18" t="s">
        <v>743</v>
      </c>
      <c r="C2" s="18">
        <v>216</v>
      </c>
      <c r="E2" s="13" t="s">
        <v>1</v>
      </c>
      <c r="F2" s="13">
        <f t="shared" ref="F2:F12" si="0">SUMIF(B:B,E2,C:C)</f>
        <v>1163</v>
      </c>
    </row>
    <row r="3" spans="1:6" ht="16.5" thickTop="1" thickBot="1">
      <c r="A3" s="18" t="s">
        <v>1111</v>
      </c>
      <c r="B3" s="18" t="s">
        <v>744</v>
      </c>
      <c r="C3" s="18">
        <v>96</v>
      </c>
      <c r="E3" s="13" t="s">
        <v>2</v>
      </c>
      <c r="F3" s="13">
        <f t="shared" si="0"/>
        <v>2030</v>
      </c>
    </row>
    <row r="4" spans="1:6" ht="16.5" thickTop="1" thickBot="1">
      <c r="A4" s="18" t="s">
        <v>45</v>
      </c>
      <c r="B4" s="18" t="s">
        <v>45</v>
      </c>
      <c r="C4" s="18">
        <v>757</v>
      </c>
      <c r="E4" s="13" t="s">
        <v>3</v>
      </c>
      <c r="F4" s="13">
        <f t="shared" si="0"/>
        <v>515</v>
      </c>
    </row>
    <row r="5" spans="1:6" ht="16.5" thickTop="1" thickBot="1">
      <c r="A5" s="18" t="s">
        <v>45</v>
      </c>
      <c r="B5" s="18" t="s">
        <v>45</v>
      </c>
      <c r="C5" s="18">
        <v>220</v>
      </c>
      <c r="E5" s="13" t="s">
        <v>745</v>
      </c>
      <c r="F5" s="13">
        <f t="shared" si="0"/>
        <v>100</v>
      </c>
    </row>
    <row r="6" spans="1:6" ht="16.5" thickTop="1" thickBot="1">
      <c r="A6" s="18" t="s">
        <v>47</v>
      </c>
      <c r="B6" s="18" t="s">
        <v>47</v>
      </c>
      <c r="C6" s="18">
        <v>29</v>
      </c>
      <c r="E6" s="13" t="s">
        <v>375</v>
      </c>
      <c r="F6" s="13">
        <f t="shared" si="0"/>
        <v>66</v>
      </c>
    </row>
    <row r="7" spans="1:6" ht="16.5" thickTop="1" thickBot="1">
      <c r="A7" s="18" t="s">
        <v>45</v>
      </c>
      <c r="B7" s="18" t="s">
        <v>45</v>
      </c>
      <c r="C7" s="18">
        <v>60</v>
      </c>
      <c r="E7" s="13" t="s">
        <v>743</v>
      </c>
      <c r="F7" s="13">
        <f t="shared" si="0"/>
        <v>1092</v>
      </c>
    </row>
    <row r="8" spans="1:6" ht="16.5" thickTop="1" thickBot="1">
      <c r="A8" s="18" t="s">
        <v>1112</v>
      </c>
      <c r="B8" s="18" t="s">
        <v>744</v>
      </c>
      <c r="C8" s="18">
        <v>113</v>
      </c>
      <c r="E8" s="13" t="s">
        <v>746</v>
      </c>
      <c r="F8" s="13">
        <f t="shared" si="0"/>
        <v>230</v>
      </c>
    </row>
    <row r="9" spans="1:6" ht="16.5" thickTop="1" thickBot="1">
      <c r="A9" s="18" t="s">
        <v>899</v>
      </c>
      <c r="B9" s="18" t="s">
        <v>45</v>
      </c>
      <c r="C9" s="18">
        <v>126</v>
      </c>
      <c r="E9" s="13" t="s">
        <v>744</v>
      </c>
      <c r="F9" s="13">
        <f t="shared" si="0"/>
        <v>272</v>
      </c>
    </row>
    <row r="10" spans="1:6" ht="16.5" thickTop="1" thickBot="1">
      <c r="A10" s="18" t="s">
        <v>962</v>
      </c>
      <c r="B10" s="18" t="s">
        <v>47</v>
      </c>
      <c r="C10" s="18">
        <v>155</v>
      </c>
      <c r="E10" s="13" t="s">
        <v>444</v>
      </c>
      <c r="F10" s="13">
        <f t="shared" si="0"/>
        <v>257</v>
      </c>
    </row>
    <row r="11" spans="1:6" ht="16.5" thickTop="1" thickBot="1">
      <c r="A11" s="18" t="s">
        <v>492</v>
      </c>
      <c r="B11" s="18" t="s">
        <v>746</v>
      </c>
      <c r="C11" s="18">
        <v>230</v>
      </c>
      <c r="E11" s="13" t="s">
        <v>48</v>
      </c>
      <c r="F11" s="13">
        <f t="shared" si="0"/>
        <v>2500</v>
      </c>
    </row>
    <row r="12" spans="1:6" ht="16.5" thickTop="1" thickBot="1">
      <c r="A12" s="18" t="s">
        <v>1113</v>
      </c>
      <c r="B12" s="18" t="s">
        <v>744</v>
      </c>
      <c r="C12" s="18">
        <v>63</v>
      </c>
      <c r="E12" s="13" t="s">
        <v>49</v>
      </c>
      <c r="F12" s="13">
        <f t="shared" si="0"/>
        <v>279</v>
      </c>
    </row>
    <row r="13" spans="1:6" ht="16.5" thickTop="1" thickBot="1">
      <c r="A13" s="18" t="s">
        <v>46</v>
      </c>
      <c r="B13" s="18" t="s">
        <v>46</v>
      </c>
      <c r="C13" s="18">
        <v>2030</v>
      </c>
      <c r="E13" s="13" t="s">
        <v>408</v>
      </c>
      <c r="F13" s="13">
        <f>SUM(F2:F12)</f>
        <v>8504</v>
      </c>
    </row>
    <row r="14" spans="1:6" ht="16.5" thickTop="1" thickBot="1">
      <c r="A14" s="18" t="s">
        <v>772</v>
      </c>
      <c r="B14" s="18" t="s">
        <v>743</v>
      </c>
      <c r="C14" s="18">
        <v>50</v>
      </c>
      <c r="E14" s="4"/>
      <c r="F14" s="4"/>
    </row>
    <row r="15" spans="1:6" ht="16.5" thickTop="1" thickBot="1">
      <c r="A15" s="18" t="s">
        <v>1114</v>
      </c>
      <c r="B15" s="18" t="s">
        <v>375</v>
      </c>
      <c r="C15" s="18">
        <v>66</v>
      </c>
    </row>
    <row r="16" spans="1:6" ht="16.5" thickTop="1" thickBot="1">
      <c r="A16" s="18">
        <v>441</v>
      </c>
      <c r="B16" s="18" t="s">
        <v>743</v>
      </c>
      <c r="C16" s="18">
        <v>360</v>
      </c>
    </row>
    <row r="17" spans="1:3" ht="16.5" thickTop="1" thickBot="1">
      <c r="A17" s="18" t="s">
        <v>1116</v>
      </c>
      <c r="B17" s="18" t="s">
        <v>48</v>
      </c>
      <c r="C17" s="18">
        <v>2500</v>
      </c>
    </row>
    <row r="18" spans="1:3" ht="16.5" thickTop="1" thickBot="1">
      <c r="A18" s="18" t="s">
        <v>538</v>
      </c>
      <c r="B18" s="18" t="s">
        <v>47</v>
      </c>
      <c r="C18" s="18">
        <v>68</v>
      </c>
    </row>
    <row r="19" spans="1:3" ht="16.5" thickTop="1" thickBot="1">
      <c r="A19" s="18" t="s">
        <v>327</v>
      </c>
      <c r="B19" s="18" t="s">
        <v>47</v>
      </c>
      <c r="C19" s="18">
        <v>75</v>
      </c>
    </row>
    <row r="20" spans="1:3" ht="16.5" thickTop="1" thickBot="1">
      <c r="A20" s="18" t="s">
        <v>325</v>
      </c>
      <c r="B20" s="18" t="s">
        <v>444</v>
      </c>
      <c r="C20" s="18">
        <v>107</v>
      </c>
    </row>
    <row r="21" spans="1:3" ht="16.5" thickTop="1" thickBot="1">
      <c r="A21" s="18" t="s">
        <v>381</v>
      </c>
      <c r="B21" s="18" t="s">
        <v>444</v>
      </c>
      <c r="C21" s="18">
        <v>40</v>
      </c>
    </row>
    <row r="22" spans="1:3" ht="16.5" thickTop="1" thickBot="1">
      <c r="A22" s="18" t="s">
        <v>321</v>
      </c>
      <c r="B22" s="18" t="s">
        <v>49</v>
      </c>
      <c r="C22" s="18">
        <v>96</v>
      </c>
    </row>
    <row r="23" spans="1:3" ht="16.5" thickTop="1" thickBot="1">
      <c r="A23" s="18" t="s">
        <v>50</v>
      </c>
      <c r="B23" s="18" t="s">
        <v>743</v>
      </c>
      <c r="C23" s="18">
        <v>166</v>
      </c>
    </row>
    <row r="24" spans="1:3" ht="16.5" thickTop="1" thickBot="1">
      <c r="A24" s="18" t="s">
        <v>325</v>
      </c>
      <c r="B24" s="18" t="s">
        <v>444</v>
      </c>
      <c r="C24" s="18">
        <v>75</v>
      </c>
    </row>
    <row r="25" spans="1:3" ht="16.5" thickTop="1" thickBot="1">
      <c r="A25" s="18" t="s">
        <v>333</v>
      </c>
      <c r="B25" s="18" t="s">
        <v>745</v>
      </c>
      <c r="C25" s="18">
        <v>100</v>
      </c>
    </row>
    <row r="26" spans="1:3" ht="16.5" thickTop="1" thickBot="1">
      <c r="A26" s="18">
        <v>441</v>
      </c>
      <c r="B26" s="18" t="s">
        <v>743</v>
      </c>
      <c r="C26" s="18">
        <v>300</v>
      </c>
    </row>
    <row r="27" spans="1:3" ht="16.5" thickTop="1" thickBot="1">
      <c r="A27" s="18" t="s">
        <v>325</v>
      </c>
      <c r="B27" s="18" t="s">
        <v>444</v>
      </c>
      <c r="C27" s="18">
        <v>35</v>
      </c>
    </row>
    <row r="28" spans="1:3" ht="16.5" thickTop="1" thickBot="1">
      <c r="A28" s="18" t="s">
        <v>321</v>
      </c>
      <c r="B28" s="18" t="s">
        <v>49</v>
      </c>
      <c r="C28" s="18">
        <v>110</v>
      </c>
    </row>
    <row r="29" spans="1:3" ht="16.5" thickTop="1" thickBot="1">
      <c r="A29" s="18" t="s">
        <v>538</v>
      </c>
      <c r="B29" s="18" t="s">
        <v>47</v>
      </c>
      <c r="C29" s="18">
        <v>188</v>
      </c>
    </row>
    <row r="30" spans="1:3" ht="16.5" thickTop="1" thickBot="1">
      <c r="A30" s="18" t="s">
        <v>1115</v>
      </c>
      <c r="B30" s="18" t="s">
        <v>49</v>
      </c>
      <c r="C30" s="18">
        <v>58</v>
      </c>
    </row>
    <row r="31" spans="1:3" ht="16.5" thickTop="1" thickBot="1">
      <c r="A31" s="18" t="s">
        <v>451</v>
      </c>
      <c r="B31" s="18" t="s">
        <v>49</v>
      </c>
      <c r="C31" s="18">
        <v>15</v>
      </c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2:B30" xr:uid="{8FC51855-BAB1-4C6A-8984-596BF7ECAB69}">
      <formula1>"猫砂,猫粮,零食,消耗品,疫苗,常用药,治疗费,不常用药,运费,买猫,其它"</formula1>
    </dataValidation>
    <dataValidation type="list" allowBlank="1" showInputMessage="1" showErrorMessage="1" sqref="B31:B41" xr:uid="{4A92F686-E270-4A58-9883-E18C990597C5}">
      <formula1>"猫砂,猫粮,零食,药,日用品,买猫,其它"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08780-F617-48F1-A202-DC987C189BB1}">
  <sheetPr codeName="Sheet7"/>
  <dimension ref="A1:F42"/>
  <sheetViews>
    <sheetView workbookViewId="0">
      <selection activeCell="E25" sqref="E25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413</v>
      </c>
      <c r="B2" s="18" t="s">
        <v>745</v>
      </c>
      <c r="C2" s="18">
        <v>159</v>
      </c>
      <c r="E2" s="13" t="s">
        <v>1</v>
      </c>
      <c r="F2" s="13">
        <f t="shared" ref="F2:F12" si="0">SUMIF(B:B,E2,C:C)</f>
        <v>1350</v>
      </c>
    </row>
    <row r="3" spans="1:6" ht="16.5" thickTop="1" thickBot="1">
      <c r="A3" s="18" t="s">
        <v>421</v>
      </c>
      <c r="B3" s="18" t="s">
        <v>745</v>
      </c>
      <c r="C3" s="18">
        <v>60</v>
      </c>
      <c r="E3" s="13" t="s">
        <v>2</v>
      </c>
      <c r="F3" s="13">
        <f t="shared" si="0"/>
        <v>110</v>
      </c>
    </row>
    <row r="4" spans="1:6" ht="16.5" thickTop="1" thickBot="1">
      <c r="A4" s="18" t="s">
        <v>45</v>
      </c>
      <c r="B4" s="18" t="s">
        <v>45</v>
      </c>
      <c r="C4" s="18">
        <v>1120</v>
      </c>
      <c r="E4" s="13" t="s">
        <v>3</v>
      </c>
      <c r="F4" s="13">
        <f t="shared" si="0"/>
        <v>337</v>
      </c>
    </row>
    <row r="5" spans="1:6" ht="16.5" thickTop="1" thickBot="1">
      <c r="A5" s="18" t="s">
        <v>482</v>
      </c>
      <c r="B5" s="18" t="s">
        <v>47</v>
      </c>
      <c r="C5" s="18">
        <v>209</v>
      </c>
      <c r="E5" s="13" t="s">
        <v>745</v>
      </c>
      <c r="F5" s="13">
        <f t="shared" si="0"/>
        <v>372</v>
      </c>
    </row>
    <row r="6" spans="1:6" ht="16.5" thickTop="1" thickBot="1">
      <c r="A6" s="18" t="s">
        <v>46</v>
      </c>
      <c r="B6" s="18" t="s">
        <v>46</v>
      </c>
      <c r="C6" s="18">
        <v>110</v>
      </c>
      <c r="E6" s="13" t="s">
        <v>375</v>
      </c>
      <c r="F6" s="13">
        <f t="shared" si="0"/>
        <v>0</v>
      </c>
    </row>
    <row r="7" spans="1:6" ht="16.5" thickTop="1" thickBot="1">
      <c r="A7" s="18" t="s">
        <v>47</v>
      </c>
      <c r="B7" s="18" t="s">
        <v>47</v>
      </c>
      <c r="C7" s="18">
        <v>35</v>
      </c>
      <c r="E7" s="13" t="s">
        <v>743</v>
      </c>
      <c r="F7" s="13">
        <f t="shared" si="0"/>
        <v>525</v>
      </c>
    </row>
    <row r="8" spans="1:6" ht="16.5" thickTop="1" thickBot="1">
      <c r="A8" s="18" t="s">
        <v>327</v>
      </c>
      <c r="B8" s="18" t="s">
        <v>47</v>
      </c>
      <c r="C8" s="18">
        <v>93</v>
      </c>
      <c r="E8" s="13" t="s">
        <v>746</v>
      </c>
      <c r="F8" s="13">
        <f t="shared" si="0"/>
        <v>0</v>
      </c>
    </row>
    <row r="9" spans="1:6" ht="16.5" thickTop="1" thickBot="1">
      <c r="A9" s="18">
        <v>441</v>
      </c>
      <c r="B9" s="18" t="s">
        <v>743</v>
      </c>
      <c r="C9" s="18">
        <v>450</v>
      </c>
      <c r="E9" s="13" t="s">
        <v>744</v>
      </c>
      <c r="F9" s="13">
        <f t="shared" si="0"/>
        <v>34</v>
      </c>
    </row>
    <row r="10" spans="1:6" ht="16.5" thickTop="1" thickBot="1">
      <c r="A10" s="18" t="s">
        <v>318</v>
      </c>
      <c r="B10" s="18" t="s">
        <v>743</v>
      </c>
      <c r="C10" s="18">
        <v>75</v>
      </c>
      <c r="E10" s="13" t="s">
        <v>444</v>
      </c>
      <c r="F10" s="13">
        <f t="shared" si="0"/>
        <v>0</v>
      </c>
    </row>
    <row r="11" spans="1:6" ht="16.5" thickTop="1" thickBot="1">
      <c r="A11" s="18" t="s">
        <v>537</v>
      </c>
      <c r="B11" s="18" t="s">
        <v>744</v>
      </c>
      <c r="C11" s="18">
        <v>34</v>
      </c>
      <c r="E11" s="13" t="s">
        <v>48</v>
      </c>
      <c r="F11" s="13">
        <f t="shared" si="0"/>
        <v>0</v>
      </c>
    </row>
    <row r="12" spans="1:6" ht="16.5" thickTop="1" thickBot="1">
      <c r="A12" s="18" t="s">
        <v>1105</v>
      </c>
      <c r="B12" s="18" t="s">
        <v>45</v>
      </c>
      <c r="C12" s="18">
        <v>150</v>
      </c>
      <c r="E12" s="13" t="s">
        <v>49</v>
      </c>
      <c r="F12" s="13">
        <f t="shared" si="0"/>
        <v>0</v>
      </c>
    </row>
    <row r="13" spans="1:6" ht="16.5" thickTop="1" thickBot="1">
      <c r="A13" s="18" t="s">
        <v>1106</v>
      </c>
      <c r="B13" s="18" t="s">
        <v>45</v>
      </c>
      <c r="C13" s="18">
        <v>80</v>
      </c>
      <c r="E13" s="13" t="s">
        <v>408</v>
      </c>
      <c r="F13" s="13">
        <f>SUM(F2:F12)</f>
        <v>2728</v>
      </c>
    </row>
    <row r="14" spans="1:6" ht="16.5" thickTop="1" thickBot="1">
      <c r="A14" s="18" t="s">
        <v>606</v>
      </c>
      <c r="B14" s="18" t="s">
        <v>745</v>
      </c>
      <c r="C14" s="18">
        <v>120</v>
      </c>
      <c r="E14" s="4"/>
      <c r="F14" s="4"/>
    </row>
    <row r="15" spans="1:6" ht="16.5" thickTop="1" thickBot="1">
      <c r="A15" s="18" t="s">
        <v>372</v>
      </c>
      <c r="B15" s="18" t="s">
        <v>745</v>
      </c>
      <c r="C15" s="18">
        <v>33</v>
      </c>
    </row>
    <row r="16" spans="1:6" ht="16.5" thickTop="1" thickBot="1">
      <c r="A16" s="18"/>
      <c r="B16" s="18"/>
      <c r="C16" s="18"/>
    </row>
    <row r="17" spans="1:3" ht="16.5" thickTop="1" thickBot="1">
      <c r="A17" s="18"/>
      <c r="B17" s="18"/>
      <c r="C17" s="18"/>
    </row>
    <row r="18" spans="1:3" ht="16.5" thickTop="1" thickBot="1">
      <c r="A18" s="18"/>
      <c r="B18" s="18"/>
      <c r="C18" s="18"/>
    </row>
    <row r="19" spans="1:3" ht="16.5" thickTop="1" thickBot="1">
      <c r="A19" s="18"/>
      <c r="B19" s="18"/>
      <c r="C19" s="18"/>
    </row>
    <row r="20" spans="1:3" ht="16.5" thickTop="1" thickBot="1">
      <c r="A20" s="18"/>
      <c r="B20" s="18"/>
      <c r="C20" s="18"/>
    </row>
    <row r="21" spans="1:3" ht="16.5" thickTop="1" thickBot="1">
      <c r="A21" s="18"/>
      <c r="B21" s="18"/>
      <c r="C21" s="18"/>
    </row>
    <row r="22" spans="1:3" ht="16.5" thickTop="1" thickBot="1">
      <c r="A22" s="18"/>
      <c r="B22" s="18"/>
      <c r="C22" s="18"/>
    </row>
    <row r="23" spans="1:3" ht="16.5" thickTop="1" thickBot="1">
      <c r="A23" s="18"/>
      <c r="B23" s="18"/>
      <c r="C23" s="18"/>
    </row>
    <row r="24" spans="1:3" ht="16.5" thickTop="1" thickBot="1">
      <c r="A24" s="18"/>
      <c r="B24" s="18"/>
      <c r="C24" s="18"/>
    </row>
    <row r="25" spans="1:3" ht="16.5" thickTop="1" thickBot="1">
      <c r="A25" s="18"/>
      <c r="B25" s="18"/>
      <c r="C25" s="18"/>
    </row>
    <row r="26" spans="1:3" ht="16.5" thickTop="1" thickBot="1">
      <c r="A26" s="18"/>
      <c r="B26" s="18"/>
      <c r="C26" s="18"/>
    </row>
    <row r="27" spans="1:3" ht="16.5" thickTop="1" thickBot="1">
      <c r="A27" s="18"/>
      <c r="B27" s="18"/>
      <c r="C27" s="18"/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31:B41" xr:uid="{09080C93-2084-4D7D-B390-5BA97489EAA9}">
      <formula1>"猫砂,猫粮,零食,药,日用品,买猫,其它"</formula1>
    </dataValidation>
    <dataValidation type="list" allowBlank="1" showInputMessage="1" showErrorMessage="1" sqref="B2:B30" xr:uid="{70752A82-706C-4FDB-854F-040C60115D73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B2B7-7A3E-4E60-B34E-56C6F45EBC0A}">
  <sheetPr codeName="Sheet8"/>
  <dimension ref="A1:F42"/>
  <sheetViews>
    <sheetView workbookViewId="0">
      <selection activeCell="E28" sqref="E28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1081</v>
      </c>
      <c r="B2" s="18" t="s">
        <v>745</v>
      </c>
      <c r="C2" s="18">
        <v>180</v>
      </c>
      <c r="E2" s="13" t="s">
        <v>1</v>
      </c>
      <c r="F2" s="13">
        <f t="shared" ref="F2:F12" si="0">SUMIF(B:B,E2,C:C)</f>
        <v>2097</v>
      </c>
    </row>
    <row r="3" spans="1:6" ht="16.5" thickTop="1" thickBot="1">
      <c r="A3" s="18" t="s">
        <v>333</v>
      </c>
      <c r="B3" s="18" t="s">
        <v>745</v>
      </c>
      <c r="C3" s="18">
        <v>100</v>
      </c>
      <c r="E3" s="13" t="s">
        <v>2</v>
      </c>
      <c r="F3" s="13">
        <f t="shared" si="0"/>
        <v>1080</v>
      </c>
    </row>
    <row r="4" spans="1:6" ht="16.5" thickTop="1" thickBot="1">
      <c r="A4" s="18" t="s">
        <v>1095</v>
      </c>
      <c r="B4" s="18" t="s">
        <v>49</v>
      </c>
      <c r="C4" s="18">
        <v>100</v>
      </c>
      <c r="E4" s="13" t="s">
        <v>3</v>
      </c>
      <c r="F4" s="13">
        <f t="shared" si="0"/>
        <v>0</v>
      </c>
    </row>
    <row r="5" spans="1:6" ht="16.5" thickTop="1" thickBot="1">
      <c r="A5" s="18" t="s">
        <v>727</v>
      </c>
      <c r="B5" s="18" t="s">
        <v>45</v>
      </c>
      <c r="C5" s="18">
        <v>852</v>
      </c>
      <c r="E5" s="13" t="s">
        <v>745</v>
      </c>
      <c r="F5" s="13">
        <f t="shared" si="0"/>
        <v>537</v>
      </c>
    </row>
    <row r="6" spans="1:6" ht="16.5" thickTop="1" thickBot="1">
      <c r="A6" s="18" t="s">
        <v>45</v>
      </c>
      <c r="B6" s="18" t="s">
        <v>45</v>
      </c>
      <c r="C6" s="18">
        <v>380</v>
      </c>
      <c r="E6" s="13" t="s">
        <v>375</v>
      </c>
      <c r="F6" s="13">
        <f t="shared" si="0"/>
        <v>501</v>
      </c>
    </row>
    <row r="7" spans="1:6" ht="16.5" thickTop="1" thickBot="1">
      <c r="A7" s="18" t="s">
        <v>381</v>
      </c>
      <c r="B7" s="18" t="s">
        <v>444</v>
      </c>
      <c r="C7" s="18">
        <v>125</v>
      </c>
      <c r="E7" s="13" t="s">
        <v>743</v>
      </c>
      <c r="F7" s="13">
        <f t="shared" si="0"/>
        <v>666</v>
      </c>
    </row>
    <row r="8" spans="1:6" ht="16.5" thickTop="1" thickBot="1">
      <c r="A8" s="18" t="s">
        <v>50</v>
      </c>
      <c r="B8" s="18" t="s">
        <v>743</v>
      </c>
      <c r="C8" s="18">
        <v>188</v>
      </c>
      <c r="E8" s="13" t="s">
        <v>746</v>
      </c>
      <c r="F8" s="13">
        <f t="shared" si="0"/>
        <v>0</v>
      </c>
    </row>
    <row r="9" spans="1:6" ht="16.5" thickTop="1" thickBot="1">
      <c r="A9" s="18" t="s">
        <v>1096</v>
      </c>
      <c r="B9" s="18" t="s">
        <v>45</v>
      </c>
      <c r="C9" s="18">
        <v>140</v>
      </c>
      <c r="E9" s="13" t="s">
        <v>744</v>
      </c>
      <c r="F9" s="13">
        <f t="shared" si="0"/>
        <v>210</v>
      </c>
    </row>
    <row r="10" spans="1:6" ht="16.5" thickTop="1" thickBot="1">
      <c r="A10" s="18" t="s">
        <v>534</v>
      </c>
      <c r="B10" s="18" t="s">
        <v>743</v>
      </c>
      <c r="C10" s="18">
        <v>255</v>
      </c>
      <c r="E10" s="13" t="s">
        <v>444</v>
      </c>
      <c r="F10" s="13">
        <f t="shared" si="0"/>
        <v>125</v>
      </c>
    </row>
    <row r="11" spans="1:6" ht="16.5" thickTop="1" thickBot="1">
      <c r="A11" s="18" t="s">
        <v>1097</v>
      </c>
      <c r="B11" s="18" t="s">
        <v>48</v>
      </c>
      <c r="C11" s="18">
        <v>2400</v>
      </c>
      <c r="E11" s="13" t="s">
        <v>48</v>
      </c>
      <c r="F11" s="13">
        <f t="shared" si="0"/>
        <v>2400</v>
      </c>
    </row>
    <row r="12" spans="1:6" ht="16.5" thickTop="1" thickBot="1">
      <c r="A12" s="18" t="s">
        <v>45</v>
      </c>
      <c r="B12" s="18" t="s">
        <v>45</v>
      </c>
      <c r="C12" s="18">
        <v>575</v>
      </c>
      <c r="E12" s="13" t="s">
        <v>49</v>
      </c>
      <c r="F12" s="13">
        <f t="shared" si="0"/>
        <v>100</v>
      </c>
    </row>
    <row r="13" spans="1:6" ht="16.5" thickTop="1" thickBot="1">
      <c r="A13" s="18" t="s">
        <v>46</v>
      </c>
      <c r="B13" s="18" t="s">
        <v>46</v>
      </c>
      <c r="C13" s="18">
        <v>1080</v>
      </c>
      <c r="E13" s="13" t="s">
        <v>408</v>
      </c>
      <c r="F13" s="13">
        <f>SUM(F2:F12)</f>
        <v>7716</v>
      </c>
    </row>
    <row r="14" spans="1:6" ht="16.5" thickTop="1" thickBot="1">
      <c r="A14" s="18" t="s">
        <v>578</v>
      </c>
      <c r="B14" s="18" t="s">
        <v>743</v>
      </c>
      <c r="C14" s="18">
        <v>200</v>
      </c>
      <c r="E14" s="4"/>
      <c r="F14" s="4"/>
    </row>
    <row r="15" spans="1:6" ht="16.5" thickTop="1" thickBot="1">
      <c r="A15" s="18" t="s">
        <v>50</v>
      </c>
      <c r="B15" s="18" t="s">
        <v>743</v>
      </c>
      <c r="C15" s="18">
        <v>23</v>
      </c>
    </row>
    <row r="16" spans="1:6" ht="16.5" thickTop="1" thickBot="1">
      <c r="A16" s="18" t="s">
        <v>375</v>
      </c>
      <c r="B16" s="18" t="s">
        <v>375</v>
      </c>
      <c r="C16" s="18">
        <v>501</v>
      </c>
    </row>
    <row r="17" spans="1:3" ht="16.5" thickTop="1" thickBot="1">
      <c r="A17" s="18" t="s">
        <v>45</v>
      </c>
      <c r="B17" s="18" t="s">
        <v>45</v>
      </c>
      <c r="C17" s="18">
        <v>150</v>
      </c>
    </row>
    <row r="18" spans="1:3" ht="16.5" thickTop="1" thickBot="1">
      <c r="A18" s="18" t="s">
        <v>391</v>
      </c>
      <c r="B18" s="18" t="s">
        <v>745</v>
      </c>
      <c r="C18" s="18">
        <v>157</v>
      </c>
    </row>
    <row r="19" spans="1:3" ht="16.5" thickTop="1" thickBot="1">
      <c r="A19" s="18">
        <v>441</v>
      </c>
      <c r="B19" s="18" t="s">
        <v>744</v>
      </c>
      <c r="C19" s="18">
        <v>210</v>
      </c>
    </row>
    <row r="20" spans="1:3" ht="16.5" thickTop="1" thickBot="1">
      <c r="A20" s="18" t="s">
        <v>333</v>
      </c>
      <c r="B20" s="18" t="s">
        <v>745</v>
      </c>
      <c r="C20" s="18">
        <v>100</v>
      </c>
    </row>
    <row r="21" spans="1:3" ht="16.5" thickTop="1" thickBot="1">
      <c r="A21" s="18"/>
      <c r="B21" s="18"/>
      <c r="C21" s="18"/>
    </row>
    <row r="22" spans="1:3" ht="16.5" thickTop="1" thickBot="1">
      <c r="A22" s="18"/>
      <c r="B22" s="18"/>
      <c r="C22" s="18"/>
    </row>
    <row r="23" spans="1:3" ht="16.5" thickTop="1" thickBot="1">
      <c r="A23" s="18"/>
      <c r="B23" s="18"/>
      <c r="C23" s="18"/>
    </row>
    <row r="24" spans="1:3" ht="16.5" thickTop="1" thickBot="1">
      <c r="A24" s="18"/>
      <c r="B24" s="18"/>
      <c r="C24" s="18"/>
    </row>
    <row r="25" spans="1:3" ht="16.5" thickTop="1" thickBot="1">
      <c r="A25" s="18"/>
      <c r="B25" s="18"/>
      <c r="C25" s="18"/>
    </row>
    <row r="26" spans="1:3" ht="16.5" thickTop="1" thickBot="1">
      <c r="A26" s="18"/>
      <c r="B26" s="18"/>
      <c r="C26" s="18"/>
    </row>
    <row r="27" spans="1:3" ht="16.5" thickTop="1" thickBot="1">
      <c r="A27" s="18"/>
      <c r="B27" s="18"/>
      <c r="C27" s="18"/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2:B30" xr:uid="{E4CD6365-29C1-4F27-9F6A-79022E66BAFD}">
      <formula1>"猫砂,猫粮,零食,消耗品,疫苗,常用药,治疗费,不常用药,运费,买猫,其它"</formula1>
    </dataValidation>
    <dataValidation type="list" allowBlank="1" showInputMessage="1" showErrorMessage="1" sqref="B31:B41" xr:uid="{439A5042-CD1A-4525-BC79-3E2126EE610C}">
      <formula1>"猫砂,猫粮,零食,药,日用品,买猫,其它"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1EE34-C459-4087-8276-083AEFF9A103}">
  <sheetPr codeName="Sheet9"/>
  <dimension ref="A1:F42"/>
  <sheetViews>
    <sheetView workbookViewId="0">
      <selection activeCell="E22" sqref="E22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606</v>
      </c>
      <c r="B2" s="18" t="s">
        <v>743</v>
      </c>
      <c r="C2" s="18">
        <v>80</v>
      </c>
      <c r="E2" s="13" t="s">
        <v>1</v>
      </c>
      <c r="F2" s="13">
        <f t="shared" ref="F2:F12" si="0">SUMIF(B:B,E2,C:C)</f>
        <v>235</v>
      </c>
    </row>
    <row r="3" spans="1:6" ht="16.5" thickTop="1" thickBot="1">
      <c r="A3" s="18" t="s">
        <v>1077</v>
      </c>
      <c r="B3" s="18" t="s">
        <v>745</v>
      </c>
      <c r="C3" s="18">
        <v>17</v>
      </c>
      <c r="E3" s="13" t="s">
        <v>2</v>
      </c>
      <c r="F3" s="13">
        <f t="shared" si="0"/>
        <v>0</v>
      </c>
    </row>
    <row r="4" spans="1:6" ht="16.5" thickTop="1" thickBot="1">
      <c r="A4" s="18" t="s">
        <v>45</v>
      </c>
      <c r="B4" s="18" t="s">
        <v>45</v>
      </c>
      <c r="C4" s="18">
        <v>170</v>
      </c>
      <c r="E4" s="13" t="s">
        <v>3</v>
      </c>
      <c r="F4" s="13">
        <f t="shared" si="0"/>
        <v>0</v>
      </c>
    </row>
    <row r="5" spans="1:6" ht="16.5" thickTop="1" thickBot="1">
      <c r="A5" s="18" t="s">
        <v>485</v>
      </c>
      <c r="B5" s="18" t="s">
        <v>743</v>
      </c>
      <c r="C5" s="18">
        <v>28</v>
      </c>
      <c r="E5" s="13" t="s">
        <v>745</v>
      </c>
      <c r="F5" s="13">
        <f t="shared" si="0"/>
        <v>788</v>
      </c>
    </row>
    <row r="6" spans="1:6" ht="16.5" thickTop="1" thickBot="1">
      <c r="A6" s="18" t="s">
        <v>913</v>
      </c>
      <c r="B6" s="18" t="s">
        <v>745</v>
      </c>
      <c r="C6" s="18">
        <v>177</v>
      </c>
      <c r="E6" s="13" t="s">
        <v>375</v>
      </c>
      <c r="F6" s="13">
        <f t="shared" si="0"/>
        <v>0</v>
      </c>
    </row>
    <row r="7" spans="1:6" ht="16.5" thickTop="1" thickBot="1">
      <c r="A7" s="18" t="s">
        <v>1045</v>
      </c>
      <c r="B7" s="18" t="s">
        <v>745</v>
      </c>
      <c r="C7" s="18">
        <v>153</v>
      </c>
      <c r="E7" s="13" t="s">
        <v>743</v>
      </c>
      <c r="F7" s="13">
        <f t="shared" si="0"/>
        <v>130</v>
      </c>
    </row>
    <row r="8" spans="1:6" ht="16.5" thickTop="1" thickBot="1">
      <c r="A8" s="18" t="s">
        <v>1078</v>
      </c>
      <c r="B8" s="18" t="s">
        <v>743</v>
      </c>
      <c r="C8" s="18">
        <v>22</v>
      </c>
      <c r="E8" s="13" t="s">
        <v>746</v>
      </c>
      <c r="F8" s="13">
        <f t="shared" si="0"/>
        <v>740</v>
      </c>
    </row>
    <row r="9" spans="1:6" ht="16.5" thickTop="1" thickBot="1">
      <c r="A9" s="18" t="s">
        <v>728</v>
      </c>
      <c r="B9" s="18" t="s">
        <v>49</v>
      </c>
      <c r="C9" s="18">
        <v>100</v>
      </c>
      <c r="E9" s="13" t="s">
        <v>744</v>
      </c>
      <c r="F9" s="13">
        <f t="shared" si="0"/>
        <v>650</v>
      </c>
    </row>
    <row r="10" spans="1:6" ht="16.5" thickTop="1" thickBot="1">
      <c r="A10" s="18" t="s">
        <v>1079</v>
      </c>
      <c r="B10" s="18" t="s">
        <v>746</v>
      </c>
      <c r="C10" s="18">
        <v>140</v>
      </c>
      <c r="E10" s="13" t="s">
        <v>444</v>
      </c>
      <c r="F10" s="13">
        <f t="shared" si="0"/>
        <v>0</v>
      </c>
    </row>
    <row r="11" spans="1:6" ht="16.5" thickTop="1" thickBot="1">
      <c r="A11" s="18">
        <v>441</v>
      </c>
      <c r="B11" s="18" t="s">
        <v>744</v>
      </c>
      <c r="C11" s="18">
        <v>600</v>
      </c>
      <c r="E11" s="13" t="s">
        <v>48</v>
      </c>
      <c r="F11" s="13">
        <f t="shared" si="0"/>
        <v>0</v>
      </c>
    </row>
    <row r="12" spans="1:6" ht="16.5" thickTop="1" thickBot="1">
      <c r="A12" s="18" t="s">
        <v>50</v>
      </c>
      <c r="B12" s="18" t="s">
        <v>746</v>
      </c>
      <c r="C12" s="18">
        <v>300</v>
      </c>
      <c r="E12" s="13" t="s">
        <v>49</v>
      </c>
      <c r="F12" s="13">
        <f t="shared" si="0"/>
        <v>5176</v>
      </c>
    </row>
    <row r="13" spans="1:6" ht="16.5" thickTop="1" thickBot="1">
      <c r="A13" s="18" t="s">
        <v>1080</v>
      </c>
      <c r="B13" s="18" t="s">
        <v>746</v>
      </c>
      <c r="C13" s="18">
        <v>300</v>
      </c>
      <c r="E13" s="13" t="s">
        <v>408</v>
      </c>
      <c r="F13" s="13">
        <f>SUM(F2:F12)</f>
        <v>7719</v>
      </c>
    </row>
    <row r="14" spans="1:6" ht="16.5" thickTop="1" thickBot="1">
      <c r="A14" s="18" t="s">
        <v>45</v>
      </c>
      <c r="B14" s="18" t="s">
        <v>45</v>
      </c>
      <c r="C14" s="18">
        <v>65</v>
      </c>
      <c r="E14" s="4"/>
      <c r="F14" s="4"/>
    </row>
    <row r="15" spans="1:6" ht="16.5" thickTop="1" thickBot="1">
      <c r="A15" s="18" t="s">
        <v>752</v>
      </c>
      <c r="B15" s="18" t="s">
        <v>745</v>
      </c>
      <c r="C15" s="18">
        <v>180</v>
      </c>
    </row>
    <row r="16" spans="1:6" ht="16.5" thickTop="1" thickBot="1">
      <c r="A16" s="18" t="s">
        <v>1081</v>
      </c>
      <c r="B16" s="18" t="s">
        <v>745</v>
      </c>
      <c r="C16" s="18">
        <v>160</v>
      </c>
    </row>
    <row r="17" spans="1:3" ht="16.5" thickTop="1" thickBot="1">
      <c r="A17" s="18" t="s">
        <v>1044</v>
      </c>
      <c r="B17" s="18" t="s">
        <v>745</v>
      </c>
      <c r="C17" s="18">
        <v>66</v>
      </c>
    </row>
    <row r="18" spans="1:3" ht="16.5" thickTop="1" thickBot="1">
      <c r="A18" s="18" t="s">
        <v>414</v>
      </c>
      <c r="B18" s="18" t="s">
        <v>49</v>
      </c>
      <c r="C18" s="18">
        <v>58</v>
      </c>
    </row>
    <row r="19" spans="1:3" ht="16.5" thickTop="1" thickBot="1">
      <c r="A19" s="18" t="s">
        <v>541</v>
      </c>
      <c r="B19" s="18" t="s">
        <v>745</v>
      </c>
      <c r="C19" s="18">
        <v>35</v>
      </c>
    </row>
    <row r="20" spans="1:3" ht="16.5" thickTop="1" thickBot="1">
      <c r="A20" s="18" t="s">
        <v>1082</v>
      </c>
      <c r="B20" s="18" t="s">
        <v>49</v>
      </c>
      <c r="C20" s="18">
        <v>18</v>
      </c>
    </row>
    <row r="21" spans="1:3" ht="16.5" thickTop="1" thickBot="1">
      <c r="A21" s="18" t="s">
        <v>384</v>
      </c>
      <c r="B21" s="18" t="s">
        <v>49</v>
      </c>
      <c r="C21" s="18">
        <v>5000</v>
      </c>
    </row>
    <row r="22" spans="1:3" ht="16.5" thickTop="1" thickBot="1">
      <c r="A22" s="18" t="s">
        <v>493</v>
      </c>
      <c r="B22" s="18" t="s">
        <v>744</v>
      </c>
      <c r="C22" s="18">
        <v>50</v>
      </c>
    </row>
    <row r="23" spans="1:3" ht="16.5" thickTop="1" thickBot="1">
      <c r="A23" s="18"/>
      <c r="B23" s="18"/>
      <c r="C23" s="18"/>
    </row>
    <row r="24" spans="1:3" ht="16.5" thickTop="1" thickBot="1">
      <c r="A24" s="18"/>
      <c r="B24" s="18"/>
      <c r="C24" s="18"/>
    </row>
    <row r="25" spans="1:3" ht="16.5" thickTop="1" thickBot="1">
      <c r="A25" s="18"/>
      <c r="B25" s="18"/>
      <c r="C25" s="18"/>
    </row>
    <row r="26" spans="1:3" ht="16.5" thickTop="1" thickBot="1">
      <c r="A26" s="18"/>
      <c r="B26" s="18"/>
      <c r="C26" s="18"/>
    </row>
    <row r="27" spans="1:3" ht="16.5" thickTop="1" thickBot="1">
      <c r="A27" s="18"/>
      <c r="B27" s="18"/>
      <c r="C27" s="18"/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31:B41" xr:uid="{B1892765-F4A3-4918-B2C0-F1D8D3F7995F}">
      <formula1>"猫砂,猫粮,零食,药,日用品,买猫,其它"</formula1>
    </dataValidation>
    <dataValidation type="list" allowBlank="1" showInputMessage="1" showErrorMessage="1" sqref="B2:B30" xr:uid="{CF29F504-5C1E-4EC4-9964-3089791D467A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1CC28-8528-4DEE-BEBF-1909476D8B06}">
  <sheetPr codeName="Sheet10"/>
  <dimension ref="A1:F42"/>
  <sheetViews>
    <sheetView workbookViewId="0">
      <selection activeCell="E44" sqref="E44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374</v>
      </c>
      <c r="B2" s="18" t="s">
        <v>743</v>
      </c>
      <c r="C2" s="18">
        <v>240</v>
      </c>
      <c r="E2" s="13" t="s">
        <v>1</v>
      </c>
      <c r="F2" s="13">
        <f t="shared" ref="F2:F12" si="0">SUMIF(B:B,E2,C:C)</f>
        <v>1000</v>
      </c>
    </row>
    <row r="3" spans="1:6" ht="16.5" thickTop="1" thickBot="1">
      <c r="A3" s="18" t="s">
        <v>1065</v>
      </c>
      <c r="B3" s="18" t="s">
        <v>746</v>
      </c>
      <c r="C3" s="18">
        <v>800</v>
      </c>
      <c r="E3" s="13" t="s">
        <v>2</v>
      </c>
      <c r="F3" s="13">
        <f t="shared" si="0"/>
        <v>512</v>
      </c>
    </row>
    <row r="4" spans="1:6" ht="16.5" thickTop="1" thickBot="1">
      <c r="A4" s="18" t="s">
        <v>728</v>
      </c>
      <c r="B4" s="18" t="s">
        <v>49</v>
      </c>
      <c r="C4" s="18">
        <v>100</v>
      </c>
      <c r="E4" s="13" t="s">
        <v>3</v>
      </c>
      <c r="F4" s="13">
        <f t="shared" si="0"/>
        <v>0</v>
      </c>
    </row>
    <row r="5" spans="1:6" ht="16.5" thickTop="1" thickBot="1">
      <c r="A5" s="18" t="s">
        <v>1066</v>
      </c>
      <c r="B5" s="18" t="s">
        <v>746</v>
      </c>
      <c r="C5" s="18">
        <v>750</v>
      </c>
      <c r="E5" s="13" t="s">
        <v>745</v>
      </c>
      <c r="F5" s="13">
        <f t="shared" si="0"/>
        <v>214</v>
      </c>
    </row>
    <row r="6" spans="1:6" ht="16.5" thickTop="1" thickBot="1">
      <c r="A6" s="18" t="s">
        <v>1067</v>
      </c>
      <c r="B6" s="18" t="s">
        <v>45</v>
      </c>
      <c r="C6" s="18">
        <v>500</v>
      </c>
      <c r="E6" s="13" t="s">
        <v>375</v>
      </c>
      <c r="F6" s="13">
        <f t="shared" si="0"/>
        <v>0</v>
      </c>
    </row>
    <row r="7" spans="1:6" ht="16.5" thickTop="1" thickBot="1">
      <c r="A7" s="18" t="s">
        <v>1068</v>
      </c>
      <c r="B7" s="18" t="s">
        <v>46</v>
      </c>
      <c r="C7" s="18">
        <v>246</v>
      </c>
      <c r="E7" s="13" t="s">
        <v>743</v>
      </c>
      <c r="F7" s="13">
        <f t="shared" si="0"/>
        <v>410</v>
      </c>
    </row>
    <row r="8" spans="1:6" ht="16.5" thickTop="1" thickBot="1">
      <c r="A8" s="18" t="s">
        <v>1069</v>
      </c>
      <c r="B8" s="18" t="s">
        <v>45</v>
      </c>
      <c r="C8" s="18">
        <v>500</v>
      </c>
      <c r="E8" s="13" t="s">
        <v>746</v>
      </c>
      <c r="F8" s="13">
        <f t="shared" si="0"/>
        <v>1550</v>
      </c>
    </row>
    <row r="9" spans="1:6" ht="16.5" thickTop="1" thickBot="1">
      <c r="A9" s="18" t="s">
        <v>1070</v>
      </c>
      <c r="B9" s="18" t="s">
        <v>46</v>
      </c>
      <c r="C9" s="18">
        <v>266</v>
      </c>
      <c r="E9" s="13" t="s">
        <v>744</v>
      </c>
      <c r="F9" s="13">
        <f t="shared" si="0"/>
        <v>500</v>
      </c>
    </row>
    <row r="10" spans="1:6" ht="16.5" thickTop="1" thickBot="1">
      <c r="A10" s="18" t="s">
        <v>446</v>
      </c>
      <c r="B10" s="18" t="s">
        <v>743</v>
      </c>
      <c r="C10" s="18">
        <v>84</v>
      </c>
      <c r="E10" s="13" t="s">
        <v>444</v>
      </c>
      <c r="F10" s="13">
        <f t="shared" si="0"/>
        <v>0</v>
      </c>
    </row>
    <row r="11" spans="1:6" ht="16.5" thickTop="1" thickBot="1">
      <c r="A11" s="18" t="s">
        <v>50</v>
      </c>
      <c r="B11" s="18" t="s">
        <v>743</v>
      </c>
      <c r="C11" s="18">
        <v>86</v>
      </c>
      <c r="E11" s="13" t="s">
        <v>48</v>
      </c>
      <c r="F11" s="13">
        <f t="shared" si="0"/>
        <v>0</v>
      </c>
    </row>
    <row r="12" spans="1:6" ht="16.5" thickTop="1" thickBot="1">
      <c r="A12" s="18">
        <v>441</v>
      </c>
      <c r="B12" s="18" t="s">
        <v>744</v>
      </c>
      <c r="C12" s="18">
        <v>500</v>
      </c>
      <c r="E12" s="13" t="s">
        <v>49</v>
      </c>
      <c r="F12" s="13">
        <f t="shared" si="0"/>
        <v>339</v>
      </c>
    </row>
    <row r="13" spans="1:6" ht="16.5" thickTop="1" thickBot="1">
      <c r="A13" s="18" t="s">
        <v>421</v>
      </c>
      <c r="B13" s="18" t="s">
        <v>745</v>
      </c>
      <c r="C13" s="18">
        <v>54</v>
      </c>
      <c r="E13" s="13" t="s">
        <v>408</v>
      </c>
      <c r="F13" s="13">
        <f>SUM(F2:F12)</f>
        <v>4525</v>
      </c>
    </row>
    <row r="14" spans="1:6" ht="16.5" thickTop="1" thickBot="1">
      <c r="A14" s="18" t="s">
        <v>413</v>
      </c>
      <c r="B14" s="18" t="s">
        <v>745</v>
      </c>
      <c r="C14" s="18">
        <v>160</v>
      </c>
      <c r="E14" s="4"/>
      <c r="F14" s="4"/>
    </row>
    <row r="15" spans="1:6" ht="16.5" thickTop="1" thickBot="1">
      <c r="A15" s="18" t="s">
        <v>414</v>
      </c>
      <c r="B15" s="18" t="s">
        <v>49</v>
      </c>
      <c r="C15" s="18">
        <v>24</v>
      </c>
    </row>
    <row r="16" spans="1:6" ht="16.5" thickTop="1" thickBot="1">
      <c r="A16" s="18" t="s">
        <v>1071</v>
      </c>
      <c r="B16" s="18" t="s">
        <v>49</v>
      </c>
      <c r="C16" s="18">
        <v>143</v>
      </c>
    </row>
    <row r="17" spans="1:3" ht="16.5" thickTop="1" thickBot="1">
      <c r="A17" s="18" t="s">
        <v>1061</v>
      </c>
      <c r="B17" s="18" t="s">
        <v>49</v>
      </c>
      <c r="C17" s="18">
        <v>14</v>
      </c>
    </row>
    <row r="18" spans="1:3" ht="16.5" thickTop="1" thickBot="1">
      <c r="A18" s="18" t="s">
        <v>414</v>
      </c>
      <c r="B18" s="18" t="s">
        <v>49</v>
      </c>
      <c r="C18" s="18">
        <v>58</v>
      </c>
    </row>
    <row r="19" spans="1:3" ht="16.5" thickTop="1" thickBot="1">
      <c r="A19" s="18"/>
      <c r="B19" s="18"/>
      <c r="C19" s="18"/>
    </row>
    <row r="20" spans="1:3" ht="16.5" thickTop="1" thickBot="1">
      <c r="A20" s="18"/>
      <c r="B20" s="18"/>
      <c r="C20" s="18"/>
    </row>
    <row r="21" spans="1:3" ht="16.5" thickTop="1" thickBot="1">
      <c r="A21" s="18"/>
      <c r="B21" s="18"/>
      <c r="C21" s="18"/>
    </row>
    <row r="22" spans="1:3" ht="16.5" thickTop="1" thickBot="1">
      <c r="A22" s="18"/>
      <c r="B22" s="18"/>
      <c r="C22" s="18"/>
    </row>
    <row r="23" spans="1:3" ht="16.5" thickTop="1" thickBot="1">
      <c r="A23" s="18"/>
      <c r="B23" s="18"/>
      <c r="C23" s="18"/>
    </row>
    <row r="24" spans="1:3" ht="16.5" thickTop="1" thickBot="1">
      <c r="A24" s="18"/>
      <c r="B24" s="18"/>
      <c r="C24" s="18"/>
    </row>
    <row r="25" spans="1:3" ht="16.5" thickTop="1" thickBot="1">
      <c r="A25" s="18"/>
      <c r="B25" s="18"/>
      <c r="C25" s="18"/>
    </row>
    <row r="26" spans="1:3" ht="16.5" thickTop="1" thickBot="1">
      <c r="A26" s="18"/>
      <c r="B26" s="18"/>
      <c r="C26" s="18"/>
    </row>
    <row r="27" spans="1:3" ht="16.5" thickTop="1" thickBot="1">
      <c r="A27" s="18"/>
      <c r="B27" s="18"/>
      <c r="C27" s="18"/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2:B30" xr:uid="{93A5B6DF-F739-4D6F-AC41-8E7EB1321501}">
      <formula1>"猫砂,猫粮,零食,消耗品,疫苗,常用药,治疗费,不常用药,运费,买猫,其它"</formula1>
    </dataValidation>
    <dataValidation type="list" allowBlank="1" showInputMessage="1" showErrorMessage="1" sqref="B31:B41" xr:uid="{EB7DAEC8-5FFB-4139-A320-76095831B7D3}">
      <formula1>"猫砂,猫粮,零食,药,日用品,买猫,其它"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63E81-62C4-487B-BB19-D99937A46CA8}">
  <sheetPr codeName="Sheet11"/>
  <dimension ref="A1:F42"/>
  <sheetViews>
    <sheetView workbookViewId="0">
      <selection activeCell="E19" sqref="E19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46</v>
      </c>
      <c r="B2" s="18" t="s">
        <v>46</v>
      </c>
      <c r="C2" s="18">
        <v>280</v>
      </c>
      <c r="E2" s="13" t="s">
        <v>1</v>
      </c>
      <c r="F2" s="13">
        <f t="shared" ref="F2:F12" si="0">SUMIF(B:B,E2,C:C)</f>
        <v>500</v>
      </c>
    </row>
    <row r="3" spans="1:6" ht="16.5" thickTop="1" thickBot="1">
      <c r="A3" s="18" t="s">
        <v>327</v>
      </c>
      <c r="B3" s="18" t="s">
        <v>47</v>
      </c>
      <c r="C3" s="18">
        <v>40</v>
      </c>
      <c r="E3" s="13" t="s">
        <v>2</v>
      </c>
      <c r="F3" s="13">
        <f t="shared" si="0"/>
        <v>280</v>
      </c>
    </row>
    <row r="4" spans="1:6" ht="16.5" thickTop="1" thickBot="1">
      <c r="A4" s="18" t="s">
        <v>313</v>
      </c>
      <c r="B4" s="18" t="s">
        <v>743</v>
      </c>
      <c r="C4" s="18">
        <v>76</v>
      </c>
      <c r="E4" s="13" t="s">
        <v>3</v>
      </c>
      <c r="F4" s="13">
        <f t="shared" si="0"/>
        <v>267</v>
      </c>
    </row>
    <row r="5" spans="1:6" ht="16.5" thickTop="1" thickBot="1">
      <c r="A5" s="18" t="s">
        <v>329</v>
      </c>
      <c r="B5" s="18" t="s">
        <v>49</v>
      </c>
      <c r="C5" s="18">
        <v>100</v>
      </c>
      <c r="E5" s="13" t="s">
        <v>745</v>
      </c>
      <c r="F5" s="13">
        <f t="shared" si="0"/>
        <v>26</v>
      </c>
    </row>
    <row r="6" spans="1:6" ht="16.5" thickTop="1" thickBot="1">
      <c r="A6" s="18" t="s">
        <v>45</v>
      </c>
      <c r="B6" s="18" t="s">
        <v>45</v>
      </c>
      <c r="C6" s="18">
        <v>300</v>
      </c>
      <c r="E6" s="13" t="s">
        <v>375</v>
      </c>
      <c r="F6" s="13">
        <f t="shared" si="0"/>
        <v>0</v>
      </c>
    </row>
    <row r="7" spans="1:6" ht="16.5" thickTop="1" thickBot="1">
      <c r="A7" s="18" t="s">
        <v>1058</v>
      </c>
      <c r="B7" s="18" t="s">
        <v>45</v>
      </c>
      <c r="C7" s="18">
        <v>200</v>
      </c>
      <c r="E7" s="13" t="s">
        <v>743</v>
      </c>
      <c r="F7" s="13">
        <f t="shared" si="0"/>
        <v>76</v>
      </c>
    </row>
    <row r="8" spans="1:6" ht="16.5" thickTop="1" thickBot="1">
      <c r="A8" s="18" t="s">
        <v>728</v>
      </c>
      <c r="B8" s="18" t="s">
        <v>49</v>
      </c>
      <c r="C8" s="18">
        <v>150</v>
      </c>
      <c r="E8" s="13" t="s">
        <v>746</v>
      </c>
      <c r="F8" s="13">
        <f t="shared" si="0"/>
        <v>0</v>
      </c>
    </row>
    <row r="9" spans="1:6" ht="16.5" thickTop="1" thickBot="1">
      <c r="A9" s="18" t="s">
        <v>1059</v>
      </c>
      <c r="B9" s="18" t="s">
        <v>47</v>
      </c>
      <c r="C9" s="18">
        <v>209</v>
      </c>
      <c r="E9" s="13" t="s">
        <v>744</v>
      </c>
      <c r="F9" s="13">
        <f t="shared" si="0"/>
        <v>0</v>
      </c>
    </row>
    <row r="10" spans="1:6" ht="16.5" thickTop="1" thickBot="1">
      <c r="A10" s="18" t="s">
        <v>1060</v>
      </c>
      <c r="B10" s="18" t="s">
        <v>48</v>
      </c>
      <c r="C10" s="18">
        <v>4600</v>
      </c>
      <c r="E10" s="13" t="s">
        <v>444</v>
      </c>
      <c r="F10" s="13">
        <f t="shared" si="0"/>
        <v>0</v>
      </c>
    </row>
    <row r="11" spans="1:6" ht="16.5" thickTop="1" thickBot="1">
      <c r="A11" s="18" t="s">
        <v>1039</v>
      </c>
      <c r="B11" s="18" t="s">
        <v>49</v>
      </c>
      <c r="C11" s="18">
        <v>9</v>
      </c>
      <c r="E11" s="13" t="s">
        <v>48</v>
      </c>
      <c r="F11" s="13">
        <f t="shared" si="0"/>
        <v>4600</v>
      </c>
    </row>
    <row r="12" spans="1:6" ht="16.5" thickTop="1" thickBot="1">
      <c r="A12" s="18" t="s">
        <v>428</v>
      </c>
      <c r="B12" s="18" t="s">
        <v>49</v>
      </c>
      <c r="C12" s="18">
        <v>40</v>
      </c>
      <c r="E12" s="13" t="s">
        <v>49</v>
      </c>
      <c r="F12" s="13">
        <f t="shared" si="0"/>
        <v>472</v>
      </c>
    </row>
    <row r="13" spans="1:6" ht="16.5" thickTop="1" thickBot="1">
      <c r="A13" s="18" t="s">
        <v>482</v>
      </c>
      <c r="B13" s="18" t="s">
        <v>47</v>
      </c>
      <c r="C13" s="18">
        <v>18</v>
      </c>
      <c r="E13" s="13" t="s">
        <v>408</v>
      </c>
      <c r="F13" s="13">
        <f>SUM(F2:F12)</f>
        <v>6221</v>
      </c>
    </row>
    <row r="14" spans="1:6" ht="16.5" thickTop="1" thickBot="1">
      <c r="A14" s="18" t="s">
        <v>1061</v>
      </c>
      <c r="B14" s="18" t="s">
        <v>49</v>
      </c>
      <c r="C14" s="18">
        <v>15</v>
      </c>
      <c r="E14" s="4"/>
      <c r="F14" s="4"/>
    </row>
    <row r="15" spans="1:6" ht="16.5" thickTop="1" thickBot="1">
      <c r="A15" s="18" t="s">
        <v>1062</v>
      </c>
      <c r="B15" s="18" t="s">
        <v>745</v>
      </c>
      <c r="C15" s="18">
        <v>26</v>
      </c>
    </row>
    <row r="16" spans="1:6" ht="16.5" thickTop="1" thickBot="1">
      <c r="A16" s="18" t="s">
        <v>967</v>
      </c>
      <c r="B16" s="18" t="s">
        <v>49</v>
      </c>
      <c r="C16" s="18">
        <v>158</v>
      </c>
    </row>
    <row r="17" spans="1:3" ht="16.5" thickTop="1" thickBot="1">
      <c r="A17" s="18"/>
      <c r="B17" s="18"/>
      <c r="C17" s="18"/>
    </row>
    <row r="18" spans="1:3" ht="16.5" thickTop="1" thickBot="1">
      <c r="A18" s="18"/>
      <c r="B18" s="18"/>
      <c r="C18" s="18"/>
    </row>
    <row r="19" spans="1:3" ht="16.5" thickTop="1" thickBot="1">
      <c r="A19" s="18"/>
      <c r="B19" s="18"/>
      <c r="C19" s="18"/>
    </row>
    <row r="20" spans="1:3" ht="16.5" thickTop="1" thickBot="1">
      <c r="A20" s="18"/>
      <c r="B20" s="18"/>
      <c r="C20" s="18"/>
    </row>
    <row r="21" spans="1:3" ht="16.5" thickTop="1" thickBot="1">
      <c r="A21" s="18"/>
      <c r="B21" s="18"/>
      <c r="C21" s="18"/>
    </row>
    <row r="22" spans="1:3" ht="16.5" thickTop="1" thickBot="1">
      <c r="A22" s="18"/>
      <c r="B22" s="18"/>
      <c r="C22" s="18"/>
    </row>
    <row r="23" spans="1:3" ht="16.5" thickTop="1" thickBot="1">
      <c r="A23" s="18"/>
      <c r="B23" s="18"/>
      <c r="C23" s="18"/>
    </row>
    <row r="24" spans="1:3" ht="16.5" thickTop="1" thickBot="1">
      <c r="A24" s="18"/>
      <c r="B24" s="18"/>
      <c r="C24" s="18"/>
    </row>
    <row r="25" spans="1:3" ht="16.5" thickTop="1" thickBot="1">
      <c r="A25" s="18"/>
      <c r="B25" s="18"/>
      <c r="C25" s="18"/>
    </row>
    <row r="26" spans="1:3" ht="16.5" thickTop="1" thickBot="1">
      <c r="A26" s="18"/>
      <c r="B26" s="18"/>
      <c r="C26" s="18"/>
    </row>
    <row r="27" spans="1:3" ht="16.5" thickTop="1" thickBot="1">
      <c r="A27" s="18"/>
      <c r="B27" s="18"/>
      <c r="C27" s="18"/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31:B41" xr:uid="{0404299E-F8ED-498F-B719-E1827ACC219B}">
      <formula1>"猫砂,猫粮,零食,药,日用品,买猫,其它"</formula1>
    </dataValidation>
    <dataValidation type="list" allowBlank="1" showInputMessage="1" showErrorMessage="1" sqref="B2:B30" xr:uid="{C6B2C5C2-4F2C-4943-9146-703F16851579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1A2F8-27E1-418A-B317-501A59FE7286}">
  <sheetPr codeName="Sheet12"/>
  <dimension ref="A1:F42"/>
  <sheetViews>
    <sheetView workbookViewId="0">
      <selection activeCell="F7" sqref="F7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1037</v>
      </c>
      <c r="B2" s="18" t="s">
        <v>49</v>
      </c>
      <c r="C2" s="18">
        <v>138</v>
      </c>
      <c r="E2" s="13" t="s">
        <v>1</v>
      </c>
      <c r="F2" s="13">
        <f t="shared" ref="F2:F12" si="0">SUMIF(B:B,E2,C:C)</f>
        <v>1340</v>
      </c>
    </row>
    <row r="3" spans="1:6" ht="16.5" thickTop="1" thickBot="1">
      <c r="A3" s="18" t="s">
        <v>1038</v>
      </c>
      <c r="B3" s="18" t="s">
        <v>745</v>
      </c>
      <c r="C3" s="18">
        <v>9</v>
      </c>
      <c r="E3" s="13" t="s">
        <v>2</v>
      </c>
      <c r="F3" s="13">
        <f t="shared" si="0"/>
        <v>909</v>
      </c>
    </row>
    <row r="4" spans="1:6" ht="16.5" thickTop="1" thickBot="1">
      <c r="A4" s="18" t="s">
        <v>1039</v>
      </c>
      <c r="B4" s="18" t="s">
        <v>49</v>
      </c>
      <c r="C4" s="18">
        <v>9</v>
      </c>
      <c r="E4" s="13" t="s">
        <v>3</v>
      </c>
      <c r="F4" s="13">
        <f t="shared" si="0"/>
        <v>209</v>
      </c>
    </row>
    <row r="5" spans="1:6" ht="16.5" thickTop="1" thickBot="1">
      <c r="A5" s="18" t="s">
        <v>1040</v>
      </c>
      <c r="B5" s="18" t="s">
        <v>49</v>
      </c>
      <c r="C5" s="18">
        <v>40</v>
      </c>
      <c r="E5" s="13" t="s">
        <v>745</v>
      </c>
      <c r="F5" s="13">
        <f t="shared" si="0"/>
        <v>640</v>
      </c>
    </row>
    <row r="6" spans="1:6" ht="16.5" thickTop="1" thickBot="1">
      <c r="A6" s="18" t="s">
        <v>1043</v>
      </c>
      <c r="B6" s="18" t="s">
        <v>745</v>
      </c>
      <c r="C6" s="18">
        <v>126</v>
      </c>
      <c r="E6" s="13" t="s">
        <v>375</v>
      </c>
      <c r="F6" s="13">
        <f t="shared" si="0"/>
        <v>0</v>
      </c>
    </row>
    <row r="7" spans="1:6" ht="16.5" thickTop="1" thickBot="1">
      <c r="A7" s="18" t="s">
        <v>1044</v>
      </c>
      <c r="B7" s="18" t="s">
        <v>745</v>
      </c>
      <c r="C7" s="18">
        <v>80</v>
      </c>
      <c r="E7" s="13" t="s">
        <v>743</v>
      </c>
      <c r="F7" s="13">
        <f t="shared" si="0"/>
        <v>285</v>
      </c>
    </row>
    <row r="8" spans="1:6" ht="16.5" thickTop="1" thickBot="1">
      <c r="A8" s="18" t="s">
        <v>45</v>
      </c>
      <c r="B8" s="18" t="s">
        <v>45</v>
      </c>
      <c r="C8" s="18">
        <v>740</v>
      </c>
      <c r="E8" s="13" t="s">
        <v>746</v>
      </c>
      <c r="F8" s="13">
        <f t="shared" si="0"/>
        <v>0</v>
      </c>
    </row>
    <row r="9" spans="1:6" ht="16.5" thickTop="1" thickBot="1">
      <c r="A9" s="18" t="s">
        <v>913</v>
      </c>
      <c r="B9" s="18" t="s">
        <v>745</v>
      </c>
      <c r="C9" s="18">
        <v>100</v>
      </c>
      <c r="E9" s="13" t="s">
        <v>744</v>
      </c>
      <c r="F9" s="13">
        <f t="shared" si="0"/>
        <v>500</v>
      </c>
    </row>
    <row r="10" spans="1:6" ht="16.5" thickTop="1" thickBot="1">
      <c r="A10" s="18" t="s">
        <v>333</v>
      </c>
      <c r="B10" s="18" t="s">
        <v>745</v>
      </c>
      <c r="C10" s="18">
        <v>50</v>
      </c>
      <c r="E10" s="13" t="s">
        <v>444</v>
      </c>
      <c r="F10" s="13">
        <f t="shared" si="0"/>
        <v>28</v>
      </c>
    </row>
    <row r="11" spans="1:6" ht="16.5" thickTop="1" thickBot="1">
      <c r="A11" s="18" t="s">
        <v>1045</v>
      </c>
      <c r="B11" s="18" t="s">
        <v>745</v>
      </c>
      <c r="C11" s="18">
        <v>40</v>
      </c>
      <c r="E11" s="13" t="s">
        <v>48</v>
      </c>
      <c r="F11" s="13">
        <f t="shared" si="0"/>
        <v>817</v>
      </c>
    </row>
    <row r="12" spans="1:6" ht="16.5" thickTop="1" thickBot="1">
      <c r="A12" s="18" t="s">
        <v>772</v>
      </c>
      <c r="B12" s="18" t="s">
        <v>743</v>
      </c>
      <c r="C12" s="18">
        <v>60</v>
      </c>
      <c r="E12" s="13" t="s">
        <v>49</v>
      </c>
      <c r="F12" s="13">
        <f t="shared" si="0"/>
        <v>347</v>
      </c>
    </row>
    <row r="13" spans="1:6" ht="16.5" thickTop="1" thickBot="1">
      <c r="A13" s="18" t="s">
        <v>1046</v>
      </c>
      <c r="B13" s="18" t="s">
        <v>743</v>
      </c>
      <c r="C13" s="18">
        <v>125</v>
      </c>
      <c r="E13" s="13" t="s">
        <v>408</v>
      </c>
      <c r="F13" s="13">
        <f>SUM(F2:F12)</f>
        <v>5075</v>
      </c>
    </row>
    <row r="14" spans="1:6" ht="16.5" thickTop="1" thickBot="1">
      <c r="A14" s="18" t="s">
        <v>752</v>
      </c>
      <c r="B14" s="18" t="s">
        <v>745</v>
      </c>
      <c r="C14" s="18">
        <v>55</v>
      </c>
      <c r="E14" s="4"/>
      <c r="F14" s="4"/>
    </row>
    <row r="15" spans="1:6" ht="16.5" thickTop="1" thickBot="1">
      <c r="A15" s="18" t="s">
        <v>572</v>
      </c>
      <c r="B15" s="18" t="s">
        <v>745</v>
      </c>
      <c r="C15" s="18">
        <v>26</v>
      </c>
    </row>
    <row r="16" spans="1:6" ht="16.5" thickTop="1" thickBot="1">
      <c r="A16" s="18" t="s">
        <v>333</v>
      </c>
      <c r="B16" s="18" t="s">
        <v>745</v>
      </c>
      <c r="C16" s="18">
        <v>30</v>
      </c>
    </row>
    <row r="17" spans="1:3" ht="16.5" thickTop="1" thickBot="1">
      <c r="A17" s="18" t="s">
        <v>46</v>
      </c>
      <c r="B17" s="18" t="s">
        <v>46</v>
      </c>
      <c r="C17" s="18">
        <v>450</v>
      </c>
    </row>
    <row r="18" spans="1:3" ht="16.5" thickTop="1" thickBot="1">
      <c r="A18" s="18" t="s">
        <v>726</v>
      </c>
      <c r="B18" s="18" t="s">
        <v>45</v>
      </c>
      <c r="C18" s="18">
        <v>600</v>
      </c>
    </row>
    <row r="19" spans="1:3" ht="16.5" thickTop="1" thickBot="1">
      <c r="A19" s="18" t="s">
        <v>727</v>
      </c>
      <c r="B19" s="18" t="s">
        <v>46</v>
      </c>
      <c r="C19" s="18">
        <v>459</v>
      </c>
    </row>
    <row r="20" spans="1:3" ht="16.5" thickTop="1" thickBot="1">
      <c r="A20" s="18" t="s">
        <v>333</v>
      </c>
      <c r="B20" s="18" t="s">
        <v>745</v>
      </c>
      <c r="C20" s="18">
        <v>100</v>
      </c>
    </row>
    <row r="21" spans="1:3" ht="16.5" thickTop="1" thickBot="1">
      <c r="A21" s="18" t="s">
        <v>1010</v>
      </c>
      <c r="B21" s="18" t="s">
        <v>444</v>
      </c>
      <c r="C21" s="18">
        <v>17</v>
      </c>
    </row>
    <row r="22" spans="1:3" ht="16.5" thickTop="1" thickBot="1">
      <c r="A22" s="18" t="s">
        <v>482</v>
      </c>
      <c r="B22" s="18" t="s">
        <v>47</v>
      </c>
      <c r="C22" s="18">
        <v>209</v>
      </c>
    </row>
    <row r="23" spans="1:3" ht="16.5" thickTop="1" thickBot="1">
      <c r="A23" s="18" t="s">
        <v>1047</v>
      </c>
      <c r="B23" s="18" t="s">
        <v>49</v>
      </c>
      <c r="C23" s="18">
        <v>160</v>
      </c>
    </row>
    <row r="24" spans="1:3" ht="16.5" thickTop="1" thickBot="1">
      <c r="A24" s="18" t="s">
        <v>1010</v>
      </c>
      <c r="B24" s="18" t="s">
        <v>444</v>
      </c>
      <c r="C24" s="18">
        <v>11</v>
      </c>
    </row>
    <row r="25" spans="1:3" ht="16.5" thickTop="1" thickBot="1">
      <c r="A25" s="18" t="s">
        <v>614</v>
      </c>
      <c r="B25" s="18" t="s">
        <v>743</v>
      </c>
      <c r="C25" s="18">
        <v>100</v>
      </c>
    </row>
    <row r="26" spans="1:3" ht="16.5" thickTop="1" thickBot="1">
      <c r="A26" s="18" t="s">
        <v>1048</v>
      </c>
      <c r="B26" s="18" t="s">
        <v>48</v>
      </c>
      <c r="C26" s="18">
        <v>817</v>
      </c>
    </row>
    <row r="27" spans="1:3" ht="16.5" thickTop="1" thickBot="1">
      <c r="A27" s="18" t="s">
        <v>1049</v>
      </c>
      <c r="B27" s="18" t="s">
        <v>745</v>
      </c>
      <c r="C27" s="18">
        <v>24</v>
      </c>
    </row>
    <row r="28" spans="1:3" ht="16.5" thickTop="1" thickBot="1">
      <c r="A28" s="18">
        <v>441</v>
      </c>
      <c r="B28" s="18" t="s">
        <v>744</v>
      </c>
      <c r="C28" s="18">
        <v>500</v>
      </c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31:B41" xr:uid="{4E1A2556-7416-42E9-8BF3-97BFAA01C31B}">
      <formula1>"猫砂,猫粮,零食,药,日用品,买猫,其它"</formula1>
    </dataValidation>
    <dataValidation type="list" allowBlank="1" showInputMessage="1" showErrorMessage="1" sqref="B2:B30" xr:uid="{1A2991BC-9A95-4644-A337-216485FEC1B5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80861-6788-43C9-9104-13B251FD831D}">
  <sheetPr codeName="Sheet13"/>
  <dimension ref="A1:F41"/>
  <sheetViews>
    <sheetView workbookViewId="0">
      <selection activeCell="F7" sqref="F7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1007</v>
      </c>
      <c r="B2" s="18" t="s">
        <v>49</v>
      </c>
      <c r="C2" s="18">
        <v>120</v>
      </c>
      <c r="E2" s="13" t="s">
        <v>1</v>
      </c>
      <c r="F2" s="13">
        <f t="shared" ref="F2:F12" si="0">SUMIF(B:B,E2,C:C)</f>
        <v>3098</v>
      </c>
    </row>
    <row r="3" spans="1:6" ht="16.5" thickTop="1" thickBot="1">
      <c r="A3" s="18" t="s">
        <v>1008</v>
      </c>
      <c r="B3" s="18" t="s">
        <v>46</v>
      </c>
      <c r="C3" s="18">
        <v>280</v>
      </c>
      <c r="E3" s="13" t="s">
        <v>2</v>
      </c>
      <c r="F3" s="13">
        <f t="shared" si="0"/>
        <v>950</v>
      </c>
    </row>
    <row r="4" spans="1:6" ht="16.5" thickTop="1" thickBot="1">
      <c r="A4" s="18" t="s">
        <v>622</v>
      </c>
      <c r="B4" s="18" t="s">
        <v>743</v>
      </c>
      <c r="C4" s="18">
        <v>100</v>
      </c>
      <c r="E4" s="13" t="s">
        <v>3</v>
      </c>
      <c r="F4" s="13">
        <f t="shared" si="0"/>
        <v>36</v>
      </c>
    </row>
    <row r="5" spans="1:6" ht="16.5" thickTop="1" thickBot="1">
      <c r="A5" s="18" t="s">
        <v>327</v>
      </c>
      <c r="B5" s="18" t="s">
        <v>47</v>
      </c>
      <c r="C5" s="18">
        <v>36</v>
      </c>
      <c r="E5" s="13" t="s">
        <v>745</v>
      </c>
      <c r="F5" s="13">
        <f t="shared" si="0"/>
        <v>365</v>
      </c>
    </row>
    <row r="6" spans="1:6" ht="16.5" thickTop="1" thickBot="1">
      <c r="A6" s="18" t="s">
        <v>45</v>
      </c>
      <c r="B6" s="18" t="s">
        <v>45</v>
      </c>
      <c r="C6" s="18">
        <v>120</v>
      </c>
      <c r="E6" s="13" t="s">
        <v>375</v>
      </c>
      <c r="F6" s="13">
        <f t="shared" si="0"/>
        <v>0</v>
      </c>
    </row>
    <row r="7" spans="1:6" ht="16.5" thickTop="1" thickBot="1">
      <c r="A7" s="18" t="s">
        <v>602</v>
      </c>
      <c r="B7" s="18" t="s">
        <v>45</v>
      </c>
      <c r="C7" s="18">
        <v>628</v>
      </c>
      <c r="E7" s="13" t="s">
        <v>743</v>
      </c>
      <c r="F7" s="13">
        <f t="shared" si="0"/>
        <v>374</v>
      </c>
    </row>
    <row r="8" spans="1:6" ht="16.5" thickTop="1" thickBot="1">
      <c r="A8" s="18" t="s">
        <v>755</v>
      </c>
      <c r="B8" s="18" t="s">
        <v>46</v>
      </c>
      <c r="C8" s="18">
        <v>400</v>
      </c>
      <c r="E8" s="13" t="s">
        <v>746</v>
      </c>
      <c r="F8" s="13">
        <f t="shared" si="0"/>
        <v>0</v>
      </c>
    </row>
    <row r="9" spans="1:6" ht="16.5" thickTop="1" thickBot="1">
      <c r="A9" s="18" t="s">
        <v>1016</v>
      </c>
      <c r="B9" s="18" t="s">
        <v>49</v>
      </c>
      <c r="C9" s="18">
        <v>12</v>
      </c>
      <c r="E9" s="13" t="s">
        <v>744</v>
      </c>
      <c r="F9" s="13">
        <f t="shared" si="0"/>
        <v>0</v>
      </c>
    </row>
    <row r="10" spans="1:6" ht="16.5" thickTop="1" thickBot="1">
      <c r="A10" s="18" t="s">
        <v>384</v>
      </c>
      <c r="B10" s="18" t="s">
        <v>49</v>
      </c>
      <c r="C10" s="18">
        <v>5500</v>
      </c>
      <c r="E10" s="13" t="s">
        <v>444</v>
      </c>
      <c r="F10" s="13">
        <f t="shared" si="0"/>
        <v>0</v>
      </c>
    </row>
    <row r="11" spans="1:6" ht="16.5" thickTop="1" thickBot="1">
      <c r="A11" s="18" t="s">
        <v>1009</v>
      </c>
      <c r="B11" s="18" t="s">
        <v>49</v>
      </c>
      <c r="C11" s="18">
        <v>680</v>
      </c>
      <c r="E11" s="13" t="s">
        <v>48</v>
      </c>
      <c r="F11" s="13">
        <f t="shared" si="0"/>
        <v>0</v>
      </c>
    </row>
    <row r="12" spans="1:6" ht="16.5" thickTop="1" thickBot="1">
      <c r="A12" s="18" t="s">
        <v>429</v>
      </c>
      <c r="B12" s="18" t="s">
        <v>45</v>
      </c>
      <c r="C12" s="18">
        <v>400</v>
      </c>
      <c r="E12" s="13" t="s">
        <v>49</v>
      </c>
      <c r="F12" s="13">
        <f t="shared" si="0"/>
        <v>7276</v>
      </c>
    </row>
    <row r="13" spans="1:6" ht="16.5" thickTop="1" thickBot="1">
      <c r="A13" s="18" t="s">
        <v>333</v>
      </c>
      <c r="B13" s="18" t="s">
        <v>745</v>
      </c>
      <c r="C13" s="18">
        <v>100</v>
      </c>
      <c r="E13" s="13" t="s">
        <v>408</v>
      </c>
      <c r="F13" s="13">
        <f>SUM(F2:F12)</f>
        <v>12099</v>
      </c>
    </row>
    <row r="14" spans="1:6" ht="16.5" thickTop="1" thickBot="1">
      <c r="A14" s="18" t="s">
        <v>772</v>
      </c>
      <c r="B14" s="18" t="s">
        <v>743</v>
      </c>
      <c r="C14" s="18">
        <v>50</v>
      </c>
      <c r="E14" s="4"/>
      <c r="F14" s="4"/>
    </row>
    <row r="15" spans="1:6" ht="16.5" thickTop="1" thickBot="1">
      <c r="A15" s="18" t="s">
        <v>313</v>
      </c>
      <c r="B15" s="18" t="s">
        <v>743</v>
      </c>
      <c r="C15" s="18">
        <v>64</v>
      </c>
    </row>
    <row r="16" spans="1:6" ht="16.5" thickTop="1" thickBot="1">
      <c r="A16" s="18" t="s">
        <v>381</v>
      </c>
      <c r="B16" s="18" t="s">
        <v>49</v>
      </c>
      <c r="C16" s="18">
        <v>40</v>
      </c>
    </row>
    <row r="17" spans="1:3" ht="16.5" thickTop="1" thickBot="1">
      <c r="A17" s="18" t="s">
        <v>772</v>
      </c>
      <c r="B17" s="18" t="s">
        <v>743</v>
      </c>
      <c r="C17" s="18">
        <v>160</v>
      </c>
    </row>
    <row r="18" spans="1:3" ht="16.5" thickTop="1" thickBot="1">
      <c r="A18" s="18" t="s">
        <v>46</v>
      </c>
      <c r="B18" s="18" t="s">
        <v>46</v>
      </c>
      <c r="C18" s="18">
        <v>270</v>
      </c>
    </row>
    <row r="19" spans="1:3" ht="16.5" thickTop="1" thickBot="1">
      <c r="A19" s="18" t="s">
        <v>45</v>
      </c>
      <c r="B19" s="18" t="s">
        <v>45</v>
      </c>
      <c r="C19" s="18">
        <v>1950</v>
      </c>
    </row>
    <row r="20" spans="1:3" ht="16.5" thickTop="1" thickBot="1">
      <c r="A20" s="18" t="s">
        <v>1010</v>
      </c>
      <c r="B20" s="18" t="s">
        <v>49</v>
      </c>
      <c r="C20" s="18">
        <v>20</v>
      </c>
    </row>
    <row r="21" spans="1:3" ht="16.5" thickTop="1" thickBot="1">
      <c r="A21" s="18" t="s">
        <v>1011</v>
      </c>
      <c r="B21" s="18" t="s">
        <v>49</v>
      </c>
      <c r="C21" s="18">
        <v>205</v>
      </c>
    </row>
    <row r="22" spans="1:3" ht="16.5" thickTop="1" thickBot="1">
      <c r="A22" s="18" t="s">
        <v>967</v>
      </c>
      <c r="B22" s="18" t="s">
        <v>49</v>
      </c>
      <c r="C22" s="18">
        <v>126</v>
      </c>
    </row>
    <row r="23" spans="1:3" ht="16.5" thickTop="1" thickBot="1">
      <c r="A23" s="18" t="s">
        <v>1012</v>
      </c>
      <c r="B23" s="18" t="s">
        <v>49</v>
      </c>
      <c r="C23" s="18">
        <v>358</v>
      </c>
    </row>
    <row r="24" spans="1:3" ht="16.5" thickTop="1" thickBot="1">
      <c r="A24" s="18" t="s">
        <v>966</v>
      </c>
      <c r="B24" s="18" t="s">
        <v>49</v>
      </c>
      <c r="C24" s="18">
        <v>147</v>
      </c>
    </row>
    <row r="25" spans="1:3" ht="16.5" thickTop="1" thickBot="1">
      <c r="A25" s="18" t="s">
        <v>1013</v>
      </c>
      <c r="B25" s="18" t="s">
        <v>49</v>
      </c>
      <c r="C25" s="18">
        <v>10</v>
      </c>
    </row>
    <row r="26" spans="1:3" ht="16.5" thickTop="1" thickBot="1">
      <c r="A26" s="18" t="s">
        <v>1014</v>
      </c>
      <c r="B26" s="18" t="s">
        <v>49</v>
      </c>
      <c r="C26" s="18">
        <v>58</v>
      </c>
    </row>
    <row r="27" spans="1:3" ht="16.5" thickTop="1" thickBot="1">
      <c r="A27" s="18" t="s">
        <v>413</v>
      </c>
      <c r="B27" s="18" t="s">
        <v>745</v>
      </c>
      <c r="C27" s="18">
        <v>170</v>
      </c>
    </row>
    <row r="28" spans="1:3" ht="16.5" thickTop="1" thickBot="1">
      <c r="A28" s="18" t="s">
        <v>1015</v>
      </c>
      <c r="B28" s="18" t="s">
        <v>745</v>
      </c>
      <c r="C28" s="18">
        <v>35</v>
      </c>
    </row>
    <row r="29" spans="1:3" ht="16.5" thickTop="1" thickBot="1">
      <c r="A29" s="18" t="s">
        <v>421</v>
      </c>
      <c r="B29" s="18" t="s">
        <v>745</v>
      </c>
      <c r="C29" s="18">
        <v>60</v>
      </c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5.75" thickTop="1"/>
  </sheetData>
  <dataValidations count="2">
    <dataValidation type="list" allowBlank="1" showInputMessage="1" showErrorMessage="1" sqref="B30:B40 B9" xr:uid="{5394C57E-09AC-400C-9345-3CA7FF84BAC0}">
      <formula1>"猫砂,猫粮,零食,药,日用品,买猫,其它"</formula1>
    </dataValidation>
    <dataValidation type="list" allowBlank="1" showInputMessage="1" showErrorMessage="1" sqref="B2:B8 B10:B29" xr:uid="{07D089C8-544E-4BA0-93ED-1BB51B855012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E5BD8-C0F2-4B82-A735-665DC3B11DBF}">
  <sheetPr codeName="Sheet14"/>
  <dimension ref="A1:G42"/>
  <sheetViews>
    <sheetView workbookViewId="0">
      <selection activeCell="F7" sqref="F7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329</v>
      </c>
      <c r="B2" s="18" t="s">
        <v>46</v>
      </c>
      <c r="C2" s="18">
        <v>20</v>
      </c>
      <c r="E2" s="13" t="s">
        <v>1</v>
      </c>
      <c r="F2" s="13">
        <f t="shared" ref="F2:F12" si="0">SUMIF(B:B,E2,C:C)</f>
        <v>2941</v>
      </c>
    </row>
    <row r="3" spans="1:6" ht="16.5" thickTop="1" thickBot="1">
      <c r="A3" s="18" t="s">
        <v>332</v>
      </c>
      <c r="B3" s="18" t="s">
        <v>744</v>
      </c>
      <c r="C3" s="18">
        <v>95</v>
      </c>
      <c r="E3" s="13" t="s">
        <v>2</v>
      </c>
      <c r="F3" s="13">
        <f t="shared" si="0"/>
        <v>1936</v>
      </c>
    </row>
    <row r="4" spans="1:6" ht="16.5" thickTop="1" thickBot="1">
      <c r="A4" s="18">
        <v>441</v>
      </c>
      <c r="B4" s="18" t="s">
        <v>744</v>
      </c>
      <c r="C4" s="18">
        <v>300</v>
      </c>
      <c r="E4" s="13" t="s">
        <v>3</v>
      </c>
      <c r="F4" s="13">
        <f t="shared" si="0"/>
        <v>519</v>
      </c>
    </row>
    <row r="5" spans="1:6" ht="16.5" thickTop="1" thickBot="1">
      <c r="A5" s="18" t="s">
        <v>991</v>
      </c>
      <c r="B5" s="18" t="s">
        <v>743</v>
      </c>
      <c r="C5" s="18">
        <v>200</v>
      </c>
      <c r="E5" s="13" t="s">
        <v>745</v>
      </c>
      <c r="F5" s="13">
        <f t="shared" si="0"/>
        <v>0</v>
      </c>
    </row>
    <row r="6" spans="1:6" ht="16.5" thickTop="1" thickBot="1">
      <c r="A6" s="18" t="s">
        <v>992</v>
      </c>
      <c r="B6" s="18" t="s">
        <v>744</v>
      </c>
      <c r="C6" s="18">
        <v>36</v>
      </c>
      <c r="E6" s="13" t="s">
        <v>375</v>
      </c>
      <c r="F6" s="13">
        <f t="shared" si="0"/>
        <v>0</v>
      </c>
    </row>
    <row r="7" spans="1:6" ht="16.5" thickTop="1" thickBot="1">
      <c r="A7" s="18" t="s">
        <v>993</v>
      </c>
      <c r="B7" s="18" t="s">
        <v>49</v>
      </c>
      <c r="C7" s="18">
        <v>87</v>
      </c>
      <c r="E7" s="13" t="s">
        <v>743</v>
      </c>
      <c r="F7" s="13">
        <f t="shared" si="0"/>
        <v>350</v>
      </c>
    </row>
    <row r="8" spans="1:6" ht="16.5" thickTop="1" thickBot="1">
      <c r="A8" s="18" t="s">
        <v>994</v>
      </c>
      <c r="B8" s="18" t="s">
        <v>744</v>
      </c>
      <c r="C8" s="18">
        <v>25</v>
      </c>
      <c r="E8" s="13" t="s">
        <v>746</v>
      </c>
      <c r="F8" s="13">
        <f t="shared" si="0"/>
        <v>0</v>
      </c>
    </row>
    <row r="9" spans="1:6" ht="16.5" thickTop="1" thickBot="1">
      <c r="A9" s="18" t="s">
        <v>46</v>
      </c>
      <c r="B9" s="18" t="s">
        <v>46</v>
      </c>
      <c r="C9" s="18">
        <v>90</v>
      </c>
      <c r="E9" s="13" t="s">
        <v>744</v>
      </c>
      <c r="F9" s="13">
        <f t="shared" si="0"/>
        <v>552</v>
      </c>
    </row>
    <row r="10" spans="1:6" ht="16.5" thickTop="1" thickBot="1">
      <c r="A10" s="18" t="s">
        <v>995</v>
      </c>
      <c r="B10" s="18" t="s">
        <v>49</v>
      </c>
      <c r="C10" s="18">
        <v>20</v>
      </c>
      <c r="E10" s="13" t="s">
        <v>444</v>
      </c>
      <c r="F10" s="13">
        <f t="shared" si="0"/>
        <v>0</v>
      </c>
    </row>
    <row r="11" spans="1:6" ht="16.5" thickTop="1" thickBot="1">
      <c r="A11" s="18" t="s">
        <v>429</v>
      </c>
      <c r="B11" s="18" t="s">
        <v>45</v>
      </c>
      <c r="C11" s="18">
        <v>1950</v>
      </c>
      <c r="E11" s="13" t="s">
        <v>48</v>
      </c>
      <c r="F11" s="13">
        <f t="shared" si="0"/>
        <v>0</v>
      </c>
    </row>
    <row r="12" spans="1:6" ht="16.5" thickTop="1" thickBot="1">
      <c r="A12" s="18" t="s">
        <v>995</v>
      </c>
      <c r="B12" s="18" t="s">
        <v>49</v>
      </c>
      <c r="C12" s="18">
        <v>90</v>
      </c>
      <c r="E12" s="13" t="s">
        <v>49</v>
      </c>
      <c r="F12" s="13">
        <f t="shared" si="0"/>
        <v>284</v>
      </c>
    </row>
    <row r="13" spans="1:6" ht="16.5" thickTop="1" thickBot="1">
      <c r="A13" s="18" t="s">
        <v>482</v>
      </c>
      <c r="B13" s="18" t="s">
        <v>47</v>
      </c>
      <c r="C13" s="18">
        <v>294</v>
      </c>
      <c r="E13" s="13" t="s">
        <v>408</v>
      </c>
      <c r="F13" s="13">
        <f>SUM(F2:F12)</f>
        <v>6582</v>
      </c>
    </row>
    <row r="14" spans="1:6" ht="16.5" thickTop="1" thickBot="1">
      <c r="A14" s="18" t="s">
        <v>46</v>
      </c>
      <c r="B14" s="18" t="s">
        <v>46</v>
      </c>
      <c r="C14" s="18">
        <v>1826</v>
      </c>
      <c r="E14" s="4"/>
      <c r="F14" s="4"/>
    </row>
    <row r="15" spans="1:6" ht="16.5" thickTop="1" thickBot="1">
      <c r="A15" s="18" t="s">
        <v>423</v>
      </c>
      <c r="B15" s="18" t="s">
        <v>47</v>
      </c>
      <c r="C15" s="18">
        <v>15</v>
      </c>
    </row>
    <row r="16" spans="1:6" ht="16.5" thickTop="1" thickBot="1">
      <c r="A16" s="18" t="s">
        <v>899</v>
      </c>
      <c r="B16" s="18" t="s">
        <v>45</v>
      </c>
      <c r="C16" s="18">
        <v>350</v>
      </c>
    </row>
    <row r="17" spans="1:7" ht="16.5" thickTop="1" thickBot="1">
      <c r="A17" s="18" t="s">
        <v>998</v>
      </c>
      <c r="B17" s="18" t="s">
        <v>744</v>
      </c>
      <c r="C17" s="18">
        <v>96</v>
      </c>
    </row>
    <row r="18" spans="1:7" ht="16.5" thickTop="1" thickBot="1">
      <c r="A18" s="18" t="s">
        <v>996</v>
      </c>
      <c r="B18" s="18" t="s">
        <v>45</v>
      </c>
      <c r="C18" s="18">
        <v>300</v>
      </c>
    </row>
    <row r="19" spans="1:7" ht="16.5" thickTop="1" thickBot="1">
      <c r="A19" s="18" t="s">
        <v>762</v>
      </c>
      <c r="B19" s="18" t="s">
        <v>45</v>
      </c>
      <c r="C19" s="18">
        <v>341</v>
      </c>
    </row>
    <row r="20" spans="1:7" ht="16.5" thickTop="1" thickBot="1">
      <c r="A20" s="18" t="s">
        <v>997</v>
      </c>
      <c r="B20" s="18" t="s">
        <v>47</v>
      </c>
      <c r="C20" s="18">
        <v>210</v>
      </c>
    </row>
    <row r="21" spans="1:7" ht="16.5" thickTop="1" thickBot="1">
      <c r="A21" s="18" t="s">
        <v>313</v>
      </c>
      <c r="B21" s="18" t="s">
        <v>743</v>
      </c>
      <c r="C21" s="18">
        <v>60</v>
      </c>
    </row>
    <row r="22" spans="1:7" ht="16.5" thickTop="1" thickBot="1">
      <c r="A22" s="18" t="s">
        <v>579</v>
      </c>
      <c r="B22" s="18" t="s">
        <v>743</v>
      </c>
      <c r="C22" s="18">
        <v>90</v>
      </c>
    </row>
    <row r="23" spans="1:7" ht="16.5" thickTop="1" thickBot="1">
      <c r="A23" s="18" t="s">
        <v>321</v>
      </c>
      <c r="B23" s="18" t="s">
        <v>49</v>
      </c>
      <c r="C23" s="18">
        <v>63</v>
      </c>
    </row>
    <row r="24" spans="1:7" ht="16.5" thickTop="1" thickBot="1">
      <c r="A24" s="18" t="s">
        <v>999</v>
      </c>
      <c r="B24" s="18" t="s">
        <v>49</v>
      </c>
      <c r="C24" s="18">
        <v>10</v>
      </c>
    </row>
    <row r="25" spans="1:7" ht="16.5" thickTop="1" thickBot="1">
      <c r="A25" s="18" t="s">
        <v>543</v>
      </c>
      <c r="B25" s="18" t="s">
        <v>49</v>
      </c>
      <c r="C25" s="18">
        <v>10</v>
      </c>
    </row>
    <row r="26" spans="1:7" ht="16.5" thickTop="1" thickBot="1">
      <c r="A26" s="18" t="s">
        <v>1000</v>
      </c>
      <c r="B26" s="18" t="s">
        <v>49</v>
      </c>
      <c r="C26" s="18">
        <v>4</v>
      </c>
    </row>
    <row r="27" spans="1:7" ht="16.5" thickTop="1" thickBot="1">
      <c r="A27" s="18"/>
      <c r="B27" s="18"/>
      <c r="C27" s="18"/>
    </row>
    <row r="28" spans="1:7" ht="16.5" thickTop="1" thickBot="1">
      <c r="A28" s="18"/>
      <c r="B28" s="18"/>
      <c r="C28" s="18"/>
    </row>
    <row r="29" spans="1:7" ht="16.5" thickTop="1" thickBot="1">
      <c r="A29" s="18"/>
      <c r="B29" s="18"/>
      <c r="C29" s="18"/>
    </row>
    <row r="30" spans="1:7" ht="16.5" thickTop="1" thickBot="1">
      <c r="A30" s="18"/>
      <c r="B30" s="18"/>
      <c r="C30" s="18"/>
      <c r="G30" s="4" t="s">
        <v>810</v>
      </c>
    </row>
    <row r="31" spans="1:7" ht="16.5" thickTop="1" thickBot="1">
      <c r="A31" s="18"/>
      <c r="B31" s="18"/>
      <c r="C31" s="18"/>
    </row>
    <row r="32" spans="1:7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31:B41" xr:uid="{7EB36765-22E2-4636-B372-FB376164D6E9}">
      <formula1>"猫砂,猫粮,零食,药,日用品,买猫,其它"</formula1>
    </dataValidation>
    <dataValidation type="list" allowBlank="1" showInputMessage="1" showErrorMessage="1" sqref="B2:B30" xr:uid="{EB94FF73-2A43-47E7-A464-C7609ED7F198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B57C1-4B72-4CFA-968C-F2246EA39ADD}">
  <sheetPr codeName="Sheet15"/>
  <dimension ref="A1:F53"/>
  <sheetViews>
    <sheetView workbookViewId="0">
      <selection activeCell="F7" sqref="F7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327</v>
      </c>
      <c r="B2" s="18" t="s">
        <v>47</v>
      </c>
      <c r="C2" s="18">
        <v>486</v>
      </c>
      <c r="E2" s="13" t="s">
        <v>1</v>
      </c>
      <c r="F2" s="13">
        <f t="shared" ref="F2:F12" si="0">SUMIF(B:B,E2,C:C)</f>
        <v>2350</v>
      </c>
    </row>
    <row r="3" spans="1:6" ht="16.5" thickTop="1" thickBot="1">
      <c r="A3" s="18" t="s">
        <v>327</v>
      </c>
      <c r="B3" s="18" t="s">
        <v>47</v>
      </c>
      <c r="C3" s="18">
        <v>246</v>
      </c>
      <c r="E3" s="13" t="s">
        <v>2</v>
      </c>
      <c r="F3" s="13">
        <f t="shared" si="0"/>
        <v>1083</v>
      </c>
    </row>
    <row r="4" spans="1:6" ht="16.5" thickTop="1" thickBot="1">
      <c r="A4" s="18" t="s">
        <v>962</v>
      </c>
      <c r="B4" s="18" t="s">
        <v>47</v>
      </c>
      <c r="C4" s="18">
        <v>494</v>
      </c>
      <c r="E4" s="13" t="s">
        <v>3</v>
      </c>
      <c r="F4" s="13">
        <f t="shared" si="0"/>
        <v>1414</v>
      </c>
    </row>
    <row r="5" spans="1:6" ht="16.5" thickTop="1" thickBot="1">
      <c r="A5" s="18" t="s">
        <v>538</v>
      </c>
      <c r="B5" s="18" t="s">
        <v>47</v>
      </c>
      <c r="C5" s="18">
        <v>170</v>
      </c>
      <c r="E5" s="13" t="s">
        <v>745</v>
      </c>
      <c r="F5" s="13">
        <f t="shared" si="0"/>
        <v>444</v>
      </c>
    </row>
    <row r="6" spans="1:6" ht="16.5" thickTop="1" thickBot="1">
      <c r="A6" s="18" t="s">
        <v>423</v>
      </c>
      <c r="B6" s="18" t="s">
        <v>47</v>
      </c>
      <c r="C6" s="18">
        <v>18</v>
      </c>
      <c r="E6" s="13" t="s">
        <v>375</v>
      </c>
      <c r="F6" s="13">
        <f t="shared" si="0"/>
        <v>152</v>
      </c>
    </row>
    <row r="7" spans="1:6" ht="16.5" thickTop="1" thickBot="1">
      <c r="A7" s="18" t="s">
        <v>328</v>
      </c>
      <c r="B7" s="18" t="s">
        <v>444</v>
      </c>
      <c r="C7" s="18">
        <v>84</v>
      </c>
      <c r="E7" s="13" t="s">
        <v>743</v>
      </c>
      <c r="F7" s="13">
        <f t="shared" si="0"/>
        <v>758</v>
      </c>
    </row>
    <row r="8" spans="1:6" ht="16.5" thickTop="1" thickBot="1">
      <c r="A8" s="18" t="s">
        <v>900</v>
      </c>
      <c r="B8" s="18" t="s">
        <v>444</v>
      </c>
      <c r="C8" s="18">
        <v>40</v>
      </c>
      <c r="E8" s="13" t="s">
        <v>746</v>
      </c>
      <c r="F8" s="13">
        <f t="shared" si="0"/>
        <v>0</v>
      </c>
    </row>
    <row r="9" spans="1:6" ht="16.5" thickTop="1" thickBot="1">
      <c r="A9" s="18" t="s">
        <v>979</v>
      </c>
      <c r="B9" s="18" t="s">
        <v>444</v>
      </c>
      <c r="C9" s="18">
        <v>60</v>
      </c>
      <c r="E9" s="13" t="s">
        <v>744</v>
      </c>
      <c r="F9" s="13">
        <f t="shared" si="0"/>
        <v>1790</v>
      </c>
    </row>
    <row r="10" spans="1:6" ht="16.5" thickTop="1" thickBot="1">
      <c r="A10" s="18" t="s">
        <v>375</v>
      </c>
      <c r="B10" s="18" t="s">
        <v>375</v>
      </c>
      <c r="C10" s="18">
        <v>130</v>
      </c>
      <c r="E10" s="13" t="s">
        <v>444</v>
      </c>
      <c r="F10" s="13">
        <f t="shared" si="0"/>
        <v>184</v>
      </c>
    </row>
    <row r="11" spans="1:6" ht="16.5" thickTop="1" thickBot="1">
      <c r="A11" s="18" t="s">
        <v>380</v>
      </c>
      <c r="B11" s="18" t="s">
        <v>375</v>
      </c>
      <c r="C11" s="18">
        <v>22</v>
      </c>
      <c r="E11" s="13" t="s">
        <v>48</v>
      </c>
      <c r="F11" s="13">
        <f t="shared" si="0"/>
        <v>0</v>
      </c>
    </row>
    <row r="12" spans="1:6" ht="16.5" thickTop="1" thickBot="1">
      <c r="A12" s="18" t="s">
        <v>45</v>
      </c>
      <c r="B12" s="18" t="s">
        <v>45</v>
      </c>
      <c r="C12" s="18">
        <v>800</v>
      </c>
      <c r="E12" s="13" t="s">
        <v>49</v>
      </c>
      <c r="F12" s="13">
        <f t="shared" si="0"/>
        <v>1169</v>
      </c>
    </row>
    <row r="13" spans="1:6" ht="16.5" thickTop="1" thickBot="1">
      <c r="A13" s="18" t="s">
        <v>45</v>
      </c>
      <c r="B13" s="18" t="s">
        <v>45</v>
      </c>
      <c r="C13" s="18">
        <v>250</v>
      </c>
      <c r="E13" s="13" t="s">
        <v>408</v>
      </c>
      <c r="F13" s="13">
        <f>SUM(F2:F12)</f>
        <v>9344</v>
      </c>
    </row>
    <row r="14" spans="1:6" ht="16.5" thickTop="1" thickBot="1">
      <c r="A14" s="18" t="s">
        <v>602</v>
      </c>
      <c r="B14" s="18" t="s">
        <v>45</v>
      </c>
      <c r="C14" s="18">
        <v>600</v>
      </c>
      <c r="E14" s="4"/>
      <c r="F14" s="4"/>
    </row>
    <row r="15" spans="1:6" ht="16.5" thickTop="1" thickBot="1">
      <c r="A15" s="18" t="s">
        <v>977</v>
      </c>
      <c r="B15" s="18" t="s">
        <v>45</v>
      </c>
      <c r="C15" s="18">
        <v>700</v>
      </c>
    </row>
    <row r="16" spans="1:6" ht="16.5" thickTop="1" thickBot="1">
      <c r="A16" s="18" t="s">
        <v>755</v>
      </c>
      <c r="B16" s="18" t="s">
        <v>46</v>
      </c>
      <c r="C16" s="18">
        <v>156</v>
      </c>
    </row>
    <row r="17" spans="1:3" ht="16.5" thickTop="1" thickBot="1">
      <c r="A17" s="18" t="s">
        <v>46</v>
      </c>
      <c r="B17" s="18" t="s">
        <v>46</v>
      </c>
      <c r="C17" s="18">
        <v>927</v>
      </c>
    </row>
    <row r="18" spans="1:3" ht="16.5" thickTop="1" thickBot="1">
      <c r="A18" s="18" t="s">
        <v>333</v>
      </c>
      <c r="B18" s="18" t="s">
        <v>745</v>
      </c>
      <c r="C18" s="18">
        <v>240</v>
      </c>
    </row>
    <row r="19" spans="1:3" ht="16.5" thickTop="1" thickBot="1">
      <c r="A19" s="18" t="s">
        <v>970</v>
      </c>
      <c r="B19" s="18" t="s">
        <v>745</v>
      </c>
      <c r="C19" s="18">
        <v>33</v>
      </c>
    </row>
    <row r="20" spans="1:3" ht="16.5" thickTop="1" thickBot="1">
      <c r="A20" s="18" t="s">
        <v>972</v>
      </c>
      <c r="B20" s="18" t="s">
        <v>745</v>
      </c>
      <c r="C20" s="18">
        <v>12</v>
      </c>
    </row>
    <row r="21" spans="1:3" ht="16.5" thickTop="1" thickBot="1">
      <c r="A21" s="18" t="s">
        <v>413</v>
      </c>
      <c r="B21" s="18" t="s">
        <v>745</v>
      </c>
      <c r="C21" s="18">
        <v>159</v>
      </c>
    </row>
    <row r="22" spans="1:3" ht="16.5" thickTop="1" thickBot="1">
      <c r="A22" s="18" t="s">
        <v>772</v>
      </c>
      <c r="B22" s="18" t="s">
        <v>743</v>
      </c>
      <c r="C22" s="18">
        <v>216</v>
      </c>
    </row>
    <row r="23" spans="1:3" ht="16.5" thickTop="1" thickBot="1">
      <c r="A23" s="18" t="s">
        <v>318</v>
      </c>
      <c r="B23" s="18" t="s">
        <v>743</v>
      </c>
      <c r="C23" s="18">
        <v>30</v>
      </c>
    </row>
    <row r="24" spans="1:3" ht="16.5" thickTop="1" thickBot="1">
      <c r="A24" s="18" t="s">
        <v>732</v>
      </c>
      <c r="B24" s="18" t="s">
        <v>743</v>
      </c>
      <c r="C24" s="18">
        <v>25</v>
      </c>
    </row>
    <row r="25" spans="1:3" ht="16.5" thickTop="1" thickBot="1">
      <c r="A25" s="18" t="s">
        <v>975</v>
      </c>
      <c r="B25" s="18" t="s">
        <v>743</v>
      </c>
      <c r="C25" s="18">
        <v>70</v>
      </c>
    </row>
    <row r="26" spans="1:3" ht="16.5" thickTop="1" thickBot="1">
      <c r="A26" s="18" t="s">
        <v>772</v>
      </c>
      <c r="B26" s="18" t="s">
        <v>743</v>
      </c>
      <c r="C26" s="18">
        <v>60</v>
      </c>
    </row>
    <row r="27" spans="1:3" ht="16.5" thickTop="1" thickBot="1">
      <c r="A27" s="18" t="s">
        <v>772</v>
      </c>
      <c r="B27" s="18" t="s">
        <v>743</v>
      </c>
      <c r="C27" s="18">
        <v>40</v>
      </c>
    </row>
    <row r="28" spans="1:3" ht="16.5" thickTop="1" thickBot="1">
      <c r="A28" s="18" t="s">
        <v>374</v>
      </c>
      <c r="B28" s="18" t="s">
        <v>743</v>
      </c>
      <c r="C28" s="18">
        <v>80</v>
      </c>
    </row>
    <row r="29" spans="1:3" ht="16.5" thickTop="1" thickBot="1">
      <c r="A29" s="18" t="s">
        <v>626</v>
      </c>
      <c r="B29" s="18" t="s">
        <v>743</v>
      </c>
      <c r="C29" s="18">
        <v>66</v>
      </c>
    </row>
    <row r="30" spans="1:3" ht="16.5" thickTop="1" thickBot="1">
      <c r="A30" s="18" t="s">
        <v>969</v>
      </c>
      <c r="B30" s="18" t="s">
        <v>743</v>
      </c>
      <c r="C30" s="18">
        <v>61</v>
      </c>
    </row>
    <row r="31" spans="1:3" ht="16.5" thickTop="1" thickBot="1">
      <c r="A31" s="18" t="s">
        <v>606</v>
      </c>
      <c r="B31" s="18" t="s">
        <v>743</v>
      </c>
      <c r="C31" s="18">
        <v>110</v>
      </c>
    </row>
    <row r="32" spans="1:3" ht="16.5" thickTop="1" thickBot="1">
      <c r="A32" s="18" t="s">
        <v>584</v>
      </c>
      <c r="B32" s="18" t="s">
        <v>49</v>
      </c>
      <c r="C32" s="18">
        <v>10</v>
      </c>
    </row>
    <row r="33" spans="1:3" ht="16.5" thickTop="1" thickBot="1">
      <c r="A33" s="18" t="s">
        <v>961</v>
      </c>
      <c r="B33" s="18" t="s">
        <v>49</v>
      </c>
      <c r="C33" s="18">
        <v>238</v>
      </c>
    </row>
    <row r="34" spans="1:3" ht="16.5" thickTop="1" thickBot="1">
      <c r="A34" s="18" t="s">
        <v>976</v>
      </c>
      <c r="B34" s="18" t="s">
        <v>49</v>
      </c>
      <c r="C34" s="18">
        <v>500</v>
      </c>
    </row>
    <row r="35" spans="1:3" ht="16.5" thickTop="1" thickBot="1">
      <c r="A35" s="18" t="s">
        <v>963</v>
      </c>
      <c r="B35" s="18" t="s">
        <v>49</v>
      </c>
      <c r="C35" s="18">
        <v>20</v>
      </c>
    </row>
    <row r="36" spans="1:3" ht="16.5" thickTop="1" thickBot="1">
      <c r="A36" s="18" t="s">
        <v>964</v>
      </c>
      <c r="B36" s="18" t="s">
        <v>49</v>
      </c>
      <c r="C36" s="18">
        <v>13</v>
      </c>
    </row>
    <row r="37" spans="1:3" ht="16.5" thickTop="1" thickBot="1">
      <c r="A37" s="18" t="s">
        <v>965</v>
      </c>
      <c r="B37" s="18" t="s">
        <v>49</v>
      </c>
      <c r="C37" s="18">
        <v>125</v>
      </c>
    </row>
    <row r="38" spans="1:3" ht="16.5" thickTop="1" thickBot="1">
      <c r="A38" s="18" t="s">
        <v>966</v>
      </c>
      <c r="B38" s="18" t="s">
        <v>49</v>
      </c>
      <c r="C38" s="18">
        <v>40</v>
      </c>
    </row>
    <row r="39" spans="1:3" ht="16.5" thickTop="1" thickBot="1">
      <c r="A39" s="18" t="s">
        <v>967</v>
      </c>
      <c r="B39" s="18" t="s">
        <v>49</v>
      </c>
      <c r="C39" s="18">
        <v>140</v>
      </c>
    </row>
    <row r="40" spans="1:3" ht="16.5" thickTop="1" thickBot="1">
      <c r="A40" s="18" t="s">
        <v>968</v>
      </c>
      <c r="B40" s="18" t="s">
        <v>49</v>
      </c>
      <c r="C40" s="18">
        <v>62</v>
      </c>
    </row>
    <row r="41" spans="1:3" ht="16.5" thickTop="1" thickBot="1">
      <c r="A41" s="18" t="s">
        <v>971</v>
      </c>
      <c r="B41" s="18" t="s">
        <v>49</v>
      </c>
      <c r="C41" s="18">
        <v>21</v>
      </c>
    </row>
    <row r="42" spans="1:3" ht="16.5" thickTop="1" thickBot="1">
      <c r="A42" s="18" t="s">
        <v>613</v>
      </c>
      <c r="B42" s="18" t="s">
        <v>744</v>
      </c>
      <c r="C42" s="18">
        <v>500</v>
      </c>
    </row>
    <row r="43" spans="1:3" ht="16.5" thickTop="1" thickBot="1">
      <c r="A43" s="18" t="s">
        <v>960</v>
      </c>
      <c r="B43" s="18" t="s">
        <v>744</v>
      </c>
      <c r="C43" s="18">
        <v>60</v>
      </c>
    </row>
    <row r="44" spans="1:3" ht="16.5" thickTop="1" thickBot="1">
      <c r="A44" s="18" t="s">
        <v>330</v>
      </c>
      <c r="B44" s="18" t="s">
        <v>744</v>
      </c>
      <c r="C44" s="18">
        <v>70</v>
      </c>
    </row>
    <row r="45" spans="1:3" ht="16.5" thickTop="1" thickBot="1">
      <c r="A45" s="18">
        <v>441</v>
      </c>
      <c r="B45" s="18" t="s">
        <v>744</v>
      </c>
      <c r="C45" s="18">
        <v>1000</v>
      </c>
    </row>
    <row r="46" spans="1:3" ht="16.5" thickTop="1" thickBot="1">
      <c r="A46" s="18" t="s">
        <v>978</v>
      </c>
      <c r="B46" s="18" t="s">
        <v>744</v>
      </c>
      <c r="C46" s="18">
        <v>160</v>
      </c>
    </row>
    <row r="47" spans="1:3" ht="16.5" thickTop="1" thickBot="1">
      <c r="A47" s="18"/>
      <c r="B47" s="18"/>
      <c r="C47" s="18"/>
    </row>
    <row r="48" spans="1:3" ht="16.5" thickTop="1" thickBot="1">
      <c r="A48" s="18"/>
      <c r="B48" s="18"/>
      <c r="C48" s="18"/>
    </row>
    <row r="49" spans="1:3" ht="16.5" thickTop="1" thickBot="1">
      <c r="A49" s="18"/>
      <c r="B49" s="18"/>
      <c r="C49" s="18"/>
    </row>
    <row r="50" spans="1:3" ht="16.5" thickTop="1" thickBot="1">
      <c r="A50" s="18"/>
      <c r="B50" s="18"/>
      <c r="C50" s="18"/>
    </row>
    <row r="51" spans="1:3" ht="16.5" thickTop="1" thickBot="1">
      <c r="A51" s="18"/>
      <c r="B51" s="18"/>
      <c r="C51" s="18"/>
    </row>
    <row r="52" spans="1:3" ht="16.5" thickTop="1" thickBot="1">
      <c r="A52" s="18"/>
      <c r="B52" s="18"/>
      <c r="C52" s="18"/>
    </row>
    <row r="53" spans="1:3" ht="15.75" thickTop="1"/>
  </sheetData>
  <sortState xmlns:xlrd2="http://schemas.microsoft.com/office/spreadsheetml/2017/richdata2" ref="A2:C53">
    <sortCondition descending="1" ref="B1:B53"/>
  </sortState>
  <dataValidations count="2">
    <dataValidation type="list" allowBlank="1" showInputMessage="1" showErrorMessage="1" sqref="B47:B52" xr:uid="{9D021E48-845C-479E-A95B-C3B8165F4A7E}">
      <formula1>"猫砂,猫粮,零食,药,日用品,买猫,其它"</formula1>
    </dataValidation>
    <dataValidation type="list" allowBlank="1" showInputMessage="1" showErrorMessage="1" sqref="B2:B46" xr:uid="{EA91A32A-B162-4C27-955C-CD61FBEE85FA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F8D85-93CE-4391-A8C4-C153BF56ED4B}">
  <sheetPr codeName="Sheet16"/>
  <dimension ref="A1:G42"/>
  <sheetViews>
    <sheetView workbookViewId="0">
      <selection activeCell="F7" sqref="F7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921</v>
      </c>
      <c r="B2" s="18" t="s">
        <v>49</v>
      </c>
      <c r="C2" s="18">
        <v>5000</v>
      </c>
      <c r="E2" s="13" t="s">
        <v>1</v>
      </c>
      <c r="F2" s="13">
        <f t="shared" ref="F2:F12" si="0">SUMIF(B:B,E2,C:C)</f>
        <v>1910</v>
      </c>
    </row>
    <row r="3" spans="1:6" ht="16.5" thickTop="1" thickBot="1">
      <c r="A3" s="18" t="s">
        <v>929</v>
      </c>
      <c r="B3" s="18" t="s">
        <v>49</v>
      </c>
      <c r="C3" s="18">
        <v>43</v>
      </c>
      <c r="E3" s="13" t="s">
        <v>2</v>
      </c>
      <c r="F3" s="13">
        <f t="shared" si="0"/>
        <v>272</v>
      </c>
    </row>
    <row r="4" spans="1:6" ht="16.5" thickTop="1" thickBot="1">
      <c r="A4" s="18" t="s">
        <v>578</v>
      </c>
      <c r="B4" s="18" t="s">
        <v>743</v>
      </c>
      <c r="C4" s="18">
        <v>56</v>
      </c>
      <c r="E4" s="13" t="s">
        <v>3</v>
      </c>
      <c r="F4" s="13">
        <f t="shared" si="0"/>
        <v>260</v>
      </c>
    </row>
    <row r="5" spans="1:6" ht="16.5" thickTop="1" thickBot="1">
      <c r="A5" s="18" t="s">
        <v>421</v>
      </c>
      <c r="B5" s="18" t="s">
        <v>745</v>
      </c>
      <c r="C5" s="18">
        <v>60</v>
      </c>
      <c r="E5" s="13" t="s">
        <v>745</v>
      </c>
      <c r="F5" s="13">
        <f t="shared" si="0"/>
        <v>225</v>
      </c>
    </row>
    <row r="6" spans="1:6" ht="16.5" thickTop="1" thickBot="1">
      <c r="A6" s="18" t="s">
        <v>375</v>
      </c>
      <c r="B6" s="18" t="s">
        <v>375</v>
      </c>
      <c r="C6" s="18">
        <v>2500</v>
      </c>
      <c r="E6" s="13" t="s">
        <v>375</v>
      </c>
      <c r="F6" s="13">
        <f t="shared" si="0"/>
        <v>2500</v>
      </c>
    </row>
    <row r="7" spans="1:6" ht="16.5" thickTop="1" thickBot="1">
      <c r="A7" s="18" t="s">
        <v>429</v>
      </c>
      <c r="B7" s="18" t="s">
        <v>45</v>
      </c>
      <c r="C7" s="18">
        <v>410</v>
      </c>
      <c r="E7" s="13" t="s">
        <v>743</v>
      </c>
      <c r="F7" s="13">
        <f t="shared" si="0"/>
        <v>366</v>
      </c>
    </row>
    <row r="8" spans="1:6" ht="16.5" thickTop="1" thickBot="1">
      <c r="A8" s="18" t="s">
        <v>46</v>
      </c>
      <c r="B8" s="18" t="s">
        <v>46</v>
      </c>
      <c r="C8" s="18">
        <v>272</v>
      </c>
      <c r="E8" s="13" t="s">
        <v>746</v>
      </c>
      <c r="F8" s="13">
        <f t="shared" si="0"/>
        <v>0</v>
      </c>
    </row>
    <row r="9" spans="1:6" ht="16.5" thickTop="1" thickBot="1">
      <c r="A9" s="18" t="s">
        <v>867</v>
      </c>
      <c r="B9" s="18" t="s">
        <v>743</v>
      </c>
      <c r="C9" s="18">
        <v>110</v>
      </c>
      <c r="E9" s="13" t="s">
        <v>744</v>
      </c>
      <c r="F9" s="13">
        <f t="shared" si="0"/>
        <v>390</v>
      </c>
    </row>
    <row r="10" spans="1:6" ht="16.5" thickTop="1" thickBot="1">
      <c r="A10" s="18" t="s">
        <v>930</v>
      </c>
      <c r="B10" s="18" t="s">
        <v>45</v>
      </c>
      <c r="C10" s="18">
        <v>170</v>
      </c>
      <c r="E10" s="13" t="s">
        <v>444</v>
      </c>
      <c r="F10" s="13">
        <f t="shared" si="0"/>
        <v>0</v>
      </c>
    </row>
    <row r="11" spans="1:6" ht="16.5" thickTop="1" thickBot="1">
      <c r="A11" s="18" t="s">
        <v>858</v>
      </c>
      <c r="B11" s="18" t="s">
        <v>743</v>
      </c>
      <c r="C11" s="18">
        <v>200</v>
      </c>
      <c r="E11" s="13" t="s">
        <v>48</v>
      </c>
      <c r="F11" s="13">
        <f t="shared" si="0"/>
        <v>0</v>
      </c>
    </row>
    <row r="12" spans="1:6" ht="16.5" thickTop="1" thickBot="1">
      <c r="A12" s="18" t="s">
        <v>429</v>
      </c>
      <c r="B12" s="18" t="s">
        <v>45</v>
      </c>
      <c r="C12" s="18">
        <v>600</v>
      </c>
      <c r="E12" s="13" t="s">
        <v>49</v>
      </c>
      <c r="F12" s="13">
        <f t="shared" si="0"/>
        <v>5138</v>
      </c>
    </row>
    <row r="13" spans="1:6" ht="16.5" thickTop="1" thickBot="1">
      <c r="A13" s="18" t="s">
        <v>931</v>
      </c>
      <c r="B13" s="18" t="s">
        <v>45</v>
      </c>
      <c r="C13" s="18">
        <v>220</v>
      </c>
      <c r="E13" s="13" t="s">
        <v>408</v>
      </c>
      <c r="F13" s="13">
        <f>SUM(F2:F12)</f>
        <v>11061</v>
      </c>
    </row>
    <row r="14" spans="1:6" ht="16.5" thickTop="1" thickBot="1">
      <c r="A14" s="18" t="s">
        <v>932</v>
      </c>
      <c r="B14" s="18" t="s">
        <v>45</v>
      </c>
      <c r="C14" s="18">
        <v>510</v>
      </c>
      <c r="E14" s="4"/>
      <c r="F14" s="4"/>
    </row>
    <row r="15" spans="1:6" ht="16.5" thickTop="1" thickBot="1">
      <c r="A15" s="18" t="s">
        <v>933</v>
      </c>
      <c r="B15" s="18" t="s">
        <v>745</v>
      </c>
      <c r="C15" s="18">
        <v>165</v>
      </c>
    </row>
    <row r="16" spans="1:6" ht="16.5" thickTop="1" thickBot="1">
      <c r="A16" s="18" t="s">
        <v>728</v>
      </c>
      <c r="B16" s="18" t="s">
        <v>49</v>
      </c>
      <c r="C16" s="18">
        <v>95</v>
      </c>
    </row>
    <row r="17" spans="1:7" ht="16.5" thickTop="1" thickBot="1">
      <c r="A17" s="18" t="s">
        <v>934</v>
      </c>
      <c r="B17" s="18" t="s">
        <v>744</v>
      </c>
      <c r="C17" s="18">
        <v>170</v>
      </c>
    </row>
    <row r="18" spans="1:7" ht="16.5" thickTop="1" thickBot="1">
      <c r="A18" s="18">
        <v>441</v>
      </c>
      <c r="B18" s="18" t="s">
        <v>744</v>
      </c>
      <c r="C18" s="18">
        <v>220</v>
      </c>
    </row>
    <row r="19" spans="1:7" ht="16.5" thickTop="1" thickBot="1">
      <c r="A19" s="18" t="s">
        <v>538</v>
      </c>
      <c r="B19" s="18" t="s">
        <v>47</v>
      </c>
      <c r="C19" s="18">
        <v>260</v>
      </c>
    </row>
    <row r="20" spans="1:7" ht="16.5" thickTop="1" thickBot="1">
      <c r="A20" s="18"/>
      <c r="B20" s="18"/>
      <c r="C20" s="18"/>
    </row>
    <row r="21" spans="1:7" ht="16.5" thickTop="1" thickBot="1">
      <c r="A21" s="18"/>
      <c r="B21" s="18"/>
      <c r="C21" s="18"/>
    </row>
    <row r="22" spans="1:7" ht="16.5" thickTop="1" thickBot="1">
      <c r="A22" s="18"/>
      <c r="B22" s="18"/>
      <c r="C22" s="18"/>
    </row>
    <row r="23" spans="1:7" ht="16.5" thickTop="1" thickBot="1">
      <c r="A23" s="18"/>
      <c r="B23" s="18"/>
      <c r="C23" s="18"/>
    </row>
    <row r="24" spans="1:7" ht="16.5" thickTop="1" thickBot="1">
      <c r="A24" s="18"/>
      <c r="B24" s="18"/>
      <c r="C24" s="18"/>
    </row>
    <row r="25" spans="1:7" ht="16.5" thickTop="1" thickBot="1">
      <c r="A25" s="18"/>
      <c r="B25" s="18"/>
      <c r="C25" s="18"/>
    </row>
    <row r="26" spans="1:7" ht="16.5" thickTop="1" thickBot="1">
      <c r="A26" s="18"/>
      <c r="B26" s="18"/>
      <c r="C26" s="18"/>
    </row>
    <row r="27" spans="1:7" ht="16.5" thickTop="1" thickBot="1">
      <c r="A27" s="18"/>
      <c r="B27" s="18"/>
      <c r="C27" s="18"/>
    </row>
    <row r="28" spans="1:7" ht="16.5" thickTop="1" thickBot="1">
      <c r="A28" s="18"/>
      <c r="B28" s="18"/>
      <c r="C28" s="18"/>
    </row>
    <row r="29" spans="1:7" ht="16.5" thickTop="1" thickBot="1">
      <c r="A29" s="18"/>
      <c r="B29" s="18"/>
      <c r="C29" s="18"/>
    </row>
    <row r="30" spans="1:7" ht="16.5" thickTop="1" thickBot="1">
      <c r="A30" s="18"/>
      <c r="B30" s="18"/>
      <c r="C30" s="18"/>
      <c r="G30" s="4" t="s">
        <v>810</v>
      </c>
    </row>
    <row r="31" spans="1:7" ht="16.5" thickTop="1" thickBot="1">
      <c r="A31" s="18"/>
      <c r="B31" s="18"/>
      <c r="C31" s="18"/>
    </row>
    <row r="32" spans="1:7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31:B41" xr:uid="{04FEDE54-1825-43D7-9BE2-CF710DDFD9C1}">
      <formula1>"猫砂,猫粮,零食,药,日用品,买猫,其它"</formula1>
    </dataValidation>
    <dataValidation type="list" allowBlank="1" showInputMessage="1" showErrorMessage="1" sqref="B2:B30" xr:uid="{82AB2B96-81AF-4806-8536-19FBC6F91C18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B05F-779F-4FFF-9F73-10FA6F56E3F8}">
  <sheetPr codeName="Sheet17"/>
  <dimension ref="A1:F42"/>
  <sheetViews>
    <sheetView workbookViewId="0">
      <selection activeCell="F7" sqref="F7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333</v>
      </c>
      <c r="B2" s="18" t="s">
        <v>745</v>
      </c>
      <c r="C2" s="18">
        <v>490</v>
      </c>
      <c r="E2" s="13" t="s">
        <v>1</v>
      </c>
      <c r="F2" s="13">
        <f t="shared" ref="F2:F12" si="0">SUMIF(B:B,E2,C:C)</f>
        <v>50</v>
      </c>
    </row>
    <row r="3" spans="1:6" ht="16.5" thickTop="1" thickBot="1">
      <c r="A3" s="18" t="s">
        <v>327</v>
      </c>
      <c r="B3" s="18" t="s">
        <v>47</v>
      </c>
      <c r="C3" s="18">
        <v>246</v>
      </c>
      <c r="E3" s="13" t="s">
        <v>2</v>
      </c>
      <c r="F3" s="13">
        <f t="shared" si="0"/>
        <v>3407</v>
      </c>
    </row>
    <row r="4" spans="1:6" ht="16.5" thickTop="1" thickBot="1">
      <c r="A4" s="18" t="s">
        <v>614</v>
      </c>
      <c r="B4" s="18" t="s">
        <v>744</v>
      </c>
      <c r="C4" s="18">
        <v>150</v>
      </c>
      <c r="E4" s="13" t="s">
        <v>3</v>
      </c>
      <c r="F4" s="13">
        <f t="shared" si="0"/>
        <v>716</v>
      </c>
    </row>
    <row r="5" spans="1:6" ht="16.5" thickTop="1" thickBot="1">
      <c r="A5" s="18" t="s">
        <v>751</v>
      </c>
      <c r="B5" s="18" t="s">
        <v>47</v>
      </c>
      <c r="C5" s="18">
        <v>70</v>
      </c>
      <c r="E5" s="13" t="s">
        <v>745</v>
      </c>
      <c r="F5" s="13">
        <f t="shared" si="0"/>
        <v>700</v>
      </c>
    </row>
    <row r="6" spans="1:6" ht="16.5" thickTop="1" thickBot="1">
      <c r="A6" s="18" t="s">
        <v>318</v>
      </c>
      <c r="B6" s="18" t="s">
        <v>743</v>
      </c>
      <c r="C6" s="18">
        <v>95</v>
      </c>
      <c r="E6" s="13" t="s">
        <v>375</v>
      </c>
      <c r="F6" s="13">
        <f t="shared" si="0"/>
        <v>0</v>
      </c>
    </row>
    <row r="7" spans="1:6" ht="16.5" thickTop="1" thickBot="1">
      <c r="A7" s="18" t="s">
        <v>913</v>
      </c>
      <c r="B7" s="18" t="s">
        <v>745</v>
      </c>
      <c r="C7" s="18">
        <v>110</v>
      </c>
      <c r="E7" s="13" t="s">
        <v>743</v>
      </c>
      <c r="F7" s="13">
        <f t="shared" si="0"/>
        <v>95</v>
      </c>
    </row>
    <row r="8" spans="1:6" ht="16.5" thickTop="1" thickBot="1">
      <c r="A8" s="18" t="s">
        <v>914</v>
      </c>
      <c r="B8" s="18" t="s">
        <v>46</v>
      </c>
      <c r="C8" s="18">
        <v>130</v>
      </c>
      <c r="E8" s="13" t="s">
        <v>746</v>
      </c>
      <c r="F8" s="13">
        <f t="shared" si="0"/>
        <v>0</v>
      </c>
    </row>
    <row r="9" spans="1:6" ht="16.5" thickTop="1" thickBot="1">
      <c r="A9" s="18" t="s">
        <v>46</v>
      </c>
      <c r="B9" s="18" t="s">
        <v>46</v>
      </c>
      <c r="C9" s="18">
        <v>1780</v>
      </c>
      <c r="E9" s="13" t="s">
        <v>744</v>
      </c>
      <c r="F9" s="13">
        <f t="shared" si="0"/>
        <v>150</v>
      </c>
    </row>
    <row r="10" spans="1:6" ht="16.5" thickTop="1" thickBot="1">
      <c r="A10" s="18" t="s">
        <v>329</v>
      </c>
      <c r="B10" s="18" t="s">
        <v>49</v>
      </c>
      <c r="C10" s="18">
        <v>90</v>
      </c>
      <c r="E10" s="13" t="s">
        <v>444</v>
      </c>
      <c r="F10" s="13">
        <f t="shared" si="0"/>
        <v>32</v>
      </c>
    </row>
    <row r="11" spans="1:6" ht="16.5" thickTop="1" thickBot="1">
      <c r="A11" s="18" t="s">
        <v>915</v>
      </c>
      <c r="B11" s="18" t="s">
        <v>45</v>
      </c>
      <c r="C11" s="18">
        <v>50</v>
      </c>
      <c r="E11" s="13" t="s">
        <v>48</v>
      </c>
      <c r="F11" s="13">
        <f t="shared" si="0"/>
        <v>0</v>
      </c>
    </row>
    <row r="12" spans="1:6" ht="16.5" thickTop="1" thickBot="1">
      <c r="A12" s="18" t="s">
        <v>916</v>
      </c>
      <c r="B12" s="18" t="s">
        <v>46</v>
      </c>
      <c r="C12" s="18">
        <v>1497</v>
      </c>
      <c r="E12" s="13" t="s">
        <v>49</v>
      </c>
      <c r="F12" s="13">
        <f t="shared" si="0"/>
        <v>300</v>
      </c>
    </row>
    <row r="13" spans="1:6" ht="16.5" thickTop="1" thickBot="1">
      <c r="A13" s="18" t="s">
        <v>917</v>
      </c>
      <c r="B13" s="18" t="s">
        <v>49</v>
      </c>
      <c r="C13" s="18">
        <v>90</v>
      </c>
      <c r="E13" s="13" t="s">
        <v>408</v>
      </c>
      <c r="F13" s="13">
        <f>SUM(F2:F12)</f>
        <v>5450</v>
      </c>
    </row>
    <row r="14" spans="1:6" ht="16.5" thickTop="1" thickBot="1">
      <c r="A14" s="18" t="s">
        <v>482</v>
      </c>
      <c r="B14" s="18" t="s">
        <v>47</v>
      </c>
      <c r="C14" s="18">
        <v>400</v>
      </c>
      <c r="E14" s="4"/>
      <c r="F14" s="4"/>
    </row>
    <row r="15" spans="1:6" ht="16.5" thickTop="1" thickBot="1">
      <c r="A15" s="18" t="s">
        <v>391</v>
      </c>
      <c r="B15" s="18" t="s">
        <v>745</v>
      </c>
      <c r="C15" s="18">
        <v>100</v>
      </c>
    </row>
    <row r="16" spans="1:6" ht="16.5" thickTop="1" thickBot="1">
      <c r="A16" s="18" t="s">
        <v>705</v>
      </c>
      <c r="B16" s="18" t="s">
        <v>444</v>
      </c>
      <c r="C16" s="18">
        <v>22</v>
      </c>
    </row>
    <row r="17" spans="1:3" ht="16.5" thickTop="1" thickBot="1">
      <c r="A17" s="18" t="s">
        <v>922</v>
      </c>
      <c r="B17" s="18" t="s">
        <v>49</v>
      </c>
      <c r="C17" s="18">
        <v>120</v>
      </c>
    </row>
    <row r="18" spans="1:3" ht="16.5" thickTop="1" thickBot="1">
      <c r="A18" s="18" t="s">
        <v>444</v>
      </c>
      <c r="B18" s="18" t="s">
        <v>444</v>
      </c>
      <c r="C18" s="18">
        <v>10</v>
      </c>
    </row>
    <row r="19" spans="1:3" ht="16.5" thickTop="1" thickBot="1">
      <c r="A19" s="18"/>
      <c r="B19" s="18"/>
      <c r="C19" s="18"/>
    </row>
    <row r="20" spans="1:3" ht="16.5" thickTop="1" thickBot="1">
      <c r="A20" s="18"/>
      <c r="B20" s="18"/>
      <c r="C20" s="18"/>
    </row>
    <row r="21" spans="1:3" ht="16.5" thickTop="1" thickBot="1">
      <c r="A21" s="18"/>
      <c r="B21" s="18"/>
      <c r="C21" s="18"/>
    </row>
    <row r="22" spans="1:3" ht="16.5" thickTop="1" thickBot="1">
      <c r="A22" s="18"/>
      <c r="B22" s="18"/>
      <c r="C22" s="18"/>
    </row>
    <row r="23" spans="1:3" ht="16.5" thickTop="1" thickBot="1">
      <c r="A23" s="18"/>
      <c r="B23" s="18"/>
      <c r="C23" s="18"/>
    </row>
    <row r="24" spans="1:3" ht="16.5" thickTop="1" thickBot="1">
      <c r="A24" s="18"/>
      <c r="B24" s="18"/>
      <c r="C24" s="18"/>
    </row>
    <row r="25" spans="1:3" ht="16.5" thickTop="1" thickBot="1">
      <c r="A25" s="18"/>
      <c r="B25" s="18"/>
      <c r="C25" s="18"/>
    </row>
    <row r="26" spans="1:3" ht="16.5" thickTop="1" thickBot="1">
      <c r="A26" s="18"/>
      <c r="B26" s="18"/>
      <c r="C26" s="18"/>
    </row>
    <row r="27" spans="1:3" ht="16.5" thickTop="1" thickBot="1">
      <c r="A27" s="18"/>
      <c r="B27" s="18"/>
      <c r="C27" s="18"/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2:B30" xr:uid="{934C0FE7-0DB7-4CB8-9E3E-C4B04BDBD824}">
      <formula1>"猫砂,猫粮,零食,消耗品,疫苗,常用药,治疗费,不常用药,运费,买猫,其它"</formula1>
    </dataValidation>
    <dataValidation type="list" allowBlank="1" showInputMessage="1" showErrorMessage="1" sqref="B31:B41" xr:uid="{5F0D1CF5-8265-4E50-8D32-710891113992}">
      <formula1>"猫砂,猫粮,零食,药,日用品,买猫,其它"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07E83-D74A-473F-B52C-3CC99C89B400}">
  <sheetPr codeName="Sheet18"/>
  <dimension ref="A1:F42"/>
  <sheetViews>
    <sheetView workbookViewId="0">
      <selection activeCell="F7" sqref="F7"/>
    </sheetView>
  </sheetViews>
  <sheetFormatPr defaultColWidth="25.5703125" defaultRowHeight="15"/>
  <cols>
    <col min="1" max="4" width="25.5703125" style="22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672</v>
      </c>
      <c r="B2" s="18" t="s">
        <v>444</v>
      </c>
      <c r="C2" s="18">
        <v>70</v>
      </c>
      <c r="E2" s="13" t="s">
        <v>1</v>
      </c>
      <c r="F2" s="13">
        <f t="shared" ref="F2:F12" si="0">SUMIF(B:B,E2,C:C)</f>
        <v>2326</v>
      </c>
    </row>
    <row r="3" spans="1:6" ht="16.5" thickTop="1" thickBot="1">
      <c r="A3" s="18" t="s">
        <v>50</v>
      </c>
      <c r="B3" s="18" t="s">
        <v>744</v>
      </c>
      <c r="C3" s="18">
        <v>35</v>
      </c>
      <c r="E3" s="13" t="s">
        <v>2</v>
      </c>
      <c r="F3" s="13">
        <f t="shared" si="0"/>
        <v>0</v>
      </c>
    </row>
    <row r="4" spans="1:6" ht="16.5" thickTop="1" thickBot="1">
      <c r="A4" s="18" t="s">
        <v>328</v>
      </c>
      <c r="B4" s="18" t="s">
        <v>444</v>
      </c>
      <c r="C4" s="18">
        <v>10</v>
      </c>
      <c r="E4" s="13" t="s">
        <v>3</v>
      </c>
      <c r="F4" s="13">
        <f t="shared" si="0"/>
        <v>316</v>
      </c>
    </row>
    <row r="5" spans="1:6" ht="16.5" thickTop="1" thickBot="1">
      <c r="A5" s="18" t="s">
        <v>328</v>
      </c>
      <c r="B5" s="18" t="s">
        <v>444</v>
      </c>
      <c r="C5" s="18">
        <v>12</v>
      </c>
      <c r="E5" s="13" t="s">
        <v>745</v>
      </c>
      <c r="F5" s="13">
        <f t="shared" si="0"/>
        <v>30</v>
      </c>
    </row>
    <row r="6" spans="1:6" ht="16.5" thickTop="1" thickBot="1">
      <c r="A6" s="18" t="s">
        <v>375</v>
      </c>
      <c r="B6" s="18" t="s">
        <v>375</v>
      </c>
      <c r="C6" s="18">
        <v>1496</v>
      </c>
      <c r="E6" s="13" t="s">
        <v>375</v>
      </c>
      <c r="F6" s="13">
        <f t="shared" si="0"/>
        <v>1496</v>
      </c>
    </row>
    <row r="7" spans="1:6" ht="16.5" thickTop="1" thickBot="1">
      <c r="A7" s="18" t="s">
        <v>45</v>
      </c>
      <c r="B7" s="18" t="s">
        <v>45</v>
      </c>
      <c r="C7" s="18">
        <v>1000</v>
      </c>
      <c r="E7" s="13" t="s">
        <v>743</v>
      </c>
      <c r="F7" s="13">
        <f t="shared" si="0"/>
        <v>250</v>
      </c>
    </row>
    <row r="8" spans="1:6" ht="16.5" thickTop="1" thickBot="1">
      <c r="A8" s="18" t="s">
        <v>328</v>
      </c>
      <c r="B8" s="18" t="s">
        <v>444</v>
      </c>
      <c r="C8" s="18">
        <v>10</v>
      </c>
      <c r="E8" s="13" t="s">
        <v>746</v>
      </c>
      <c r="F8" s="13">
        <f t="shared" si="0"/>
        <v>0</v>
      </c>
    </row>
    <row r="9" spans="1:6" ht="16.5" thickTop="1" thickBot="1">
      <c r="A9" s="18" t="s">
        <v>888</v>
      </c>
      <c r="B9" s="18" t="s">
        <v>444</v>
      </c>
      <c r="C9" s="18">
        <v>53</v>
      </c>
      <c r="E9" s="13" t="s">
        <v>744</v>
      </c>
      <c r="F9" s="13">
        <f t="shared" si="0"/>
        <v>322</v>
      </c>
    </row>
    <row r="10" spans="1:6" ht="16.5" thickTop="1" thickBot="1">
      <c r="A10" s="18" t="s">
        <v>538</v>
      </c>
      <c r="B10" s="18" t="s">
        <v>47</v>
      </c>
      <c r="C10" s="18">
        <v>240</v>
      </c>
      <c r="E10" s="13" t="s">
        <v>444</v>
      </c>
      <c r="F10" s="13">
        <f t="shared" si="0"/>
        <v>383</v>
      </c>
    </row>
    <row r="11" spans="1:6" ht="16.5" thickTop="1" thickBot="1">
      <c r="A11" s="18" t="s">
        <v>328</v>
      </c>
      <c r="B11" s="18" t="s">
        <v>444</v>
      </c>
      <c r="C11" s="18">
        <v>10</v>
      </c>
      <c r="E11" s="13" t="s">
        <v>48</v>
      </c>
      <c r="F11" s="13">
        <f t="shared" si="0"/>
        <v>2500</v>
      </c>
    </row>
    <row r="12" spans="1:6" ht="16.5" thickTop="1" thickBot="1">
      <c r="A12" s="18" t="s">
        <v>495</v>
      </c>
      <c r="B12" s="18" t="s">
        <v>744</v>
      </c>
      <c r="C12" s="18">
        <v>252</v>
      </c>
      <c r="E12" s="13" t="s">
        <v>49</v>
      </c>
      <c r="F12" s="13">
        <f t="shared" si="0"/>
        <v>68</v>
      </c>
    </row>
    <row r="13" spans="1:6" ht="16.5" thickTop="1" thickBot="1">
      <c r="A13" s="18" t="s">
        <v>891</v>
      </c>
      <c r="B13" s="18" t="s">
        <v>49</v>
      </c>
      <c r="C13" s="18">
        <v>24</v>
      </c>
      <c r="E13" s="13" t="s">
        <v>408</v>
      </c>
      <c r="F13" s="13">
        <f>SUM(F2:F12)</f>
        <v>7691</v>
      </c>
    </row>
    <row r="14" spans="1:6" ht="16.5" thickTop="1" thickBot="1">
      <c r="A14" s="18" t="s">
        <v>889</v>
      </c>
      <c r="B14" s="18" t="s">
        <v>49</v>
      </c>
      <c r="C14" s="18">
        <v>20</v>
      </c>
      <c r="E14" s="4"/>
      <c r="F14" s="4"/>
    </row>
    <row r="15" spans="1:6" ht="16.5" thickTop="1" thickBot="1">
      <c r="A15" s="18" t="s">
        <v>890</v>
      </c>
      <c r="B15" s="18" t="s">
        <v>49</v>
      </c>
      <c r="C15" s="18">
        <v>24</v>
      </c>
    </row>
    <row r="16" spans="1:6" ht="16.5" thickTop="1" thickBot="1">
      <c r="A16" s="18" t="s">
        <v>541</v>
      </c>
      <c r="B16" s="18" t="s">
        <v>745</v>
      </c>
      <c r="C16" s="18">
        <v>30</v>
      </c>
    </row>
    <row r="17" spans="1:3" ht="16.5" thickTop="1" thickBot="1">
      <c r="A17" s="18" t="s">
        <v>374</v>
      </c>
      <c r="B17" s="18" t="s">
        <v>743</v>
      </c>
      <c r="C17" s="18">
        <v>250</v>
      </c>
    </row>
    <row r="18" spans="1:3" ht="16.5" thickTop="1" thickBot="1">
      <c r="A18" s="18" t="s">
        <v>894</v>
      </c>
      <c r="B18" s="18" t="s">
        <v>45</v>
      </c>
      <c r="C18" s="18">
        <v>950</v>
      </c>
    </row>
    <row r="19" spans="1:3" ht="16.5" thickTop="1" thickBot="1">
      <c r="A19" s="18" t="s">
        <v>381</v>
      </c>
      <c r="B19" s="18" t="s">
        <v>444</v>
      </c>
      <c r="C19" s="18">
        <v>88</v>
      </c>
    </row>
    <row r="20" spans="1:3" ht="16.5" thickTop="1" thickBot="1">
      <c r="A20" s="18" t="s">
        <v>381</v>
      </c>
      <c r="B20" s="18" t="s">
        <v>444</v>
      </c>
      <c r="C20" s="18">
        <v>40</v>
      </c>
    </row>
    <row r="21" spans="1:3" ht="16.5" thickTop="1" thickBot="1">
      <c r="A21" s="18" t="s">
        <v>50</v>
      </c>
      <c r="B21" s="18" t="s">
        <v>744</v>
      </c>
      <c r="C21" s="18">
        <v>35</v>
      </c>
    </row>
    <row r="22" spans="1:3" ht="16.5" thickTop="1" thickBot="1">
      <c r="A22" s="18" t="s">
        <v>899</v>
      </c>
      <c r="B22" s="18" t="s">
        <v>45</v>
      </c>
      <c r="C22" s="18">
        <v>70</v>
      </c>
    </row>
    <row r="23" spans="1:3" ht="16.5" thickTop="1" thickBot="1">
      <c r="A23" s="18" t="s">
        <v>900</v>
      </c>
      <c r="B23" s="18" t="s">
        <v>444</v>
      </c>
      <c r="C23" s="18">
        <v>40</v>
      </c>
    </row>
    <row r="24" spans="1:3" ht="16.5" thickTop="1" thickBot="1">
      <c r="A24" s="18" t="s">
        <v>901</v>
      </c>
      <c r="B24" s="18" t="s">
        <v>444</v>
      </c>
      <c r="C24" s="18">
        <v>50</v>
      </c>
    </row>
    <row r="25" spans="1:3" ht="16.5" thickTop="1" thickBot="1">
      <c r="A25" s="18" t="s">
        <v>873</v>
      </c>
      <c r="B25" s="18" t="s">
        <v>48</v>
      </c>
      <c r="C25" s="18">
        <v>2500</v>
      </c>
    </row>
    <row r="26" spans="1:3" ht="16.5" thickTop="1" thickBot="1">
      <c r="A26" s="18" t="s">
        <v>904</v>
      </c>
      <c r="B26" s="18" t="s">
        <v>45</v>
      </c>
      <c r="C26" s="18">
        <v>306</v>
      </c>
    </row>
    <row r="27" spans="1:3" ht="16.5" thickTop="1" thickBot="1">
      <c r="A27" s="18" t="s">
        <v>47</v>
      </c>
      <c r="B27" s="18" t="s">
        <v>47</v>
      </c>
      <c r="C27" s="18">
        <v>76</v>
      </c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2:B30" xr:uid="{1A133888-3723-4266-9CCF-D5D7B65C9CCE}">
      <formula1>"猫砂,猫粮,零食,消耗品,疫苗,常用药,治疗费,不常用药,运费,买猫,其它"</formula1>
    </dataValidation>
    <dataValidation type="list" allowBlank="1" showInputMessage="1" showErrorMessage="1" sqref="B31:B41" xr:uid="{B9886439-9186-4574-9BFB-9CD2C7AAF357}">
      <formula1>"猫砂,猫粮,零食,药,日用品,买猫,其它"</formula1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A82DC-60D8-4351-B1D7-EB1370F931D0}">
  <sheetPr codeName="Sheet19"/>
  <dimension ref="A1:F42"/>
  <sheetViews>
    <sheetView workbookViewId="0">
      <selection activeCell="F7" sqref="F7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413</v>
      </c>
      <c r="B2" s="18" t="s">
        <v>745</v>
      </c>
      <c r="C2" s="18">
        <v>320</v>
      </c>
      <c r="E2" s="13" t="s">
        <v>1</v>
      </c>
      <c r="F2" s="13">
        <f t="shared" ref="F2:F12" si="0">SUMIF(B:B,E2,C:C)</f>
        <v>2175</v>
      </c>
    </row>
    <row r="3" spans="1:6" ht="16.5" thickTop="1" thickBot="1">
      <c r="A3" s="18" t="s">
        <v>866</v>
      </c>
      <c r="B3" s="18" t="s">
        <v>49</v>
      </c>
      <c r="C3" s="18">
        <v>69</v>
      </c>
      <c r="E3" s="13" t="s">
        <v>2</v>
      </c>
      <c r="F3" s="13">
        <f t="shared" si="0"/>
        <v>860</v>
      </c>
    </row>
    <row r="4" spans="1:6" ht="16.5" thickTop="1" thickBot="1">
      <c r="A4" s="18" t="s">
        <v>450</v>
      </c>
      <c r="B4" s="18" t="s">
        <v>745</v>
      </c>
      <c r="C4" s="18">
        <v>180</v>
      </c>
      <c r="E4" s="13" t="s">
        <v>3</v>
      </c>
      <c r="F4" s="13">
        <f t="shared" si="0"/>
        <v>251</v>
      </c>
    </row>
    <row r="5" spans="1:6" ht="16.5" thickTop="1" thickBot="1">
      <c r="A5" s="18" t="s">
        <v>578</v>
      </c>
      <c r="B5" s="18" t="s">
        <v>743</v>
      </c>
      <c r="C5" s="18">
        <v>56</v>
      </c>
      <c r="E5" s="13" t="s">
        <v>745</v>
      </c>
      <c r="F5" s="13">
        <f t="shared" si="0"/>
        <v>660</v>
      </c>
    </row>
    <row r="6" spans="1:6" ht="16.5" thickTop="1" thickBot="1">
      <c r="A6" s="18" t="s">
        <v>372</v>
      </c>
      <c r="B6" s="18" t="s">
        <v>745</v>
      </c>
      <c r="C6" s="18">
        <v>32</v>
      </c>
      <c r="E6" s="13" t="s">
        <v>375</v>
      </c>
      <c r="F6" s="13">
        <f t="shared" si="0"/>
        <v>0</v>
      </c>
    </row>
    <row r="7" spans="1:6" ht="16.5" thickTop="1" thickBot="1">
      <c r="A7" s="18" t="s">
        <v>656</v>
      </c>
      <c r="B7" s="18" t="s">
        <v>743</v>
      </c>
      <c r="C7" s="18">
        <v>200</v>
      </c>
      <c r="E7" s="13" t="s">
        <v>743</v>
      </c>
      <c r="F7" s="13">
        <f t="shared" si="0"/>
        <v>522</v>
      </c>
    </row>
    <row r="8" spans="1:6" ht="16.5" thickTop="1" thickBot="1">
      <c r="A8" s="18" t="s">
        <v>381</v>
      </c>
      <c r="B8" s="18" t="s">
        <v>444</v>
      </c>
      <c r="C8" s="18">
        <v>36</v>
      </c>
      <c r="E8" s="13" t="s">
        <v>746</v>
      </c>
      <c r="F8" s="13">
        <f t="shared" si="0"/>
        <v>416</v>
      </c>
    </row>
    <row r="9" spans="1:6" ht="16.5" thickTop="1" thickBot="1">
      <c r="A9" s="18" t="s">
        <v>867</v>
      </c>
      <c r="B9" s="18" t="s">
        <v>743</v>
      </c>
      <c r="C9" s="18">
        <v>56</v>
      </c>
      <c r="E9" s="13" t="s">
        <v>744</v>
      </c>
      <c r="F9" s="13">
        <f t="shared" si="0"/>
        <v>0</v>
      </c>
    </row>
    <row r="10" spans="1:6" ht="16.5" thickTop="1" thickBot="1">
      <c r="A10" s="18" t="s">
        <v>871</v>
      </c>
      <c r="B10" s="18" t="s">
        <v>45</v>
      </c>
      <c r="C10" s="18">
        <v>760</v>
      </c>
      <c r="E10" s="13" t="s">
        <v>444</v>
      </c>
      <c r="F10" s="13">
        <f t="shared" si="0"/>
        <v>128</v>
      </c>
    </row>
    <row r="11" spans="1:6" ht="16.5" thickTop="1" thickBot="1">
      <c r="A11" s="18" t="s">
        <v>50</v>
      </c>
      <c r="B11" s="18" t="s">
        <v>743</v>
      </c>
      <c r="C11" s="18">
        <v>137</v>
      </c>
      <c r="E11" s="13" t="s">
        <v>48</v>
      </c>
      <c r="F11" s="13">
        <f t="shared" si="0"/>
        <v>0</v>
      </c>
    </row>
    <row r="12" spans="1:6" ht="16.5" thickTop="1" thickBot="1">
      <c r="A12" s="18" t="s">
        <v>444</v>
      </c>
      <c r="B12" s="18" t="s">
        <v>444</v>
      </c>
      <c r="C12" s="18">
        <v>12</v>
      </c>
      <c r="E12" s="13" t="s">
        <v>49</v>
      </c>
      <c r="F12" s="13">
        <f t="shared" si="0"/>
        <v>156</v>
      </c>
    </row>
    <row r="13" spans="1:6" ht="16.5" thickTop="1" thickBot="1">
      <c r="A13" s="18" t="s">
        <v>868</v>
      </c>
      <c r="B13" s="18" t="s">
        <v>49</v>
      </c>
      <c r="C13" s="18">
        <v>9</v>
      </c>
      <c r="E13" s="13" t="s">
        <v>408</v>
      </c>
      <c r="F13" s="13">
        <f>SUM(F2:F12)</f>
        <v>5168</v>
      </c>
    </row>
    <row r="14" spans="1:6" ht="16.5" thickTop="1" thickBot="1">
      <c r="A14" s="18" t="s">
        <v>869</v>
      </c>
      <c r="B14" s="18" t="s">
        <v>745</v>
      </c>
      <c r="C14" s="18">
        <v>40</v>
      </c>
      <c r="E14" s="4"/>
      <c r="F14" s="4"/>
    </row>
    <row r="15" spans="1:6" ht="16.5" thickTop="1" thickBot="1">
      <c r="A15" s="18" t="s">
        <v>870</v>
      </c>
      <c r="B15" s="18" t="s">
        <v>746</v>
      </c>
      <c r="C15" s="18">
        <v>416</v>
      </c>
    </row>
    <row r="16" spans="1:6" ht="16.5" thickTop="1" thickBot="1">
      <c r="A16" s="18" t="s">
        <v>381</v>
      </c>
      <c r="B16" s="18" t="s">
        <v>444</v>
      </c>
      <c r="C16" s="18">
        <v>70</v>
      </c>
    </row>
    <row r="17" spans="1:3" ht="16.5" thickTop="1" thickBot="1">
      <c r="A17" s="18" t="s">
        <v>602</v>
      </c>
      <c r="B17" s="18" t="s">
        <v>45</v>
      </c>
      <c r="C17" s="18">
        <v>655</v>
      </c>
    </row>
    <row r="18" spans="1:3" ht="16.5" thickTop="1" thickBot="1">
      <c r="A18" s="18" t="s">
        <v>755</v>
      </c>
      <c r="B18" s="18" t="s">
        <v>46</v>
      </c>
      <c r="C18" s="18">
        <v>150</v>
      </c>
    </row>
    <row r="19" spans="1:3" ht="16.5" thickTop="1" thickBot="1">
      <c r="A19" s="18" t="s">
        <v>328</v>
      </c>
      <c r="B19" s="18" t="s">
        <v>444</v>
      </c>
      <c r="C19" s="18">
        <v>10</v>
      </c>
    </row>
    <row r="20" spans="1:3" ht="16.5" thickTop="1" thickBot="1">
      <c r="A20" s="18" t="s">
        <v>538</v>
      </c>
      <c r="B20" s="18" t="s">
        <v>47</v>
      </c>
      <c r="C20" s="18">
        <v>125</v>
      </c>
    </row>
    <row r="21" spans="1:3" ht="16.5" thickTop="1" thickBot="1">
      <c r="A21" s="18" t="s">
        <v>445</v>
      </c>
      <c r="B21" s="18" t="s">
        <v>743</v>
      </c>
      <c r="C21" s="18">
        <v>37</v>
      </c>
    </row>
    <row r="22" spans="1:3" ht="16.5" thickTop="1" thickBot="1">
      <c r="A22" s="18" t="s">
        <v>327</v>
      </c>
      <c r="B22" s="18" t="s">
        <v>47</v>
      </c>
      <c r="C22" s="18">
        <v>126</v>
      </c>
    </row>
    <row r="23" spans="1:3" ht="16.5" thickTop="1" thickBot="1">
      <c r="A23" s="18" t="s">
        <v>794</v>
      </c>
      <c r="B23" s="18" t="s">
        <v>49</v>
      </c>
      <c r="C23" s="18">
        <v>78</v>
      </c>
    </row>
    <row r="24" spans="1:3" ht="16.5" thickTop="1" thickBot="1">
      <c r="A24" s="18" t="s">
        <v>46</v>
      </c>
      <c r="B24" s="18" t="s">
        <v>46</v>
      </c>
      <c r="C24" s="18">
        <v>710</v>
      </c>
    </row>
    <row r="25" spans="1:3" ht="16.5" thickTop="1" thickBot="1">
      <c r="A25" s="18" t="s">
        <v>45</v>
      </c>
      <c r="B25" s="18" t="s">
        <v>45</v>
      </c>
      <c r="C25" s="18">
        <v>760</v>
      </c>
    </row>
    <row r="26" spans="1:3" ht="16.5" thickTop="1" thickBot="1">
      <c r="A26" s="18" t="s">
        <v>374</v>
      </c>
      <c r="B26" s="18" t="s">
        <v>743</v>
      </c>
      <c r="C26" s="18">
        <v>36</v>
      </c>
    </row>
    <row r="27" spans="1:3" ht="16.5" thickTop="1" thickBot="1">
      <c r="A27" s="18" t="s">
        <v>450</v>
      </c>
      <c r="B27" s="18" t="s">
        <v>745</v>
      </c>
      <c r="C27" s="18">
        <v>88</v>
      </c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2:B30" xr:uid="{1844C5D8-51D6-4250-8FAC-FA5B562367D0}">
      <formula1>"猫砂,猫粮,零食,消耗品,疫苗,常用药,治疗费,不常用药,运费,买猫,其它"</formula1>
    </dataValidation>
    <dataValidation type="list" allowBlank="1" showInputMessage="1" showErrorMessage="1" sqref="B31:B41" xr:uid="{587796F9-4955-45A6-BC81-087AACA186EB}">
      <formula1>"猫砂,猫粮,零食,药,日用品,买猫,其它"</formula1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5D7CB-0D80-4E85-81C8-829DC1EF9E50}">
  <sheetPr codeName="Sheet20"/>
  <dimension ref="A1:F43"/>
  <sheetViews>
    <sheetView topLeftCell="A4" workbookViewId="0">
      <selection activeCell="F7" sqref="F7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815</v>
      </c>
      <c r="B2" s="18" t="s">
        <v>49</v>
      </c>
      <c r="C2" s="18">
        <v>122</v>
      </c>
      <c r="E2" s="13" t="s">
        <v>1</v>
      </c>
      <c r="F2" s="13">
        <f t="shared" ref="F2:F12" si="0">SUMIF(B:B,E2,C:C)</f>
        <v>2038</v>
      </c>
    </row>
    <row r="3" spans="1:6" ht="16.5" thickTop="1" thickBot="1">
      <c r="A3" s="18" t="s">
        <v>421</v>
      </c>
      <c r="B3" s="18" t="s">
        <v>745</v>
      </c>
      <c r="C3" s="18">
        <v>60</v>
      </c>
      <c r="E3" s="13" t="s">
        <v>2</v>
      </c>
      <c r="F3" s="13">
        <f t="shared" si="0"/>
        <v>1180</v>
      </c>
    </row>
    <row r="4" spans="1:6" ht="16.5" thickTop="1" thickBot="1">
      <c r="A4" s="18" t="s">
        <v>372</v>
      </c>
      <c r="B4" s="18" t="s">
        <v>745</v>
      </c>
      <c r="C4" s="18">
        <v>32</v>
      </c>
      <c r="E4" s="13" t="s">
        <v>3</v>
      </c>
      <c r="F4" s="13">
        <f t="shared" si="0"/>
        <v>245</v>
      </c>
    </row>
    <row r="5" spans="1:6" ht="16.5" thickTop="1" thickBot="1">
      <c r="A5" s="18" t="s">
        <v>381</v>
      </c>
      <c r="B5" s="18" t="s">
        <v>444</v>
      </c>
      <c r="C5" s="18">
        <v>50</v>
      </c>
      <c r="E5" s="13" t="s">
        <v>745</v>
      </c>
      <c r="F5" s="13">
        <f t="shared" si="0"/>
        <v>428</v>
      </c>
    </row>
    <row r="6" spans="1:6" ht="16.5" thickTop="1" thickBot="1">
      <c r="A6" s="18" t="s">
        <v>375</v>
      </c>
      <c r="B6" s="18" t="s">
        <v>375</v>
      </c>
      <c r="C6" s="18">
        <v>1001</v>
      </c>
      <c r="E6" s="13" t="s">
        <v>375</v>
      </c>
      <c r="F6" s="13">
        <f t="shared" si="0"/>
        <v>3783</v>
      </c>
    </row>
    <row r="7" spans="1:6" ht="16.5" thickTop="1" thickBot="1">
      <c r="A7" s="18" t="s">
        <v>816</v>
      </c>
      <c r="B7" s="18" t="s">
        <v>744</v>
      </c>
      <c r="C7" s="18">
        <v>85</v>
      </c>
      <c r="E7" s="13" t="s">
        <v>743</v>
      </c>
      <c r="F7" s="13">
        <f t="shared" si="0"/>
        <v>336</v>
      </c>
    </row>
    <row r="8" spans="1:6" ht="16.5" thickTop="1" thickBot="1">
      <c r="A8" s="18" t="s">
        <v>817</v>
      </c>
      <c r="B8" s="18" t="s">
        <v>744</v>
      </c>
      <c r="C8" s="18">
        <v>91</v>
      </c>
      <c r="E8" s="13" t="s">
        <v>746</v>
      </c>
      <c r="F8" s="13">
        <f t="shared" si="0"/>
        <v>0</v>
      </c>
    </row>
    <row r="9" spans="1:6" ht="16.5" thickTop="1" thickBot="1">
      <c r="A9" s="18" t="s">
        <v>328</v>
      </c>
      <c r="B9" s="18" t="s">
        <v>444</v>
      </c>
      <c r="C9" s="18">
        <v>10</v>
      </c>
      <c r="E9" s="13" t="s">
        <v>744</v>
      </c>
      <c r="F9" s="13">
        <f t="shared" si="0"/>
        <v>1176</v>
      </c>
    </row>
    <row r="10" spans="1:6" ht="16.5" thickTop="1" thickBot="1">
      <c r="A10" s="18" t="s">
        <v>818</v>
      </c>
      <c r="B10" s="18" t="s">
        <v>47</v>
      </c>
      <c r="C10" s="18">
        <v>85</v>
      </c>
      <c r="E10" s="13" t="s">
        <v>444</v>
      </c>
      <c r="F10" s="13">
        <f t="shared" si="0"/>
        <v>208</v>
      </c>
    </row>
    <row r="11" spans="1:6" ht="16.5" thickTop="1" thickBot="1">
      <c r="A11" s="18" t="s">
        <v>818</v>
      </c>
      <c r="B11" s="18" t="s">
        <v>47</v>
      </c>
      <c r="C11" s="18">
        <v>160</v>
      </c>
      <c r="E11" s="13" t="s">
        <v>48</v>
      </c>
      <c r="F11" s="13">
        <f t="shared" si="0"/>
        <v>0</v>
      </c>
    </row>
    <row r="12" spans="1:6" ht="16.5" thickTop="1" thickBot="1">
      <c r="A12" s="18" t="s">
        <v>444</v>
      </c>
      <c r="B12" s="18" t="s">
        <v>444</v>
      </c>
      <c r="C12" s="18">
        <v>51</v>
      </c>
      <c r="E12" s="13" t="s">
        <v>49</v>
      </c>
      <c r="F12" s="13">
        <f t="shared" si="0"/>
        <v>1257</v>
      </c>
    </row>
    <row r="13" spans="1:6" ht="16.5" thickTop="1" thickBot="1">
      <c r="A13" s="18" t="s">
        <v>819</v>
      </c>
      <c r="B13" s="18" t="s">
        <v>444</v>
      </c>
      <c r="C13" s="18">
        <v>50</v>
      </c>
      <c r="E13" s="13" t="s">
        <v>408</v>
      </c>
      <c r="F13" s="13">
        <f>SUM(F2:F12)</f>
        <v>10651</v>
      </c>
    </row>
    <row r="14" spans="1:6" ht="16.5" thickTop="1" thickBot="1">
      <c r="A14" s="18" t="s">
        <v>820</v>
      </c>
      <c r="B14" s="18" t="s">
        <v>744</v>
      </c>
      <c r="C14" s="18">
        <v>330</v>
      </c>
      <c r="E14" s="4"/>
      <c r="F14" s="4"/>
    </row>
    <row r="15" spans="1:6" ht="16.5" thickTop="1" thickBot="1">
      <c r="A15" s="18" t="s">
        <v>821</v>
      </c>
      <c r="B15" s="18" t="s">
        <v>744</v>
      </c>
      <c r="C15" s="18">
        <v>240</v>
      </c>
    </row>
    <row r="16" spans="1:6" ht="16.5" thickTop="1" thickBot="1">
      <c r="A16" s="18" t="s">
        <v>822</v>
      </c>
      <c r="B16" s="18" t="s">
        <v>744</v>
      </c>
      <c r="C16" s="18">
        <v>70</v>
      </c>
    </row>
    <row r="17" spans="1:3" ht="16.5" thickTop="1" thickBot="1">
      <c r="A17" s="18" t="s">
        <v>823</v>
      </c>
      <c r="B17" s="18" t="s">
        <v>744</v>
      </c>
      <c r="C17" s="18">
        <v>70</v>
      </c>
    </row>
    <row r="18" spans="1:3" ht="16.5" thickTop="1" thickBot="1">
      <c r="A18" s="18" t="s">
        <v>858</v>
      </c>
      <c r="B18" s="18" t="s">
        <v>744</v>
      </c>
      <c r="C18" s="18">
        <v>70</v>
      </c>
    </row>
    <row r="19" spans="1:3" ht="16.5" thickTop="1" thickBot="1">
      <c r="A19" s="18" t="s">
        <v>734</v>
      </c>
      <c r="B19" s="18" t="s">
        <v>743</v>
      </c>
      <c r="C19" s="18">
        <v>56</v>
      </c>
    </row>
    <row r="20" spans="1:3" ht="16.5" thickTop="1" thickBot="1">
      <c r="A20" s="18" t="s">
        <v>333</v>
      </c>
      <c r="B20" s="18" t="s">
        <v>745</v>
      </c>
      <c r="C20" s="18">
        <v>200</v>
      </c>
    </row>
    <row r="21" spans="1:3" ht="16.5" thickTop="1" thickBot="1">
      <c r="A21" s="18" t="s">
        <v>46</v>
      </c>
      <c r="B21" s="18" t="s">
        <v>46</v>
      </c>
      <c r="C21" s="18">
        <v>1180</v>
      </c>
    </row>
    <row r="22" spans="1:3" ht="16.5" thickTop="1" thickBot="1">
      <c r="A22" s="18" t="s">
        <v>824</v>
      </c>
      <c r="B22" s="18" t="s">
        <v>744</v>
      </c>
      <c r="C22" s="18">
        <v>120</v>
      </c>
    </row>
    <row r="23" spans="1:3" ht="16.5" thickTop="1" thickBot="1">
      <c r="A23" s="18" t="s">
        <v>762</v>
      </c>
      <c r="B23" s="18" t="s">
        <v>45</v>
      </c>
      <c r="C23" s="18">
        <v>38</v>
      </c>
    </row>
    <row r="24" spans="1:3" ht="16.5" thickTop="1" thickBot="1">
      <c r="A24" s="18" t="s">
        <v>730</v>
      </c>
      <c r="B24" s="18" t="s">
        <v>375</v>
      </c>
      <c r="C24" s="18">
        <v>190</v>
      </c>
    </row>
    <row r="25" spans="1:3" ht="16.5" thickTop="1" thickBot="1">
      <c r="A25" s="18" t="s">
        <v>851</v>
      </c>
      <c r="B25" s="18" t="s">
        <v>49</v>
      </c>
      <c r="C25" s="18">
        <v>135</v>
      </c>
    </row>
    <row r="26" spans="1:3" ht="16.5" thickTop="1" thickBot="1">
      <c r="A26" s="18" t="s">
        <v>854</v>
      </c>
      <c r="B26" s="18" t="s">
        <v>744</v>
      </c>
      <c r="C26" s="18">
        <v>100</v>
      </c>
    </row>
    <row r="27" spans="1:3" ht="16.5" thickTop="1" thickBot="1">
      <c r="A27" s="18" t="s">
        <v>855</v>
      </c>
      <c r="B27" s="18" t="s">
        <v>743</v>
      </c>
      <c r="C27" s="18">
        <v>140</v>
      </c>
    </row>
    <row r="28" spans="1:3" ht="16.5" thickTop="1" thickBot="1">
      <c r="A28" s="18" t="s">
        <v>381</v>
      </c>
      <c r="B28" s="18" t="s">
        <v>444</v>
      </c>
      <c r="C28" s="18">
        <v>47</v>
      </c>
    </row>
    <row r="29" spans="1:3" ht="16.5" thickTop="1" thickBot="1">
      <c r="A29" s="18" t="s">
        <v>490</v>
      </c>
      <c r="B29" s="18" t="s">
        <v>743</v>
      </c>
      <c r="C29" s="18">
        <v>140</v>
      </c>
    </row>
    <row r="30" spans="1:3" ht="16.5" thickTop="1" thickBot="1">
      <c r="A30" s="18" t="s">
        <v>856</v>
      </c>
      <c r="B30" s="18" t="s">
        <v>745</v>
      </c>
      <c r="C30" s="18">
        <v>136</v>
      </c>
    </row>
    <row r="31" spans="1:3" ht="16.5" thickTop="1" thickBot="1">
      <c r="A31" s="18" t="s">
        <v>872</v>
      </c>
      <c r="B31" s="18" t="s">
        <v>45</v>
      </c>
      <c r="C31" s="18">
        <v>2000</v>
      </c>
    </row>
    <row r="32" spans="1:3" ht="16.5" thickTop="1" thickBot="1">
      <c r="A32" s="18" t="s">
        <v>857</v>
      </c>
      <c r="B32" s="18" t="s">
        <v>375</v>
      </c>
      <c r="C32" s="18">
        <v>2592</v>
      </c>
    </row>
    <row r="33" spans="1:3" ht="16.5" thickTop="1" thickBot="1">
      <c r="A33" s="18" t="s">
        <v>882</v>
      </c>
      <c r="B33" s="18" t="s">
        <v>49</v>
      </c>
      <c r="C33" s="18">
        <v>1000</v>
      </c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6.5" thickTop="1" thickBot="1">
      <c r="A42" s="18"/>
      <c r="B42" s="18"/>
      <c r="C42" s="18"/>
    </row>
    <row r="43" spans="1:3" ht="15.75" thickTop="1"/>
  </sheetData>
  <dataValidations count="2">
    <dataValidation type="list" allowBlank="1" showInputMessage="1" showErrorMessage="1" sqref="B34:B42" xr:uid="{764FEAFC-CF53-43EA-8F9E-7D6C5744C2D3}">
      <formula1>"猫砂,猫粮,零食,药,日用品,买猫,其它"</formula1>
    </dataValidation>
    <dataValidation type="list" allowBlank="1" showInputMessage="1" showErrorMessage="1" sqref="B2:B33" xr:uid="{E9529234-3E5D-4C58-8F35-E3C2BA2449AE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D02A6-E86F-4EC3-A636-16C3A746E776}">
  <sheetPr codeName="Sheet21"/>
  <dimension ref="A1:F42"/>
  <sheetViews>
    <sheetView workbookViewId="0">
      <selection activeCell="F7" sqref="F7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792</v>
      </c>
      <c r="B2" s="18" t="s">
        <v>49</v>
      </c>
      <c r="C2" s="18">
        <v>4000</v>
      </c>
      <c r="E2" s="13" t="s">
        <v>1</v>
      </c>
      <c r="F2" s="13">
        <f t="shared" ref="F2:F12" si="0">SUMIF(B:B,E2,C:C)</f>
        <v>1241</v>
      </c>
    </row>
    <row r="3" spans="1:6" ht="16.5" thickTop="1" thickBot="1">
      <c r="A3" s="18" t="s">
        <v>444</v>
      </c>
      <c r="B3" s="18" t="s">
        <v>444</v>
      </c>
      <c r="C3" s="18">
        <v>18</v>
      </c>
      <c r="E3" s="13" t="s">
        <v>2</v>
      </c>
      <c r="F3" s="13">
        <f t="shared" si="0"/>
        <v>0</v>
      </c>
    </row>
    <row r="4" spans="1:6" ht="16.5" thickTop="1" thickBot="1">
      <c r="A4" s="18" t="s">
        <v>793</v>
      </c>
      <c r="B4" s="18" t="s">
        <v>744</v>
      </c>
      <c r="C4" s="18">
        <v>70</v>
      </c>
      <c r="E4" s="13" t="s">
        <v>3</v>
      </c>
      <c r="F4" s="13">
        <f t="shared" si="0"/>
        <v>255</v>
      </c>
    </row>
    <row r="5" spans="1:6" ht="16.5" thickTop="1" thickBot="1">
      <c r="A5" s="18" t="s">
        <v>794</v>
      </c>
      <c r="B5" s="18" t="s">
        <v>49</v>
      </c>
      <c r="C5" s="18">
        <v>5</v>
      </c>
      <c r="E5" s="13" t="s">
        <v>745</v>
      </c>
      <c r="F5" s="13">
        <f t="shared" si="0"/>
        <v>701</v>
      </c>
    </row>
    <row r="6" spans="1:6" ht="16.5" thickTop="1" thickBot="1">
      <c r="A6" s="18" t="s">
        <v>482</v>
      </c>
      <c r="B6" s="18" t="s">
        <v>47</v>
      </c>
      <c r="C6" s="18">
        <v>100</v>
      </c>
      <c r="E6" s="13" t="s">
        <v>375</v>
      </c>
      <c r="F6" s="13">
        <f t="shared" si="0"/>
        <v>0</v>
      </c>
    </row>
    <row r="7" spans="1:6" ht="16.5" thickTop="1" thickBot="1">
      <c r="A7" s="18" t="s">
        <v>333</v>
      </c>
      <c r="B7" s="18" t="s">
        <v>745</v>
      </c>
      <c r="C7" s="18">
        <v>66</v>
      </c>
      <c r="E7" s="13" t="s">
        <v>743</v>
      </c>
      <c r="F7" s="13">
        <f t="shared" si="0"/>
        <v>122</v>
      </c>
    </row>
    <row r="8" spans="1:6" ht="16.5" thickTop="1" thickBot="1">
      <c r="A8" s="18" t="s">
        <v>795</v>
      </c>
      <c r="B8" s="18" t="s">
        <v>49</v>
      </c>
      <c r="C8" s="18">
        <v>144</v>
      </c>
      <c r="E8" s="13" t="s">
        <v>746</v>
      </c>
      <c r="F8" s="13">
        <f t="shared" si="0"/>
        <v>0</v>
      </c>
    </row>
    <row r="9" spans="1:6" ht="16.5" thickTop="1" thickBot="1">
      <c r="A9" s="18" t="s">
        <v>374</v>
      </c>
      <c r="B9" s="18" t="s">
        <v>743</v>
      </c>
      <c r="C9" s="18">
        <v>70</v>
      </c>
      <c r="E9" s="13" t="s">
        <v>744</v>
      </c>
      <c r="F9" s="13">
        <f t="shared" si="0"/>
        <v>70</v>
      </c>
    </row>
    <row r="10" spans="1:6" ht="16.5" thickTop="1" thickBot="1">
      <c r="A10" s="18" t="s">
        <v>482</v>
      </c>
      <c r="B10" s="18" t="s">
        <v>47</v>
      </c>
      <c r="C10" s="18">
        <v>100</v>
      </c>
      <c r="E10" s="13" t="s">
        <v>444</v>
      </c>
      <c r="F10" s="13">
        <f t="shared" si="0"/>
        <v>28</v>
      </c>
    </row>
    <row r="11" spans="1:6" ht="16.5" thickTop="1" thickBot="1">
      <c r="A11" s="18" t="s">
        <v>804</v>
      </c>
      <c r="B11" s="18" t="s">
        <v>49</v>
      </c>
      <c r="C11" s="18">
        <v>55</v>
      </c>
      <c r="E11" s="13" t="s">
        <v>48</v>
      </c>
      <c r="F11" s="13">
        <f t="shared" si="0"/>
        <v>0</v>
      </c>
    </row>
    <row r="12" spans="1:6" ht="16.5" thickTop="1" thickBot="1">
      <c r="A12" s="18" t="s">
        <v>328</v>
      </c>
      <c r="B12" s="18" t="s">
        <v>444</v>
      </c>
      <c r="C12" s="18">
        <v>10</v>
      </c>
      <c r="E12" s="13" t="s">
        <v>49</v>
      </c>
      <c r="F12" s="13">
        <f t="shared" si="0"/>
        <v>5188</v>
      </c>
    </row>
    <row r="13" spans="1:6" ht="16.5" thickTop="1" thickBot="1">
      <c r="A13" s="18" t="s">
        <v>392</v>
      </c>
      <c r="B13" s="18" t="s">
        <v>745</v>
      </c>
      <c r="C13" s="18">
        <v>65</v>
      </c>
      <c r="E13" s="13" t="s">
        <v>408</v>
      </c>
      <c r="F13" s="13">
        <f>SUM(F2:F12)</f>
        <v>7605</v>
      </c>
    </row>
    <row r="14" spans="1:6" ht="16.5" thickTop="1" thickBot="1">
      <c r="A14" s="18" t="s">
        <v>327</v>
      </c>
      <c r="B14" s="18" t="s">
        <v>47</v>
      </c>
      <c r="C14" s="18">
        <v>55</v>
      </c>
      <c r="E14" s="4"/>
      <c r="F14" s="4"/>
    </row>
    <row r="15" spans="1:6" ht="16.5" thickTop="1" thickBot="1">
      <c r="A15" s="18" t="s">
        <v>732</v>
      </c>
      <c r="B15" s="18" t="s">
        <v>743</v>
      </c>
      <c r="C15" s="18">
        <v>52</v>
      </c>
    </row>
    <row r="16" spans="1:6" ht="16.5" thickTop="1" thickBot="1">
      <c r="A16" s="18" t="s">
        <v>391</v>
      </c>
      <c r="B16" s="18" t="s">
        <v>745</v>
      </c>
      <c r="C16" s="18">
        <v>90</v>
      </c>
    </row>
    <row r="17" spans="1:3" ht="16.5" thickTop="1" thickBot="1">
      <c r="A17" s="18" t="s">
        <v>796</v>
      </c>
      <c r="B17" s="18" t="s">
        <v>49</v>
      </c>
      <c r="C17" s="18">
        <v>956</v>
      </c>
    </row>
    <row r="18" spans="1:3" ht="16.5" thickTop="1" thickBot="1">
      <c r="A18" s="18" t="s">
        <v>797</v>
      </c>
      <c r="B18" s="18" t="s">
        <v>45</v>
      </c>
      <c r="C18" s="18">
        <v>1066</v>
      </c>
    </row>
    <row r="19" spans="1:3" ht="16.5" thickTop="1" thickBot="1">
      <c r="A19" s="18" t="s">
        <v>333</v>
      </c>
      <c r="B19" s="18" t="s">
        <v>745</v>
      </c>
      <c r="C19" s="18">
        <v>420</v>
      </c>
    </row>
    <row r="20" spans="1:3" ht="16.5" thickTop="1" thickBot="1">
      <c r="A20" s="18" t="s">
        <v>602</v>
      </c>
      <c r="B20" s="18" t="s">
        <v>45</v>
      </c>
      <c r="C20" s="18">
        <v>175</v>
      </c>
    </row>
    <row r="21" spans="1:3" ht="16.5" thickTop="1" thickBot="1">
      <c r="A21" s="18" t="s">
        <v>421</v>
      </c>
      <c r="B21" s="18" t="s">
        <v>745</v>
      </c>
      <c r="C21" s="18">
        <v>60</v>
      </c>
    </row>
    <row r="22" spans="1:3" ht="16.5" thickTop="1" thickBot="1">
      <c r="A22" s="18" t="s">
        <v>497</v>
      </c>
      <c r="B22" s="18" t="s">
        <v>49</v>
      </c>
      <c r="C22" s="18">
        <v>13</v>
      </c>
    </row>
    <row r="23" spans="1:3" ht="16.5" thickTop="1" thickBot="1">
      <c r="A23" s="18" t="s">
        <v>803</v>
      </c>
      <c r="B23" s="18" t="s">
        <v>49</v>
      </c>
      <c r="C23" s="18">
        <v>15</v>
      </c>
    </row>
    <row r="24" spans="1:3" ht="16.5" thickTop="1" thickBot="1">
      <c r="A24" s="18"/>
      <c r="B24" s="18"/>
      <c r="C24" s="18"/>
    </row>
    <row r="25" spans="1:3" ht="16.5" thickTop="1" thickBot="1">
      <c r="A25" s="18"/>
      <c r="B25" s="18"/>
      <c r="C25" s="18"/>
    </row>
    <row r="26" spans="1:3" ht="16.5" thickTop="1" thickBot="1">
      <c r="A26" s="18"/>
      <c r="B26" s="18"/>
      <c r="C26" s="18"/>
    </row>
    <row r="27" spans="1:3" ht="16.5" thickTop="1" thickBot="1">
      <c r="A27" s="18"/>
      <c r="B27" s="18"/>
      <c r="C27" s="18"/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31:B41" xr:uid="{C3E1DDB6-6879-49AD-9121-8E81EAAE9D75}">
      <formula1>"猫砂,猫粮,零食,药,日用品,买猫,其它"</formula1>
    </dataValidation>
    <dataValidation type="list" allowBlank="1" showInputMessage="1" showErrorMessage="1" sqref="B2:B30" xr:uid="{36191C31-97A2-4A67-A22D-64775F8F1244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CB9A-42EB-4906-A89F-C473B6598D14}">
  <sheetPr codeName="Sheet22"/>
  <dimension ref="A1:F50"/>
  <sheetViews>
    <sheetView workbookViewId="0">
      <selection activeCell="F7" sqref="F7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688</v>
      </c>
      <c r="B2" s="18" t="s">
        <v>47</v>
      </c>
      <c r="C2" s="18">
        <v>86</v>
      </c>
      <c r="E2" s="13" t="s">
        <v>1</v>
      </c>
      <c r="F2" s="13">
        <f t="shared" ref="F2:F12" si="0">SUMIF(B:B,E2,C:C)</f>
        <v>3272</v>
      </c>
    </row>
    <row r="3" spans="1:6" ht="16.5" thickTop="1" thickBot="1">
      <c r="A3" s="18" t="s">
        <v>694</v>
      </c>
      <c r="B3" s="18" t="s">
        <v>47</v>
      </c>
      <c r="C3" s="18">
        <v>90</v>
      </c>
      <c r="E3" s="13" t="s">
        <v>2</v>
      </c>
      <c r="F3" s="13">
        <f t="shared" si="0"/>
        <v>240</v>
      </c>
    </row>
    <row r="4" spans="1:6" ht="16.5" thickTop="1" thickBot="1">
      <c r="A4" s="18" t="s">
        <v>327</v>
      </c>
      <c r="B4" s="18" t="s">
        <v>47</v>
      </c>
      <c r="C4" s="18">
        <v>75</v>
      </c>
      <c r="E4" s="13" t="s">
        <v>3</v>
      </c>
      <c r="F4" s="13">
        <f t="shared" si="0"/>
        <v>251</v>
      </c>
    </row>
    <row r="5" spans="1:6" ht="16.5" thickTop="1" thickBot="1">
      <c r="A5" s="18" t="s">
        <v>381</v>
      </c>
      <c r="B5" s="18" t="s">
        <v>444</v>
      </c>
      <c r="C5" s="18">
        <v>75</v>
      </c>
      <c r="E5" s="13" t="s">
        <v>745</v>
      </c>
      <c r="F5" s="13">
        <f t="shared" si="0"/>
        <v>476</v>
      </c>
    </row>
    <row r="6" spans="1:6" ht="16.5" thickTop="1" thickBot="1">
      <c r="A6" s="18" t="s">
        <v>764</v>
      </c>
      <c r="B6" s="18" t="s">
        <v>444</v>
      </c>
      <c r="C6" s="18">
        <v>300</v>
      </c>
      <c r="E6" s="13" t="s">
        <v>375</v>
      </c>
      <c r="F6" s="13">
        <f t="shared" si="0"/>
        <v>346</v>
      </c>
    </row>
    <row r="7" spans="1:6" ht="16.5" thickTop="1" thickBot="1">
      <c r="A7" s="18" t="s">
        <v>766</v>
      </c>
      <c r="B7" s="18" t="s">
        <v>444</v>
      </c>
      <c r="C7" s="18">
        <v>50</v>
      </c>
      <c r="E7" s="13" t="s">
        <v>743</v>
      </c>
      <c r="F7" s="13">
        <f t="shared" si="0"/>
        <v>1630</v>
      </c>
    </row>
    <row r="8" spans="1:6" ht="16.5" thickTop="1" thickBot="1">
      <c r="A8" s="18" t="s">
        <v>328</v>
      </c>
      <c r="B8" s="18" t="s">
        <v>444</v>
      </c>
      <c r="C8" s="18">
        <v>44</v>
      </c>
      <c r="E8" s="13" t="s">
        <v>746</v>
      </c>
      <c r="F8" s="13">
        <f t="shared" si="0"/>
        <v>450</v>
      </c>
    </row>
    <row r="9" spans="1:6" ht="16.5" thickTop="1" thickBot="1">
      <c r="A9" s="18" t="s">
        <v>328</v>
      </c>
      <c r="B9" s="18" t="s">
        <v>444</v>
      </c>
      <c r="C9" s="18">
        <v>10</v>
      </c>
      <c r="E9" s="13" t="s">
        <v>744</v>
      </c>
      <c r="F9" s="13">
        <f t="shared" si="0"/>
        <v>192</v>
      </c>
    </row>
    <row r="10" spans="1:6" ht="16.5" thickTop="1" thickBot="1">
      <c r="A10" s="18" t="s">
        <v>777</v>
      </c>
      <c r="B10" s="18" t="s">
        <v>444</v>
      </c>
      <c r="C10" s="18">
        <v>80</v>
      </c>
      <c r="E10" s="13" t="s">
        <v>444</v>
      </c>
      <c r="F10" s="13">
        <f t="shared" si="0"/>
        <v>609</v>
      </c>
    </row>
    <row r="11" spans="1:6" ht="16.5" thickTop="1" thickBot="1">
      <c r="A11" s="18" t="s">
        <v>381</v>
      </c>
      <c r="B11" s="18" t="s">
        <v>444</v>
      </c>
      <c r="C11" s="18">
        <v>50</v>
      </c>
      <c r="E11" s="13" t="s">
        <v>48</v>
      </c>
      <c r="F11" s="13">
        <f t="shared" si="0"/>
        <v>0</v>
      </c>
    </row>
    <row r="12" spans="1:6" ht="16.5" thickTop="1" thickBot="1">
      <c r="A12" s="18" t="s">
        <v>375</v>
      </c>
      <c r="B12" s="18" t="s">
        <v>375</v>
      </c>
      <c r="C12" s="18">
        <v>346</v>
      </c>
      <c r="E12" s="13" t="s">
        <v>49</v>
      </c>
      <c r="F12" s="13">
        <f t="shared" si="0"/>
        <v>1390</v>
      </c>
    </row>
    <row r="13" spans="1:6" ht="16.5" thickTop="1" thickBot="1">
      <c r="A13" s="18" t="s">
        <v>726</v>
      </c>
      <c r="B13" s="18" t="s">
        <v>45</v>
      </c>
      <c r="C13" s="18">
        <v>380</v>
      </c>
      <c r="E13" s="13" t="s">
        <v>408</v>
      </c>
      <c r="F13" s="13">
        <f>SUM(F2:F12)</f>
        <v>8856</v>
      </c>
    </row>
    <row r="14" spans="1:6" ht="16.5" thickTop="1" thickBot="1">
      <c r="A14" s="18" t="s">
        <v>762</v>
      </c>
      <c r="B14" s="18" t="s">
        <v>45</v>
      </c>
      <c r="C14" s="18">
        <v>92</v>
      </c>
      <c r="E14" s="4"/>
      <c r="F14" s="4"/>
    </row>
    <row r="15" spans="1:6" ht="16.5" thickTop="1" thickBot="1">
      <c r="A15" s="18" t="s">
        <v>429</v>
      </c>
      <c r="B15" s="18" t="s">
        <v>45</v>
      </c>
      <c r="C15" s="18">
        <v>1140</v>
      </c>
    </row>
    <row r="16" spans="1:6" ht="16.5" thickTop="1" thickBot="1">
      <c r="A16" s="18" t="s">
        <v>489</v>
      </c>
      <c r="B16" s="18" t="s">
        <v>45</v>
      </c>
      <c r="C16" s="18">
        <v>900</v>
      </c>
    </row>
    <row r="17" spans="1:3" ht="16.5" thickTop="1" thickBot="1">
      <c r="A17" s="18" t="s">
        <v>429</v>
      </c>
      <c r="B17" s="18" t="s">
        <v>45</v>
      </c>
      <c r="C17" s="18">
        <v>760</v>
      </c>
    </row>
    <row r="18" spans="1:3" ht="16.5" thickTop="1" thickBot="1">
      <c r="A18" s="18" t="s">
        <v>727</v>
      </c>
      <c r="B18" s="18" t="s">
        <v>46</v>
      </c>
      <c r="C18" s="18">
        <v>240</v>
      </c>
    </row>
    <row r="19" spans="1:3" ht="16.5" thickTop="1" thickBot="1">
      <c r="A19" s="18" t="s">
        <v>389</v>
      </c>
      <c r="B19" s="18" t="s">
        <v>745</v>
      </c>
      <c r="C19" s="18">
        <v>70</v>
      </c>
    </row>
    <row r="20" spans="1:3" ht="16.5" thickTop="1" thickBot="1">
      <c r="A20" s="18" t="s">
        <v>392</v>
      </c>
      <c r="B20" s="18" t="s">
        <v>745</v>
      </c>
      <c r="C20" s="18">
        <v>115</v>
      </c>
    </row>
    <row r="21" spans="1:3" ht="16.5" thickTop="1" thickBot="1">
      <c r="A21" s="18" t="s">
        <v>391</v>
      </c>
      <c r="B21" s="18" t="s">
        <v>745</v>
      </c>
      <c r="C21" s="18">
        <v>60</v>
      </c>
    </row>
    <row r="22" spans="1:3" ht="16.5" thickTop="1" thickBot="1">
      <c r="A22" s="18" t="s">
        <v>606</v>
      </c>
      <c r="B22" s="18" t="s">
        <v>745</v>
      </c>
      <c r="C22" s="18">
        <v>32</v>
      </c>
    </row>
    <row r="23" spans="1:3" ht="16.5" thickTop="1" thickBot="1">
      <c r="A23" s="18" t="s">
        <v>413</v>
      </c>
      <c r="B23" s="18" t="s">
        <v>745</v>
      </c>
      <c r="C23" s="18">
        <v>170</v>
      </c>
    </row>
    <row r="24" spans="1:3" ht="16.5" thickTop="1" thickBot="1">
      <c r="A24" s="18" t="s">
        <v>541</v>
      </c>
      <c r="B24" s="18" t="s">
        <v>745</v>
      </c>
      <c r="C24" s="18">
        <v>29</v>
      </c>
    </row>
    <row r="25" spans="1:3" ht="16.5" thickTop="1" thickBot="1">
      <c r="A25" s="18" t="s">
        <v>765</v>
      </c>
      <c r="B25" s="18" t="s">
        <v>746</v>
      </c>
      <c r="C25" s="18">
        <v>450</v>
      </c>
    </row>
    <row r="26" spans="1:3" ht="16.5" thickTop="1" thickBot="1">
      <c r="A26" s="18" t="s">
        <v>761</v>
      </c>
      <c r="B26" s="18" t="s">
        <v>743</v>
      </c>
      <c r="C26" s="18">
        <v>350</v>
      </c>
    </row>
    <row r="27" spans="1:3" ht="16.5" thickTop="1" thickBot="1">
      <c r="A27" s="18" t="s">
        <v>579</v>
      </c>
      <c r="B27" s="18" t="s">
        <v>743</v>
      </c>
      <c r="C27" s="18">
        <v>70</v>
      </c>
    </row>
    <row r="28" spans="1:3" ht="16.5" thickTop="1" thickBot="1">
      <c r="A28" s="18" t="s">
        <v>50</v>
      </c>
      <c r="B28" s="18" t="s">
        <v>743</v>
      </c>
      <c r="C28" s="18">
        <v>85</v>
      </c>
    </row>
    <row r="29" spans="1:3" ht="16.5" thickTop="1" thickBot="1">
      <c r="A29" s="18" t="s">
        <v>313</v>
      </c>
      <c r="B29" s="18" t="s">
        <v>743</v>
      </c>
      <c r="C29" s="18">
        <v>840</v>
      </c>
    </row>
    <row r="30" spans="1:3" ht="16.5" thickTop="1" thickBot="1">
      <c r="A30" s="18" t="s">
        <v>626</v>
      </c>
      <c r="B30" s="18" t="s">
        <v>743</v>
      </c>
      <c r="C30" s="18">
        <v>97</v>
      </c>
    </row>
    <row r="31" spans="1:3" ht="16.5" thickTop="1" thickBot="1">
      <c r="A31" s="18" t="s">
        <v>579</v>
      </c>
      <c r="B31" s="18" t="s">
        <v>743</v>
      </c>
      <c r="C31" s="18">
        <v>79</v>
      </c>
    </row>
    <row r="32" spans="1:3" ht="16.5" thickTop="1" thickBot="1">
      <c r="A32" s="18" t="s">
        <v>772</v>
      </c>
      <c r="B32" s="18" t="s">
        <v>743</v>
      </c>
      <c r="C32" s="18">
        <v>16</v>
      </c>
    </row>
    <row r="33" spans="1:3" ht="16.5" thickTop="1" thickBot="1">
      <c r="A33" s="18" t="s">
        <v>626</v>
      </c>
      <c r="B33" s="18" t="s">
        <v>743</v>
      </c>
      <c r="C33" s="18">
        <v>48</v>
      </c>
    </row>
    <row r="34" spans="1:3" ht="16.5" thickTop="1" thickBot="1">
      <c r="A34" s="18" t="s">
        <v>772</v>
      </c>
      <c r="B34" s="18" t="s">
        <v>743</v>
      </c>
      <c r="C34" s="18">
        <v>45</v>
      </c>
    </row>
    <row r="35" spans="1:3" ht="16.5" thickTop="1" thickBot="1">
      <c r="A35" s="18" t="s">
        <v>728</v>
      </c>
      <c r="B35" s="18" t="s">
        <v>49</v>
      </c>
      <c r="C35" s="18">
        <v>135</v>
      </c>
    </row>
    <row r="36" spans="1:3" ht="16.5" thickTop="1" thickBot="1">
      <c r="A36" s="18" t="s">
        <v>763</v>
      </c>
      <c r="B36" s="18" t="s">
        <v>49</v>
      </c>
      <c r="C36" s="18">
        <v>74</v>
      </c>
    </row>
    <row r="37" spans="1:3" ht="16.5" thickTop="1" thickBot="1">
      <c r="A37" s="18" t="s">
        <v>329</v>
      </c>
      <c r="B37" s="18" t="s">
        <v>49</v>
      </c>
      <c r="C37" s="18">
        <v>90</v>
      </c>
    </row>
    <row r="38" spans="1:3" ht="16.5" thickTop="1" thickBot="1">
      <c r="A38" s="18" t="s">
        <v>773</v>
      </c>
      <c r="B38" s="18" t="s">
        <v>49</v>
      </c>
      <c r="C38" s="18">
        <v>39</v>
      </c>
    </row>
    <row r="39" spans="1:3" ht="16.5" thickTop="1" thickBot="1">
      <c r="A39" s="18" t="s">
        <v>774</v>
      </c>
      <c r="B39" s="18" t="s">
        <v>49</v>
      </c>
      <c r="C39" s="18">
        <v>52</v>
      </c>
    </row>
    <row r="40" spans="1:3" ht="16.5" thickTop="1" thickBot="1">
      <c r="A40" s="18" t="s">
        <v>778</v>
      </c>
      <c r="B40" s="18" t="s">
        <v>49</v>
      </c>
      <c r="C40" s="18">
        <v>1000</v>
      </c>
    </row>
    <row r="41" spans="1:3" ht="16.5" thickTop="1" thickBot="1">
      <c r="A41" s="18" t="s">
        <v>620</v>
      </c>
      <c r="B41" s="18" t="s">
        <v>744</v>
      </c>
      <c r="C41" s="18">
        <v>90</v>
      </c>
    </row>
    <row r="42" spans="1:3" ht="16.5" thickTop="1" thickBot="1">
      <c r="A42" s="18" t="s">
        <v>770</v>
      </c>
      <c r="B42" s="18" t="s">
        <v>744</v>
      </c>
      <c r="C42" s="18">
        <v>12</v>
      </c>
    </row>
    <row r="43" spans="1:3" ht="16.5" thickTop="1" thickBot="1">
      <c r="A43" s="18" t="s">
        <v>771</v>
      </c>
      <c r="B43" s="18" t="s">
        <v>744</v>
      </c>
      <c r="C43" s="18">
        <v>90</v>
      </c>
    </row>
    <row r="44" spans="1:3" ht="16.5" thickTop="1" thickBot="1">
      <c r="A44" s="18"/>
      <c r="B44" s="18"/>
      <c r="C44" s="18"/>
    </row>
    <row r="45" spans="1:3" ht="16.5" thickTop="1" thickBot="1">
      <c r="A45" s="18"/>
      <c r="B45" s="18"/>
      <c r="C45" s="18"/>
    </row>
    <row r="46" spans="1:3" ht="16.5" thickTop="1" thickBot="1">
      <c r="A46" s="18"/>
      <c r="B46" s="18"/>
      <c r="C46" s="18"/>
    </row>
    <row r="47" spans="1:3" ht="16.5" thickTop="1" thickBot="1">
      <c r="A47" s="18"/>
      <c r="B47" s="18"/>
      <c r="C47" s="18"/>
    </row>
    <row r="48" spans="1:3" ht="16.5" thickTop="1" thickBot="1">
      <c r="A48" s="18"/>
      <c r="B48" s="18"/>
      <c r="C48" s="18"/>
    </row>
    <row r="49" spans="1:3" ht="16.5" thickTop="1" thickBot="1">
      <c r="A49" s="18"/>
      <c r="B49" s="18"/>
      <c r="C49" s="18"/>
    </row>
    <row r="50" spans="1:3" ht="15.75" thickTop="1"/>
  </sheetData>
  <sortState xmlns:xlrd2="http://schemas.microsoft.com/office/spreadsheetml/2017/richdata2" ref="A2:C50">
    <sortCondition descending="1" ref="B1:B50"/>
  </sortState>
  <dataValidations count="1">
    <dataValidation type="list" allowBlank="1" showInputMessage="1" showErrorMessage="1" sqref="B2:B49" xr:uid="{8CAC87BD-023D-4634-94FF-4117F5863229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6B06-7401-4E4A-8EF8-FFB54F127DA7}">
  <sheetPr codeName="Sheet23"/>
  <dimension ref="A1:F42"/>
  <sheetViews>
    <sheetView workbookViewId="0">
      <selection activeCell="D15" sqref="D15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725</v>
      </c>
      <c r="B2" s="18" t="s">
        <v>745</v>
      </c>
      <c r="C2" s="18">
        <v>65</v>
      </c>
      <c r="E2" s="13" t="s">
        <v>1</v>
      </c>
      <c r="F2" s="13">
        <f t="shared" ref="F2:F12" si="0">SUMIF(B:B,E2,C:C)</f>
        <v>1540</v>
      </c>
    </row>
    <row r="3" spans="1:6" ht="16.5" thickTop="1" thickBot="1">
      <c r="A3" s="18" t="s">
        <v>726</v>
      </c>
      <c r="B3" s="18" t="s">
        <v>45</v>
      </c>
      <c r="C3" s="18">
        <v>400</v>
      </c>
      <c r="E3" s="13" t="s">
        <v>2</v>
      </c>
      <c r="F3" s="13">
        <f t="shared" si="0"/>
        <v>1486</v>
      </c>
    </row>
    <row r="4" spans="1:6" ht="16.5" thickTop="1" thickBot="1">
      <c r="A4" s="18" t="s">
        <v>727</v>
      </c>
      <c r="B4" s="18" t="s">
        <v>46</v>
      </c>
      <c r="C4" s="18">
        <v>111</v>
      </c>
      <c r="E4" s="13" t="s">
        <v>3</v>
      </c>
      <c r="F4" s="13">
        <f t="shared" si="0"/>
        <v>663</v>
      </c>
    </row>
    <row r="5" spans="1:6" ht="16.5" thickTop="1" thickBot="1">
      <c r="A5" s="18" t="s">
        <v>728</v>
      </c>
      <c r="B5" s="18" t="s">
        <v>49</v>
      </c>
      <c r="C5" s="18">
        <v>100</v>
      </c>
      <c r="E5" s="13" t="s">
        <v>745</v>
      </c>
      <c r="F5" s="13">
        <f t="shared" si="0"/>
        <v>265</v>
      </c>
    </row>
    <row r="6" spans="1:6" ht="16.5" thickTop="1" thickBot="1">
      <c r="A6" s="18" t="s">
        <v>729</v>
      </c>
      <c r="B6" s="18" t="s">
        <v>46</v>
      </c>
      <c r="C6" s="18">
        <v>96</v>
      </c>
      <c r="E6" s="13" t="s">
        <v>375</v>
      </c>
      <c r="F6" s="13">
        <f t="shared" si="0"/>
        <v>3286</v>
      </c>
    </row>
    <row r="7" spans="1:6" ht="16.5" thickTop="1" thickBot="1">
      <c r="A7" s="18" t="s">
        <v>730</v>
      </c>
      <c r="B7" s="18" t="s">
        <v>375</v>
      </c>
      <c r="C7" s="18">
        <v>287</v>
      </c>
      <c r="E7" s="13" t="s">
        <v>743</v>
      </c>
      <c r="F7" s="13">
        <f t="shared" si="0"/>
        <v>588</v>
      </c>
    </row>
    <row r="8" spans="1:6" ht="16.5" thickTop="1" thickBot="1">
      <c r="A8" s="18" t="s">
        <v>731</v>
      </c>
      <c r="B8" s="18" t="s">
        <v>46</v>
      </c>
      <c r="C8" s="18">
        <v>215</v>
      </c>
      <c r="E8" s="13" t="s">
        <v>746</v>
      </c>
      <c r="F8" s="13">
        <f t="shared" si="0"/>
        <v>1164</v>
      </c>
    </row>
    <row r="9" spans="1:6" ht="16.5" thickTop="1" thickBot="1">
      <c r="A9" s="18" t="s">
        <v>732</v>
      </c>
      <c r="B9" s="18" t="s">
        <v>743</v>
      </c>
      <c r="C9" s="18">
        <v>85</v>
      </c>
      <c r="E9" s="13" t="s">
        <v>744</v>
      </c>
      <c r="F9" s="13">
        <f t="shared" si="0"/>
        <v>374</v>
      </c>
    </row>
    <row r="10" spans="1:6" ht="16.5" thickTop="1" thickBot="1">
      <c r="A10" s="18" t="s">
        <v>733</v>
      </c>
      <c r="B10" s="18" t="s">
        <v>746</v>
      </c>
      <c r="C10" s="18">
        <v>1164</v>
      </c>
      <c r="E10" s="13" t="s">
        <v>444</v>
      </c>
      <c r="F10" s="13">
        <f t="shared" si="0"/>
        <v>312</v>
      </c>
    </row>
    <row r="11" spans="1:6" ht="16.5" thickTop="1" thickBot="1">
      <c r="A11" s="18" t="s">
        <v>46</v>
      </c>
      <c r="B11" s="18" t="s">
        <v>46</v>
      </c>
      <c r="C11" s="18">
        <v>1064</v>
      </c>
      <c r="E11" s="13" t="s">
        <v>48</v>
      </c>
      <c r="F11" s="13">
        <f t="shared" si="0"/>
        <v>0</v>
      </c>
    </row>
    <row r="12" spans="1:6" ht="16.5" thickTop="1" thickBot="1">
      <c r="A12" s="18" t="s">
        <v>375</v>
      </c>
      <c r="B12" s="18" t="s">
        <v>375</v>
      </c>
      <c r="C12" s="18">
        <v>2999</v>
      </c>
      <c r="E12" s="13" t="s">
        <v>49</v>
      </c>
      <c r="F12" s="13">
        <f t="shared" si="0"/>
        <v>727</v>
      </c>
    </row>
    <row r="13" spans="1:6" ht="16.5" thickTop="1" thickBot="1">
      <c r="A13" s="18" t="s">
        <v>429</v>
      </c>
      <c r="B13" s="18" t="s">
        <v>45</v>
      </c>
      <c r="C13" s="18">
        <v>1140</v>
      </c>
      <c r="E13" s="13" t="s">
        <v>408</v>
      </c>
      <c r="F13" s="13">
        <f>SUM(F2:F12)</f>
        <v>10405</v>
      </c>
    </row>
    <row r="14" spans="1:6" ht="16.5" thickTop="1" thickBot="1">
      <c r="A14" s="18" t="s">
        <v>482</v>
      </c>
      <c r="B14" s="18" t="s">
        <v>47</v>
      </c>
      <c r="C14" s="18">
        <v>363</v>
      </c>
      <c r="E14" s="4"/>
      <c r="F14" s="4"/>
    </row>
    <row r="15" spans="1:6" ht="16.5" thickTop="1" thickBot="1">
      <c r="A15" s="18" t="s">
        <v>579</v>
      </c>
      <c r="B15" s="18" t="s">
        <v>743</v>
      </c>
      <c r="C15" s="18">
        <v>60</v>
      </c>
    </row>
    <row r="16" spans="1:6" ht="16.5" thickTop="1" thickBot="1">
      <c r="A16" s="18">
        <v>441</v>
      </c>
      <c r="B16" s="18" t="s">
        <v>744</v>
      </c>
      <c r="C16" s="18">
        <v>374</v>
      </c>
    </row>
    <row r="17" spans="1:3" ht="16.5" thickTop="1" thickBot="1">
      <c r="A17" s="18" t="s">
        <v>444</v>
      </c>
      <c r="B17" s="18" t="s">
        <v>444</v>
      </c>
      <c r="C17" s="18">
        <v>260</v>
      </c>
    </row>
    <row r="18" spans="1:3" ht="16.5" thickTop="1" thickBot="1">
      <c r="A18" s="18" t="s">
        <v>329</v>
      </c>
      <c r="B18" s="18" t="s">
        <v>49</v>
      </c>
      <c r="C18" s="18">
        <v>180</v>
      </c>
    </row>
    <row r="19" spans="1:3" ht="16.5" thickTop="1" thickBot="1">
      <c r="A19" s="18" t="s">
        <v>705</v>
      </c>
      <c r="B19" s="18" t="s">
        <v>444</v>
      </c>
      <c r="C19" s="18">
        <v>40</v>
      </c>
    </row>
    <row r="20" spans="1:3" ht="16.5" thickTop="1" thickBot="1">
      <c r="A20" s="18" t="s">
        <v>742</v>
      </c>
      <c r="B20" s="18" t="s">
        <v>49</v>
      </c>
      <c r="C20" s="18">
        <v>360</v>
      </c>
    </row>
    <row r="21" spans="1:3" ht="16.5" thickTop="1" thickBot="1">
      <c r="A21" s="18" t="s">
        <v>751</v>
      </c>
      <c r="B21" s="18" t="s">
        <v>47</v>
      </c>
      <c r="C21" s="18">
        <v>100</v>
      </c>
    </row>
    <row r="22" spans="1:3" ht="16.5" thickTop="1" thickBot="1">
      <c r="A22" s="18" t="s">
        <v>413</v>
      </c>
      <c r="B22" s="18" t="s">
        <v>745</v>
      </c>
      <c r="C22" s="18">
        <v>170</v>
      </c>
    </row>
    <row r="23" spans="1:3" ht="16.5" thickTop="1" thickBot="1">
      <c r="A23" s="18" t="s">
        <v>541</v>
      </c>
      <c r="B23" s="18" t="s">
        <v>745</v>
      </c>
      <c r="C23" s="18">
        <v>30</v>
      </c>
    </row>
    <row r="24" spans="1:3" ht="16.5" thickTop="1" thickBot="1">
      <c r="A24" s="18" t="s">
        <v>752</v>
      </c>
      <c r="B24" s="18" t="s">
        <v>49</v>
      </c>
      <c r="C24" s="18">
        <v>87</v>
      </c>
    </row>
    <row r="25" spans="1:3" ht="16.5" thickTop="1" thickBot="1">
      <c r="A25" s="18" t="s">
        <v>578</v>
      </c>
      <c r="B25" s="18" t="s">
        <v>743</v>
      </c>
      <c r="C25" s="18">
        <v>61</v>
      </c>
    </row>
    <row r="26" spans="1:3" ht="16.5" thickTop="1" thickBot="1">
      <c r="A26" s="18" t="s">
        <v>753</v>
      </c>
      <c r="B26" s="18" t="s">
        <v>743</v>
      </c>
      <c r="C26" s="18">
        <v>120</v>
      </c>
    </row>
    <row r="27" spans="1:3" ht="16.5" thickTop="1" thickBot="1">
      <c r="A27" s="18" t="s">
        <v>328</v>
      </c>
      <c r="B27" s="18" t="s">
        <v>444</v>
      </c>
      <c r="C27" s="18">
        <v>12</v>
      </c>
    </row>
    <row r="28" spans="1:3" ht="16.5" thickTop="1" thickBot="1">
      <c r="A28" s="18" t="s">
        <v>747</v>
      </c>
      <c r="B28" s="18" t="s">
        <v>743</v>
      </c>
      <c r="C28" s="18">
        <v>190</v>
      </c>
    </row>
    <row r="29" spans="1:3" ht="16.5" thickTop="1" thickBot="1">
      <c r="A29" s="18" t="s">
        <v>754</v>
      </c>
      <c r="B29" s="18" t="s">
        <v>743</v>
      </c>
      <c r="C29" s="18">
        <v>72</v>
      </c>
    </row>
    <row r="30" spans="1:3" ht="16.5" thickTop="1" thickBot="1">
      <c r="A30" s="18" t="s">
        <v>538</v>
      </c>
      <c r="B30" s="18" t="s">
        <v>47</v>
      </c>
      <c r="C30" s="18">
        <v>200</v>
      </c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dataValidations count="2">
    <dataValidation type="list" allowBlank="1" showInputMessage="1" showErrorMessage="1" sqref="B31:B41" xr:uid="{382C7E73-5D8E-4B82-8881-466796F2872F}">
      <formula1>"猫砂,猫粮,零食,药,日用品,买猫,其它"</formula1>
    </dataValidation>
    <dataValidation type="list" allowBlank="1" showInputMessage="1" showErrorMessage="1" sqref="B2:B30" xr:uid="{5F16949C-58CA-4DDD-A0DF-17394D2521E2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D8AE-CFFA-46BA-BEF3-DCA3F52A465A}">
  <sheetPr codeName="Sheet24"/>
  <dimension ref="A1:F54"/>
  <sheetViews>
    <sheetView topLeftCell="A18" workbookViewId="0">
      <selection activeCell="D15" sqref="D15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688</v>
      </c>
      <c r="B2" s="18" t="s">
        <v>47</v>
      </c>
      <c r="C2" s="18">
        <v>175</v>
      </c>
      <c r="E2" s="13" t="s">
        <v>1</v>
      </c>
      <c r="F2" s="13">
        <f t="shared" ref="F2:F12" si="0">SUMIF(B:B,E2,C:C)</f>
        <v>4538</v>
      </c>
    </row>
    <row r="3" spans="1:6" ht="16.5" thickTop="1" thickBot="1">
      <c r="A3" s="18" t="s">
        <v>694</v>
      </c>
      <c r="B3" s="18" t="s">
        <v>47</v>
      </c>
      <c r="C3" s="18">
        <v>30</v>
      </c>
      <c r="E3" s="13" t="s">
        <v>2</v>
      </c>
      <c r="F3" s="13">
        <f t="shared" si="0"/>
        <v>2241</v>
      </c>
    </row>
    <row r="4" spans="1:6" ht="16.5" thickTop="1" thickBot="1">
      <c r="A4" s="18" t="s">
        <v>696</v>
      </c>
      <c r="B4" s="18" t="s">
        <v>47</v>
      </c>
      <c r="C4" s="18">
        <v>100</v>
      </c>
      <c r="E4" s="13" t="s">
        <v>3</v>
      </c>
      <c r="F4" s="13">
        <f t="shared" si="0"/>
        <v>573</v>
      </c>
    </row>
    <row r="5" spans="1:6" ht="16.5" thickTop="1" thickBot="1">
      <c r="A5" s="18" t="s">
        <v>700</v>
      </c>
      <c r="B5" s="18" t="s">
        <v>47</v>
      </c>
      <c r="C5" s="18">
        <v>100</v>
      </c>
      <c r="E5" s="13" t="s">
        <v>745</v>
      </c>
      <c r="F5" s="13">
        <f t="shared" si="0"/>
        <v>689</v>
      </c>
    </row>
    <row r="6" spans="1:6" ht="16.5" thickTop="1" thickBot="1">
      <c r="A6" s="18" t="s">
        <v>707</v>
      </c>
      <c r="B6" s="18" t="s">
        <v>47</v>
      </c>
      <c r="C6" s="18">
        <v>168</v>
      </c>
      <c r="E6" s="13" t="s">
        <v>375</v>
      </c>
      <c r="F6" s="13">
        <f t="shared" si="0"/>
        <v>0</v>
      </c>
    </row>
    <row r="7" spans="1:6" ht="16.5" thickTop="1" thickBot="1">
      <c r="A7" s="18">
        <v>441</v>
      </c>
      <c r="B7" s="18" t="s">
        <v>744</v>
      </c>
      <c r="C7" s="18">
        <v>552</v>
      </c>
      <c r="E7" s="13" t="s">
        <v>743</v>
      </c>
      <c r="F7" s="13">
        <f t="shared" si="0"/>
        <v>166</v>
      </c>
    </row>
    <row r="8" spans="1:6" ht="16.5" thickTop="1" thickBot="1">
      <c r="A8" s="18" t="s">
        <v>701</v>
      </c>
      <c r="B8" s="18" t="s">
        <v>744</v>
      </c>
      <c r="C8" s="18">
        <v>95</v>
      </c>
      <c r="E8" s="13" t="s">
        <v>746</v>
      </c>
      <c r="F8" s="13">
        <f t="shared" si="0"/>
        <v>0</v>
      </c>
    </row>
    <row r="9" spans="1:6" ht="16.5" thickTop="1" thickBot="1">
      <c r="A9" s="18" t="s">
        <v>579</v>
      </c>
      <c r="B9" s="18" t="s">
        <v>743</v>
      </c>
      <c r="C9" s="18">
        <v>46</v>
      </c>
      <c r="E9" s="13" t="s">
        <v>744</v>
      </c>
      <c r="F9" s="13">
        <f t="shared" si="0"/>
        <v>1199</v>
      </c>
    </row>
    <row r="10" spans="1:6" ht="16.5" thickTop="1" thickBot="1">
      <c r="A10" s="18">
        <v>441</v>
      </c>
      <c r="B10" s="18" t="s">
        <v>744</v>
      </c>
      <c r="C10" s="18">
        <v>552</v>
      </c>
      <c r="E10" s="13" t="s">
        <v>444</v>
      </c>
      <c r="F10" s="13">
        <f t="shared" si="0"/>
        <v>160</v>
      </c>
    </row>
    <row r="11" spans="1:6" ht="16.5" thickTop="1" thickBot="1">
      <c r="A11" s="18" t="s">
        <v>578</v>
      </c>
      <c r="B11" s="18" t="s">
        <v>743</v>
      </c>
      <c r="C11" s="18">
        <v>58</v>
      </c>
      <c r="E11" s="13" t="s">
        <v>48</v>
      </c>
      <c r="F11" s="13">
        <f t="shared" si="0"/>
        <v>0</v>
      </c>
    </row>
    <row r="12" spans="1:6" ht="16.5" thickTop="1" thickBot="1">
      <c r="A12" s="18" t="s">
        <v>578</v>
      </c>
      <c r="B12" s="18" t="s">
        <v>743</v>
      </c>
      <c r="C12" s="18">
        <v>62</v>
      </c>
      <c r="E12" s="13" t="s">
        <v>49</v>
      </c>
      <c r="F12" s="13">
        <f t="shared" si="0"/>
        <v>1049</v>
      </c>
    </row>
    <row r="13" spans="1:6" ht="16.5" thickTop="1" thickBot="1">
      <c r="A13" s="18" t="s">
        <v>689</v>
      </c>
      <c r="B13" s="18" t="s">
        <v>45</v>
      </c>
      <c r="C13" s="18">
        <v>300</v>
      </c>
      <c r="E13" s="13" t="s">
        <v>408</v>
      </c>
      <c r="F13" s="13">
        <f>SUM(F2:F12)</f>
        <v>10615</v>
      </c>
    </row>
    <row r="14" spans="1:6" ht="16.5" thickTop="1" thickBot="1">
      <c r="A14" s="18" t="s">
        <v>691</v>
      </c>
      <c r="B14" s="18" t="s">
        <v>45</v>
      </c>
      <c r="C14" s="18">
        <v>70</v>
      </c>
      <c r="E14" s="4"/>
      <c r="F14" s="4"/>
    </row>
    <row r="15" spans="1:6" ht="16.5" thickTop="1" thickBot="1">
      <c r="A15" s="18" t="s">
        <v>692</v>
      </c>
      <c r="B15" s="18" t="s">
        <v>45</v>
      </c>
      <c r="C15" s="18">
        <v>36</v>
      </c>
    </row>
    <row r="16" spans="1:6" ht="16.5" thickTop="1" thickBot="1">
      <c r="A16" s="18" t="s">
        <v>692</v>
      </c>
      <c r="B16" s="18" t="s">
        <v>45</v>
      </c>
      <c r="C16" s="18">
        <v>72</v>
      </c>
    </row>
    <row r="17" spans="1:3" ht="16.5" thickTop="1" thickBot="1">
      <c r="A17" s="18" t="s">
        <v>695</v>
      </c>
      <c r="B17" s="18" t="s">
        <v>45</v>
      </c>
      <c r="C17" s="18">
        <v>220</v>
      </c>
    </row>
    <row r="18" spans="1:3" ht="16.5" thickTop="1" thickBot="1">
      <c r="A18" s="18" t="s">
        <v>429</v>
      </c>
      <c r="B18" s="18" t="s">
        <v>45</v>
      </c>
      <c r="C18" s="18">
        <v>1140</v>
      </c>
    </row>
    <row r="19" spans="1:3" ht="16.5" thickTop="1" thickBot="1">
      <c r="A19" s="18" t="s">
        <v>605</v>
      </c>
      <c r="B19" s="18" t="s">
        <v>45</v>
      </c>
      <c r="C19" s="18">
        <v>600</v>
      </c>
    </row>
    <row r="20" spans="1:3" ht="16.5" thickTop="1" thickBot="1">
      <c r="A20" s="18" t="s">
        <v>711</v>
      </c>
      <c r="B20" s="18" t="s">
        <v>45</v>
      </c>
      <c r="C20" s="18">
        <v>900</v>
      </c>
    </row>
    <row r="21" spans="1:3" ht="16.5" thickTop="1" thickBot="1">
      <c r="A21" s="18" t="s">
        <v>690</v>
      </c>
      <c r="B21" s="18" t="s">
        <v>46</v>
      </c>
      <c r="C21" s="18">
        <v>820</v>
      </c>
    </row>
    <row r="22" spans="1:3" ht="16.5" thickTop="1" thickBot="1">
      <c r="A22" s="18" t="s">
        <v>697</v>
      </c>
      <c r="B22" s="18" t="s">
        <v>46</v>
      </c>
      <c r="C22" s="18">
        <v>350</v>
      </c>
    </row>
    <row r="23" spans="1:3" ht="16.5" thickTop="1" thickBot="1">
      <c r="A23" s="18" t="s">
        <v>698</v>
      </c>
      <c r="B23" s="18" t="s">
        <v>46</v>
      </c>
      <c r="C23" s="18">
        <v>760</v>
      </c>
    </row>
    <row r="24" spans="1:3" ht="16.5" thickTop="1" thickBot="1">
      <c r="A24" s="18" t="s">
        <v>699</v>
      </c>
      <c r="B24" s="18" t="s">
        <v>46</v>
      </c>
      <c r="C24" s="18">
        <v>240</v>
      </c>
    </row>
    <row r="25" spans="1:3" ht="16.5" thickTop="1" thickBot="1">
      <c r="A25" s="18" t="s">
        <v>706</v>
      </c>
      <c r="B25" s="18" t="s">
        <v>46</v>
      </c>
      <c r="C25" s="18">
        <v>71</v>
      </c>
    </row>
    <row r="26" spans="1:3" ht="16.5" thickTop="1" thickBot="1">
      <c r="A26" s="18" t="s">
        <v>741</v>
      </c>
      <c r="B26" s="18" t="s">
        <v>45</v>
      </c>
      <c r="C26" s="18">
        <v>1200</v>
      </c>
    </row>
    <row r="27" spans="1:3" ht="16.5" thickTop="1" thickBot="1">
      <c r="A27" s="18" t="s">
        <v>687</v>
      </c>
      <c r="B27" s="18" t="s">
        <v>745</v>
      </c>
      <c r="C27" s="18">
        <v>106</v>
      </c>
    </row>
    <row r="28" spans="1:3" ht="16.5" thickTop="1" thickBot="1">
      <c r="A28" s="18" t="s">
        <v>541</v>
      </c>
      <c r="B28" s="18" t="s">
        <v>745</v>
      </c>
      <c r="C28" s="18">
        <v>58</v>
      </c>
    </row>
    <row r="29" spans="1:3" ht="16.5" thickTop="1" thickBot="1">
      <c r="A29" s="18" t="s">
        <v>487</v>
      </c>
      <c r="B29" s="18" t="s">
        <v>745</v>
      </c>
      <c r="C29" s="18">
        <v>15</v>
      </c>
    </row>
    <row r="30" spans="1:3" ht="16.5" thickTop="1" thickBot="1">
      <c r="A30" s="18" t="s">
        <v>708</v>
      </c>
      <c r="B30" s="18" t="s">
        <v>745</v>
      </c>
      <c r="C30" s="18">
        <v>62</v>
      </c>
    </row>
    <row r="31" spans="1:3" ht="16.5" thickTop="1" thickBot="1">
      <c r="A31" s="18" t="s">
        <v>710</v>
      </c>
      <c r="B31" s="18" t="s">
        <v>745</v>
      </c>
      <c r="C31" s="18">
        <v>60</v>
      </c>
    </row>
    <row r="32" spans="1:3" ht="16.5" thickTop="1" thickBot="1">
      <c r="A32" s="18" t="s">
        <v>687</v>
      </c>
      <c r="B32" s="18" t="s">
        <v>745</v>
      </c>
      <c r="C32" s="18">
        <v>106</v>
      </c>
    </row>
    <row r="33" spans="1:3" ht="16.5" thickTop="1" thickBot="1">
      <c r="A33" s="18" t="s">
        <v>372</v>
      </c>
      <c r="B33" s="18" t="s">
        <v>745</v>
      </c>
      <c r="C33" s="18">
        <v>58</v>
      </c>
    </row>
    <row r="34" spans="1:3" ht="16.5" thickTop="1" thickBot="1">
      <c r="A34" s="18" t="s">
        <v>451</v>
      </c>
      <c r="B34" s="18" t="s">
        <v>49</v>
      </c>
      <c r="C34" s="18">
        <v>18</v>
      </c>
    </row>
    <row r="35" spans="1:3" ht="16.5" thickTop="1" thickBot="1">
      <c r="A35" s="18" t="s">
        <v>693</v>
      </c>
      <c r="B35" s="18" t="s">
        <v>49</v>
      </c>
      <c r="C35" s="18">
        <v>88</v>
      </c>
    </row>
    <row r="36" spans="1:3" ht="16.5" thickTop="1" thickBot="1">
      <c r="A36" s="18" t="s">
        <v>328</v>
      </c>
      <c r="B36" s="18" t="s">
        <v>444</v>
      </c>
      <c r="C36" s="18">
        <v>15</v>
      </c>
    </row>
    <row r="37" spans="1:3" ht="16.5" thickTop="1" thickBot="1">
      <c r="A37" s="18" t="s">
        <v>444</v>
      </c>
      <c r="B37" s="18" t="s">
        <v>444</v>
      </c>
      <c r="C37" s="18">
        <v>110</v>
      </c>
    </row>
    <row r="38" spans="1:3" ht="16.5" thickTop="1" thickBot="1">
      <c r="A38" s="18" t="s">
        <v>702</v>
      </c>
      <c r="B38" s="18" t="s">
        <v>745</v>
      </c>
      <c r="C38" s="18">
        <v>100</v>
      </c>
    </row>
    <row r="39" spans="1:3" ht="16.5" thickTop="1" thickBot="1">
      <c r="A39" s="18" t="s">
        <v>702</v>
      </c>
      <c r="B39" s="18" t="s">
        <v>745</v>
      </c>
      <c r="C39" s="18">
        <v>124</v>
      </c>
    </row>
    <row r="40" spans="1:3" ht="16.5" thickTop="1" thickBot="1">
      <c r="A40" s="18" t="s">
        <v>584</v>
      </c>
      <c r="B40" s="18" t="s">
        <v>49</v>
      </c>
      <c r="C40" s="18">
        <v>30</v>
      </c>
    </row>
    <row r="41" spans="1:3" ht="16.5" thickTop="1" thickBot="1">
      <c r="A41" s="18" t="s">
        <v>703</v>
      </c>
      <c r="B41" s="18" t="s">
        <v>49</v>
      </c>
      <c r="C41" s="18">
        <v>16</v>
      </c>
    </row>
    <row r="42" spans="1:3" ht="16.5" thickTop="1" thickBot="1">
      <c r="A42" s="18" t="s">
        <v>322</v>
      </c>
      <c r="B42" s="18" t="s">
        <v>49</v>
      </c>
      <c r="C42" s="18">
        <v>21</v>
      </c>
    </row>
    <row r="43" spans="1:3" ht="16.5" thickTop="1" thickBot="1">
      <c r="A43" s="18" t="s">
        <v>704</v>
      </c>
      <c r="B43" s="18" t="s">
        <v>49</v>
      </c>
      <c r="C43" s="18">
        <v>782</v>
      </c>
    </row>
    <row r="44" spans="1:3" ht="16.5" thickTop="1" thickBot="1">
      <c r="A44" s="18" t="s">
        <v>705</v>
      </c>
      <c r="B44" s="18" t="s">
        <v>444</v>
      </c>
      <c r="C44" s="18">
        <v>35</v>
      </c>
    </row>
    <row r="45" spans="1:3" ht="16.5" thickTop="1" thickBot="1">
      <c r="A45" s="18" t="s">
        <v>321</v>
      </c>
      <c r="B45" s="18" t="s">
        <v>49</v>
      </c>
      <c r="C45" s="18">
        <v>78</v>
      </c>
    </row>
    <row r="46" spans="1:3" ht="16.5" thickTop="1" thickBot="1">
      <c r="A46" s="18" t="s">
        <v>486</v>
      </c>
      <c r="B46" s="18" t="s">
        <v>49</v>
      </c>
      <c r="C46" s="18">
        <v>16</v>
      </c>
    </row>
    <row r="47" spans="1:3" ht="16.5" thickTop="1" thickBot="1">
      <c r="A47" s="18"/>
      <c r="B47" s="18"/>
      <c r="C47" s="18"/>
    </row>
    <row r="48" spans="1:3" ht="16.5" thickTop="1" thickBot="1">
      <c r="A48" s="18"/>
      <c r="B48" s="18"/>
      <c r="C48" s="18"/>
    </row>
    <row r="49" spans="1:3" ht="16.5" thickTop="1" thickBot="1">
      <c r="A49" s="18"/>
      <c r="B49" s="18"/>
      <c r="C49" s="18"/>
    </row>
    <row r="50" spans="1:3" ht="16.5" thickTop="1" thickBot="1">
      <c r="A50" s="18"/>
      <c r="B50" s="18"/>
      <c r="C50" s="18"/>
    </row>
    <row r="51" spans="1:3" ht="16.5" thickTop="1" thickBot="1">
      <c r="A51" s="18"/>
      <c r="B51" s="18"/>
      <c r="C51" s="18"/>
    </row>
    <row r="52" spans="1:3" ht="16.5" thickTop="1" thickBot="1">
      <c r="A52" s="18"/>
      <c r="B52" s="18"/>
      <c r="C52" s="18"/>
    </row>
    <row r="53" spans="1:3" ht="16.5" thickTop="1" thickBot="1">
      <c r="A53" s="18"/>
      <c r="B53" s="18"/>
      <c r="C53" s="18"/>
    </row>
    <row r="54" spans="1:3" ht="15.75" thickTop="1"/>
  </sheetData>
  <sortState xmlns:xlrd2="http://schemas.microsoft.com/office/spreadsheetml/2017/richdata2" ref="A2:C55">
    <sortCondition descending="1" ref="B1:B55"/>
  </sortState>
  <dataValidations count="2">
    <dataValidation type="list" allowBlank="1" showInputMessage="1" showErrorMessage="1" sqref="B48:B53" xr:uid="{46BD4012-591F-4062-9357-D497B6A6FE5B}">
      <formula1>"猫砂,猫粮,零食,药,日用品,买猫,其它"</formula1>
    </dataValidation>
    <dataValidation type="list" allowBlank="1" showInputMessage="1" showErrorMessage="1" sqref="B2:B47" xr:uid="{8B9EE36B-2D4A-453C-ABB4-F0AADE7E0A95}">
      <formula1>"猫砂,猫粮,零食,消耗品,疫苗,常用药,治疗费,不常用药,运费,买猫,其它"</formula1>
    </dataValidation>
  </dataValidations>
  <pageMargins left="0.7" right="0.7" top="0.75" bottom="0.75" header="0.3" footer="0.3"/>
  <pageSetup orientation="portrait" horizontalDpi="90" verticalDpi="9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B65B6-466B-40DE-8CD5-BB783FA2D9FD}">
  <sheetPr codeName="Sheet25"/>
  <dimension ref="A1:F62"/>
  <sheetViews>
    <sheetView zoomScale="93" workbookViewId="0">
      <selection activeCell="D15" sqref="D15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538</v>
      </c>
      <c r="B2" s="18" t="s">
        <v>47</v>
      </c>
      <c r="C2" s="18">
        <v>100</v>
      </c>
      <c r="E2" s="13" t="s">
        <v>1</v>
      </c>
      <c r="F2" s="13">
        <f t="shared" ref="F2:F12" si="0">SUMIF(B:B,E2,C:C)</f>
        <v>4190</v>
      </c>
    </row>
    <row r="3" spans="1:6" ht="16.5" thickTop="1" thickBot="1">
      <c r="A3" s="18" t="s">
        <v>651</v>
      </c>
      <c r="B3" s="18" t="s">
        <v>47</v>
      </c>
      <c r="C3" s="18">
        <v>100</v>
      </c>
      <c r="E3" s="13" t="s">
        <v>2</v>
      </c>
      <c r="F3" s="13">
        <f t="shared" si="0"/>
        <v>447</v>
      </c>
    </row>
    <row r="4" spans="1:6" ht="16.5" thickTop="1" thickBot="1">
      <c r="A4" s="18" t="s">
        <v>662</v>
      </c>
      <c r="B4" s="18" t="s">
        <v>47</v>
      </c>
      <c r="C4" s="18">
        <v>100</v>
      </c>
      <c r="E4" s="13" t="s">
        <v>3</v>
      </c>
      <c r="F4" s="13">
        <f t="shared" si="0"/>
        <v>300</v>
      </c>
    </row>
    <row r="5" spans="1:6" ht="16.5" thickTop="1" thickBot="1">
      <c r="A5" s="18" t="s">
        <v>626</v>
      </c>
      <c r="B5" s="18" t="s">
        <v>743</v>
      </c>
      <c r="C5" s="18">
        <v>54</v>
      </c>
      <c r="E5" s="13" t="s">
        <v>745</v>
      </c>
      <c r="F5" s="13">
        <f t="shared" si="0"/>
        <v>943</v>
      </c>
    </row>
    <row r="6" spans="1:6" ht="16.5" thickTop="1" thickBot="1">
      <c r="A6" s="18" t="s">
        <v>649</v>
      </c>
      <c r="B6" s="18" t="s">
        <v>744</v>
      </c>
      <c r="C6" s="18">
        <v>60</v>
      </c>
      <c r="E6" s="13" t="s">
        <v>375</v>
      </c>
      <c r="F6" s="13">
        <f t="shared" si="0"/>
        <v>495</v>
      </c>
    </row>
    <row r="7" spans="1:6" ht="16.5" thickTop="1" thickBot="1">
      <c r="A7" s="18" t="s">
        <v>747</v>
      </c>
      <c r="B7" s="18" t="s">
        <v>743</v>
      </c>
      <c r="C7" s="18">
        <v>190</v>
      </c>
      <c r="E7" s="13" t="s">
        <v>743</v>
      </c>
      <c r="F7" s="13">
        <f t="shared" si="0"/>
        <v>634</v>
      </c>
    </row>
    <row r="8" spans="1:6" ht="16.5" thickTop="1" thickBot="1">
      <c r="A8" s="18" t="s">
        <v>650</v>
      </c>
      <c r="B8" s="18" t="s">
        <v>744</v>
      </c>
      <c r="C8" s="18">
        <v>180</v>
      </c>
      <c r="E8" s="13" t="s">
        <v>746</v>
      </c>
      <c r="F8" s="13">
        <f t="shared" si="0"/>
        <v>560</v>
      </c>
    </row>
    <row r="9" spans="1:6" ht="16.5" thickTop="1" thickBot="1">
      <c r="A9" s="18" t="s">
        <v>375</v>
      </c>
      <c r="B9" s="18" t="s">
        <v>375</v>
      </c>
      <c r="C9" s="18">
        <v>495</v>
      </c>
      <c r="E9" s="13" t="s">
        <v>744</v>
      </c>
      <c r="F9" s="13">
        <f t="shared" si="0"/>
        <v>1247</v>
      </c>
    </row>
    <row r="10" spans="1:6" ht="16.5" thickTop="1" thickBot="1">
      <c r="A10" s="18" t="s">
        <v>652</v>
      </c>
      <c r="B10" s="18" t="s">
        <v>743</v>
      </c>
      <c r="C10" s="18">
        <v>15</v>
      </c>
      <c r="E10" s="13" t="s">
        <v>444</v>
      </c>
      <c r="F10" s="13">
        <f t="shared" si="0"/>
        <v>169</v>
      </c>
    </row>
    <row r="11" spans="1:6" ht="16.5" thickTop="1" thickBot="1">
      <c r="A11" s="18" t="s">
        <v>579</v>
      </c>
      <c r="B11" s="18" t="s">
        <v>743</v>
      </c>
      <c r="C11" s="18">
        <v>28</v>
      </c>
      <c r="E11" s="13" t="s">
        <v>48</v>
      </c>
      <c r="F11" s="13">
        <f t="shared" si="0"/>
        <v>800</v>
      </c>
    </row>
    <row r="12" spans="1:6" ht="16.5" thickTop="1" thickBot="1">
      <c r="A12" s="18" t="s">
        <v>653</v>
      </c>
      <c r="B12" s="18" t="s">
        <v>743</v>
      </c>
      <c r="C12" s="18">
        <v>16</v>
      </c>
      <c r="E12" s="13" t="s">
        <v>49</v>
      </c>
      <c r="F12" s="13">
        <f t="shared" si="0"/>
        <v>1649</v>
      </c>
    </row>
    <row r="13" spans="1:6" ht="16.5" thickTop="1" thickBot="1">
      <c r="A13" s="18" t="s">
        <v>654</v>
      </c>
      <c r="B13" s="18" t="s">
        <v>744</v>
      </c>
      <c r="C13" s="18">
        <v>145</v>
      </c>
      <c r="E13" s="13" t="s">
        <v>408</v>
      </c>
      <c r="F13" s="13">
        <f>SUM(F2:F12)</f>
        <v>11434</v>
      </c>
    </row>
    <row r="14" spans="1:6" ht="16.5" thickTop="1" thickBot="1">
      <c r="A14" s="18" t="s">
        <v>655</v>
      </c>
      <c r="B14" s="18" t="s">
        <v>743</v>
      </c>
      <c r="C14" s="18">
        <v>30</v>
      </c>
      <c r="E14" s="4"/>
      <c r="F14" s="4"/>
    </row>
    <row r="15" spans="1:6" ht="16.5" thickTop="1" thickBot="1">
      <c r="A15" s="18" t="s">
        <v>656</v>
      </c>
      <c r="B15" s="18" t="s">
        <v>743</v>
      </c>
      <c r="C15" s="18">
        <v>121</v>
      </c>
    </row>
    <row r="16" spans="1:6" ht="16.5" thickTop="1" thickBot="1">
      <c r="A16" s="18" t="s">
        <v>658</v>
      </c>
      <c r="B16" s="18" t="s">
        <v>744</v>
      </c>
      <c r="C16" s="18">
        <v>90</v>
      </c>
    </row>
    <row r="17" spans="1:3" ht="16.5" thickTop="1" thickBot="1">
      <c r="A17" s="18" t="s">
        <v>659</v>
      </c>
      <c r="B17" s="18" t="s">
        <v>743</v>
      </c>
      <c r="C17" s="18">
        <v>90</v>
      </c>
    </row>
    <row r="18" spans="1:3" ht="16.5" thickTop="1" thickBot="1">
      <c r="A18" s="18" t="s">
        <v>660</v>
      </c>
      <c r="B18" s="18" t="s">
        <v>743</v>
      </c>
      <c r="C18" s="18">
        <v>45</v>
      </c>
    </row>
    <row r="19" spans="1:3" ht="16.5" thickTop="1" thickBot="1">
      <c r="A19" s="18" t="s">
        <v>661</v>
      </c>
      <c r="B19" s="18" t="s">
        <v>743</v>
      </c>
      <c r="C19" s="18">
        <v>45</v>
      </c>
    </row>
    <row r="20" spans="1:3" ht="16.5" thickTop="1" thickBot="1">
      <c r="A20" s="18" t="s">
        <v>663</v>
      </c>
      <c r="B20" s="18" t="s">
        <v>744</v>
      </c>
      <c r="C20" s="18">
        <v>150</v>
      </c>
    </row>
    <row r="21" spans="1:3" ht="16.5" thickTop="1" thickBot="1">
      <c r="A21" s="18" t="s">
        <v>665</v>
      </c>
      <c r="B21" s="18" t="s">
        <v>744</v>
      </c>
      <c r="C21" s="18">
        <v>92</v>
      </c>
    </row>
    <row r="22" spans="1:3" ht="16.5" thickTop="1" thickBot="1">
      <c r="A22" s="18" t="s">
        <v>666</v>
      </c>
      <c r="B22" s="18" t="s">
        <v>744</v>
      </c>
      <c r="C22" s="18">
        <v>15</v>
      </c>
    </row>
    <row r="23" spans="1:3" ht="16.5" thickTop="1" thickBot="1">
      <c r="A23" s="18" t="s">
        <v>667</v>
      </c>
      <c r="B23" s="18" t="s">
        <v>744</v>
      </c>
      <c r="C23" s="18">
        <v>35</v>
      </c>
    </row>
    <row r="24" spans="1:3" ht="16.5" thickTop="1" thickBot="1">
      <c r="A24" s="18" t="s">
        <v>668</v>
      </c>
      <c r="B24" s="18" t="s">
        <v>744</v>
      </c>
      <c r="C24" s="18">
        <v>45</v>
      </c>
    </row>
    <row r="25" spans="1:3" ht="16.5" thickTop="1" thickBot="1">
      <c r="A25" s="18" t="s">
        <v>669</v>
      </c>
      <c r="B25" s="18" t="s">
        <v>744</v>
      </c>
      <c r="C25" s="18">
        <v>10</v>
      </c>
    </row>
    <row r="26" spans="1:3" ht="16.5" thickTop="1" thickBot="1">
      <c r="A26" s="18" t="s">
        <v>670</v>
      </c>
      <c r="B26" s="18" t="s">
        <v>744</v>
      </c>
      <c r="C26" s="18">
        <v>115</v>
      </c>
    </row>
    <row r="27" spans="1:3" ht="16.5" thickTop="1" thickBot="1">
      <c r="A27" s="18" t="s">
        <v>312</v>
      </c>
      <c r="B27" s="18" t="s">
        <v>744</v>
      </c>
      <c r="C27" s="18">
        <v>310</v>
      </c>
    </row>
    <row r="28" spans="1:3" ht="16.5" thickTop="1" thickBot="1">
      <c r="A28" s="18" t="s">
        <v>673</v>
      </c>
      <c r="B28" s="18" t="s">
        <v>746</v>
      </c>
      <c r="C28" s="18">
        <v>100</v>
      </c>
    </row>
    <row r="29" spans="1:3" ht="16.5" thickTop="1" thickBot="1">
      <c r="A29" s="18" t="s">
        <v>674</v>
      </c>
      <c r="B29" s="18" t="s">
        <v>746</v>
      </c>
      <c r="C29" s="18">
        <v>60</v>
      </c>
    </row>
    <row r="30" spans="1:3" ht="16.5" thickTop="1" thickBot="1">
      <c r="A30" s="18" t="s">
        <v>675</v>
      </c>
      <c r="B30" s="18" t="s">
        <v>746</v>
      </c>
      <c r="C30" s="18">
        <v>40</v>
      </c>
    </row>
    <row r="31" spans="1:3" ht="16.5" thickTop="1" thickBot="1">
      <c r="A31" s="18" t="s">
        <v>676</v>
      </c>
      <c r="B31" s="18" t="s">
        <v>746</v>
      </c>
      <c r="C31" s="18">
        <v>360</v>
      </c>
    </row>
    <row r="32" spans="1:3" ht="16.5" thickTop="1" thickBot="1">
      <c r="A32" s="18" t="s">
        <v>45</v>
      </c>
      <c r="B32" s="18" t="s">
        <v>45</v>
      </c>
      <c r="C32" s="18">
        <v>1250</v>
      </c>
    </row>
    <row r="33" spans="1:3" ht="16.5" thickTop="1" thickBot="1">
      <c r="A33" s="18" t="s">
        <v>429</v>
      </c>
      <c r="B33" s="18" t="s">
        <v>45</v>
      </c>
      <c r="C33" s="18">
        <v>380</v>
      </c>
    </row>
    <row r="34" spans="1:3" ht="16.5" thickTop="1" thickBot="1">
      <c r="A34" s="18" t="s">
        <v>677</v>
      </c>
      <c r="B34" s="18" t="s">
        <v>45</v>
      </c>
      <c r="C34" s="18">
        <v>1600</v>
      </c>
    </row>
    <row r="35" spans="1:3" ht="16.5" thickTop="1" thickBot="1">
      <c r="A35" s="18" t="s">
        <v>679</v>
      </c>
      <c r="B35" s="18" t="s">
        <v>45</v>
      </c>
      <c r="C35" s="18">
        <v>960</v>
      </c>
    </row>
    <row r="36" spans="1:3" ht="16.5" thickTop="1" thickBot="1">
      <c r="A36" s="18" t="s">
        <v>664</v>
      </c>
      <c r="B36" s="18" t="s">
        <v>46</v>
      </c>
      <c r="C36" s="18">
        <v>47</v>
      </c>
    </row>
    <row r="37" spans="1:3" ht="16.5" thickTop="1" thickBot="1">
      <c r="A37" s="18" t="s">
        <v>678</v>
      </c>
      <c r="B37" s="18" t="s">
        <v>46</v>
      </c>
      <c r="C37" s="18">
        <v>400</v>
      </c>
    </row>
    <row r="38" spans="1:3" ht="16.5" thickTop="1" thickBot="1">
      <c r="A38" s="18" t="s">
        <v>372</v>
      </c>
      <c r="B38" s="18" t="s">
        <v>745</v>
      </c>
      <c r="C38" s="18">
        <v>58</v>
      </c>
    </row>
    <row r="39" spans="1:3" ht="16.5" thickTop="1" thickBot="1">
      <c r="A39" s="18" t="s">
        <v>608</v>
      </c>
      <c r="B39" s="18" t="s">
        <v>745</v>
      </c>
      <c r="C39" s="18">
        <v>115</v>
      </c>
    </row>
    <row r="40" spans="1:3" ht="16.5" thickTop="1" thickBot="1">
      <c r="A40" s="18" t="s">
        <v>413</v>
      </c>
      <c r="B40" s="18" t="s">
        <v>745</v>
      </c>
      <c r="C40" s="18">
        <v>160</v>
      </c>
    </row>
    <row r="41" spans="1:3" ht="16.5" thickTop="1" thickBot="1">
      <c r="A41" s="18" t="s">
        <v>421</v>
      </c>
      <c r="B41" s="18" t="s">
        <v>745</v>
      </c>
      <c r="C41" s="18">
        <v>60</v>
      </c>
    </row>
    <row r="42" spans="1:3" ht="16.5" thickTop="1" thickBot="1">
      <c r="A42" s="18" t="s">
        <v>536</v>
      </c>
      <c r="B42" s="18" t="s">
        <v>745</v>
      </c>
      <c r="C42" s="18">
        <v>430</v>
      </c>
    </row>
    <row r="43" spans="1:3" ht="16.5" thickTop="1" thickBot="1">
      <c r="A43" s="18" t="s">
        <v>391</v>
      </c>
      <c r="B43" s="18" t="s">
        <v>745</v>
      </c>
      <c r="C43" s="18">
        <v>120</v>
      </c>
    </row>
    <row r="44" spans="1:3" ht="16.5" thickTop="1" thickBot="1">
      <c r="A44" s="18" t="s">
        <v>647</v>
      </c>
      <c r="B44" s="18" t="s">
        <v>49</v>
      </c>
      <c r="C44" s="18">
        <v>699</v>
      </c>
    </row>
    <row r="45" spans="1:3" ht="16.5" thickTop="1" thickBot="1">
      <c r="A45" s="18" t="s">
        <v>648</v>
      </c>
      <c r="B45" s="18" t="s">
        <v>49</v>
      </c>
      <c r="C45" s="18">
        <v>750</v>
      </c>
    </row>
    <row r="46" spans="1:3" ht="16.5" thickTop="1" thickBot="1">
      <c r="A46" s="18" t="s">
        <v>328</v>
      </c>
      <c r="B46" s="18" t="s">
        <v>444</v>
      </c>
      <c r="C46" s="18">
        <v>16</v>
      </c>
    </row>
    <row r="47" spans="1:3" ht="16.5" thickTop="1" thickBot="1">
      <c r="A47" s="18" t="s">
        <v>328</v>
      </c>
      <c r="B47" s="18" t="s">
        <v>444</v>
      </c>
      <c r="C47" s="18">
        <v>63</v>
      </c>
    </row>
    <row r="48" spans="1:3" ht="16.5" thickTop="1" thickBot="1">
      <c r="A48" s="18" t="s">
        <v>671</v>
      </c>
      <c r="B48" s="18" t="s">
        <v>49</v>
      </c>
      <c r="C48" s="18">
        <v>200</v>
      </c>
    </row>
    <row r="49" spans="1:3" ht="16.5" thickTop="1" thickBot="1">
      <c r="A49" s="18" t="s">
        <v>328</v>
      </c>
      <c r="B49" s="18" t="s">
        <v>444</v>
      </c>
      <c r="C49" s="18">
        <v>20</v>
      </c>
    </row>
    <row r="50" spans="1:3" ht="16.5" thickTop="1" thickBot="1">
      <c r="A50" s="18" t="s">
        <v>672</v>
      </c>
      <c r="B50" s="18" t="s">
        <v>444</v>
      </c>
      <c r="C50" s="18">
        <v>70</v>
      </c>
    </row>
    <row r="51" spans="1:3" ht="16.5" thickTop="1" thickBot="1">
      <c r="A51" s="18" t="s">
        <v>657</v>
      </c>
      <c r="B51" s="18" t="s">
        <v>48</v>
      </c>
      <c r="C51" s="18">
        <v>800</v>
      </c>
    </row>
    <row r="52" spans="1:3" ht="16.5" thickTop="1" thickBot="1">
      <c r="A52" s="18"/>
      <c r="B52" s="18"/>
      <c r="C52" s="18"/>
    </row>
    <row r="53" spans="1:3" ht="16.5" thickTop="1" thickBot="1">
      <c r="A53" s="18"/>
      <c r="B53" s="18"/>
      <c r="C53" s="18"/>
    </row>
    <row r="54" spans="1:3" ht="16.5" thickTop="1" thickBot="1">
      <c r="A54" s="18"/>
      <c r="B54" s="18"/>
      <c r="C54" s="18"/>
    </row>
    <row r="55" spans="1:3" ht="16.5" thickTop="1" thickBot="1">
      <c r="A55" s="18"/>
      <c r="B55" s="18"/>
      <c r="C55" s="18"/>
    </row>
    <row r="56" spans="1:3" ht="16.5" thickTop="1" thickBot="1">
      <c r="A56" s="18"/>
      <c r="B56" s="18"/>
      <c r="C56" s="18"/>
    </row>
    <row r="57" spans="1:3" ht="16.5" thickTop="1" thickBot="1">
      <c r="A57" s="18"/>
      <c r="B57" s="18"/>
      <c r="C57" s="18"/>
    </row>
    <row r="58" spans="1:3" ht="16.5" thickTop="1" thickBot="1">
      <c r="A58" s="18"/>
      <c r="B58" s="18"/>
      <c r="C58" s="18"/>
    </row>
    <row r="59" spans="1:3" ht="16.5" thickTop="1" thickBot="1">
      <c r="A59" s="18"/>
      <c r="B59" s="18"/>
      <c r="C59" s="18"/>
    </row>
    <row r="60" spans="1:3" ht="16.5" thickTop="1" thickBot="1">
      <c r="A60" s="18"/>
      <c r="B60" s="18"/>
      <c r="C60" s="18"/>
    </row>
    <row r="61" spans="1:3" ht="16.5" thickTop="1" thickBot="1">
      <c r="A61" s="18"/>
      <c r="B61" s="18"/>
      <c r="C61" s="18"/>
    </row>
    <row r="62" spans="1:3" ht="15.75" thickTop="1"/>
  </sheetData>
  <sortState xmlns:xlrd2="http://schemas.microsoft.com/office/spreadsheetml/2017/richdata2" ref="A2:C63">
    <sortCondition descending="1" ref="B1:B63"/>
  </sortState>
  <dataValidations count="2">
    <dataValidation type="list" allowBlank="1" showInputMessage="1" showErrorMessage="1" sqref="B53:B61" xr:uid="{1279CB41-FE1E-439E-A776-68E287DFFDB2}">
      <formula1>"猫砂,猫粮,零食,药,日用品,买猫,其它"</formula1>
    </dataValidation>
    <dataValidation type="list" allowBlank="1" showInputMessage="1" showErrorMessage="1" sqref="B2:B52" xr:uid="{4C4362C4-567C-42B2-BA48-E6C6B03DFB1D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FC6B-292A-4D5F-BC46-778D9D866F48}">
  <sheetPr codeName="Sheet26"/>
  <dimension ref="A1:F42"/>
  <sheetViews>
    <sheetView workbookViewId="0">
      <selection activeCell="D15" sqref="D15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538</v>
      </c>
      <c r="B2" s="18" t="s">
        <v>47</v>
      </c>
      <c r="C2" s="18">
        <v>100</v>
      </c>
      <c r="E2" s="13" t="s">
        <v>1</v>
      </c>
      <c r="F2" s="13">
        <f t="shared" ref="F2:F12" si="0">SUMIF(B:B,E2,C:C)</f>
        <v>1331</v>
      </c>
    </row>
    <row r="3" spans="1:6" ht="16.5" thickTop="1" thickBot="1">
      <c r="A3" s="18" t="s">
        <v>604</v>
      </c>
      <c r="B3" s="18" t="s">
        <v>47</v>
      </c>
      <c r="C3" s="18">
        <v>100</v>
      </c>
      <c r="E3" s="13" t="s">
        <v>2</v>
      </c>
      <c r="F3" s="13">
        <f t="shared" si="0"/>
        <v>2061</v>
      </c>
    </row>
    <row r="4" spans="1:6" ht="16.5" thickTop="1" thickBot="1">
      <c r="A4" s="18" t="s">
        <v>538</v>
      </c>
      <c r="B4" s="18" t="s">
        <v>47</v>
      </c>
      <c r="C4" s="18">
        <v>100</v>
      </c>
      <c r="E4" s="13" t="s">
        <v>3</v>
      </c>
      <c r="F4" s="13">
        <f t="shared" si="0"/>
        <v>370</v>
      </c>
    </row>
    <row r="5" spans="1:6" ht="16.5" thickTop="1" thickBot="1">
      <c r="A5" s="18" t="s">
        <v>538</v>
      </c>
      <c r="B5" s="18" t="s">
        <v>47</v>
      </c>
      <c r="C5" s="18">
        <v>60</v>
      </c>
      <c r="E5" s="13" t="s">
        <v>745</v>
      </c>
      <c r="F5" s="13">
        <f t="shared" si="0"/>
        <v>47</v>
      </c>
    </row>
    <row r="6" spans="1:6" ht="16.5" thickTop="1" thickBot="1">
      <c r="A6" s="18" t="s">
        <v>607</v>
      </c>
      <c r="B6" s="18" t="s">
        <v>47</v>
      </c>
      <c r="C6" s="18">
        <v>10</v>
      </c>
      <c r="E6" s="13" t="s">
        <v>375</v>
      </c>
      <c r="F6" s="13">
        <f t="shared" si="0"/>
        <v>0</v>
      </c>
    </row>
    <row r="7" spans="1:6" ht="16.5" thickTop="1" thickBot="1">
      <c r="A7" s="18" t="s">
        <v>446</v>
      </c>
      <c r="B7" s="18" t="s">
        <v>743</v>
      </c>
      <c r="C7" s="18">
        <v>45</v>
      </c>
      <c r="E7" s="13" t="s">
        <v>743</v>
      </c>
      <c r="F7" s="13">
        <f t="shared" si="0"/>
        <v>1256</v>
      </c>
    </row>
    <row r="8" spans="1:6" ht="16.5" thickTop="1" thickBot="1">
      <c r="A8" s="18" t="s">
        <v>490</v>
      </c>
      <c r="B8" s="18" t="s">
        <v>743</v>
      </c>
      <c r="C8" s="18">
        <v>100</v>
      </c>
      <c r="E8" s="13" t="s">
        <v>746</v>
      </c>
      <c r="F8" s="13">
        <f t="shared" si="0"/>
        <v>0</v>
      </c>
    </row>
    <row r="9" spans="1:6" ht="16.5" thickTop="1" thickBot="1">
      <c r="A9" s="18" t="s">
        <v>603</v>
      </c>
      <c r="B9" s="18" t="s">
        <v>744</v>
      </c>
      <c r="C9" s="18">
        <v>60</v>
      </c>
      <c r="E9" s="13" t="s">
        <v>744</v>
      </c>
      <c r="F9" s="13">
        <f t="shared" si="0"/>
        <v>213</v>
      </c>
    </row>
    <row r="10" spans="1:6" ht="16.5" thickTop="1" thickBot="1">
      <c r="A10" s="18" t="s">
        <v>606</v>
      </c>
      <c r="B10" s="18" t="s">
        <v>743</v>
      </c>
      <c r="C10" s="18">
        <v>55</v>
      </c>
      <c r="E10" s="13" t="s">
        <v>444</v>
      </c>
      <c r="F10" s="13">
        <f t="shared" si="0"/>
        <v>230</v>
      </c>
    </row>
    <row r="11" spans="1:6" ht="16.5" thickTop="1" thickBot="1">
      <c r="A11" s="18" t="s">
        <v>613</v>
      </c>
      <c r="B11" s="18" t="s">
        <v>743</v>
      </c>
      <c r="C11" s="18">
        <v>180</v>
      </c>
      <c r="E11" s="13" t="s">
        <v>48</v>
      </c>
      <c r="F11" s="13">
        <f t="shared" si="0"/>
        <v>0</v>
      </c>
    </row>
    <row r="12" spans="1:6" ht="16.5" thickTop="1" thickBot="1">
      <c r="A12" s="18" t="s">
        <v>614</v>
      </c>
      <c r="B12" s="18" t="s">
        <v>743</v>
      </c>
      <c r="C12" s="18">
        <v>20</v>
      </c>
      <c r="E12" s="13" t="s">
        <v>49</v>
      </c>
      <c r="F12" s="13">
        <f t="shared" si="0"/>
        <v>115</v>
      </c>
    </row>
    <row r="13" spans="1:6" ht="16.5" thickTop="1" thickBot="1">
      <c r="A13" s="18" t="s">
        <v>615</v>
      </c>
      <c r="B13" s="18" t="s">
        <v>744</v>
      </c>
      <c r="C13" s="18">
        <v>28</v>
      </c>
      <c r="E13" s="13" t="s">
        <v>408</v>
      </c>
      <c r="F13" s="13">
        <f>SUM(F2:F12)</f>
        <v>5623</v>
      </c>
    </row>
    <row r="14" spans="1:6" ht="16.5" thickTop="1" thickBot="1">
      <c r="A14" s="18" t="s">
        <v>330</v>
      </c>
      <c r="B14" s="18" t="s">
        <v>744</v>
      </c>
      <c r="C14" s="18">
        <v>14</v>
      </c>
    </row>
    <row r="15" spans="1:6" ht="16.5" thickTop="1" thickBot="1">
      <c r="A15" s="18" t="s">
        <v>332</v>
      </c>
      <c r="B15" s="18" t="s">
        <v>743</v>
      </c>
      <c r="C15" s="18">
        <v>90</v>
      </c>
    </row>
    <row r="16" spans="1:6" ht="16.5" thickTop="1" thickBot="1">
      <c r="A16" s="18">
        <v>441</v>
      </c>
      <c r="B16" s="18" t="s">
        <v>743</v>
      </c>
      <c r="C16" s="18">
        <v>360</v>
      </c>
    </row>
    <row r="17" spans="1:3" ht="16.5" thickTop="1" thickBot="1">
      <c r="A17" s="18" t="s">
        <v>620</v>
      </c>
      <c r="B17" s="18" t="s">
        <v>744</v>
      </c>
      <c r="C17" s="18">
        <v>31</v>
      </c>
    </row>
    <row r="18" spans="1:3" ht="16.5" thickTop="1" thickBot="1">
      <c r="A18" s="18" t="s">
        <v>621</v>
      </c>
      <c r="B18" s="18" t="s">
        <v>743</v>
      </c>
      <c r="C18" s="18">
        <v>130</v>
      </c>
    </row>
    <row r="19" spans="1:3" ht="16.5" thickTop="1" thickBot="1">
      <c r="A19" s="18" t="s">
        <v>622</v>
      </c>
      <c r="B19" s="18" t="s">
        <v>743</v>
      </c>
      <c r="C19" s="18">
        <v>120</v>
      </c>
    </row>
    <row r="20" spans="1:3" ht="16.5" thickTop="1" thickBot="1">
      <c r="A20" s="18" t="s">
        <v>602</v>
      </c>
      <c r="B20" s="18" t="s">
        <v>45</v>
      </c>
      <c r="C20" s="18">
        <v>900</v>
      </c>
    </row>
    <row r="21" spans="1:3" ht="16.5" thickTop="1" thickBot="1">
      <c r="A21" s="18" t="s">
        <v>605</v>
      </c>
      <c r="B21" s="18" t="s">
        <v>45</v>
      </c>
      <c r="C21" s="18">
        <v>390</v>
      </c>
    </row>
    <row r="22" spans="1:3" ht="16.5" thickTop="1" thickBot="1">
      <c r="A22" s="18" t="s">
        <v>616</v>
      </c>
      <c r="B22" s="18" t="s">
        <v>45</v>
      </c>
      <c r="C22" s="18">
        <v>41</v>
      </c>
    </row>
    <row r="23" spans="1:3" ht="16.5" thickTop="1" thickBot="1">
      <c r="A23" s="18" t="s">
        <v>46</v>
      </c>
      <c r="B23" s="18" t="s">
        <v>46</v>
      </c>
      <c r="C23" s="18">
        <v>780</v>
      </c>
    </row>
    <row r="24" spans="1:3" ht="16.5" thickTop="1" thickBot="1">
      <c r="A24" s="18" t="s">
        <v>617</v>
      </c>
      <c r="B24" s="18" t="s">
        <v>46</v>
      </c>
      <c r="C24" s="18">
        <v>47</v>
      </c>
    </row>
    <row r="25" spans="1:3" ht="16.5" thickTop="1" thickBot="1">
      <c r="A25" s="18" t="s">
        <v>618</v>
      </c>
      <c r="B25" s="18" t="s">
        <v>46</v>
      </c>
      <c r="C25" s="18">
        <v>47</v>
      </c>
    </row>
    <row r="26" spans="1:3" ht="16.5" thickTop="1" thickBot="1">
      <c r="A26" s="18" t="s">
        <v>619</v>
      </c>
      <c r="B26" s="18" t="s">
        <v>46</v>
      </c>
      <c r="C26" s="18">
        <v>47</v>
      </c>
    </row>
    <row r="27" spans="1:3" ht="16.5" thickTop="1" thickBot="1">
      <c r="A27" s="18" t="s">
        <v>46</v>
      </c>
      <c r="B27" s="18" t="s">
        <v>46</v>
      </c>
      <c r="C27" s="18">
        <v>1140</v>
      </c>
    </row>
    <row r="28" spans="1:3" ht="16.5" thickTop="1" thickBot="1">
      <c r="A28" s="18" t="s">
        <v>608</v>
      </c>
      <c r="B28" s="18" t="s">
        <v>745</v>
      </c>
      <c r="C28" s="18">
        <v>20</v>
      </c>
    </row>
    <row r="29" spans="1:3" ht="16.5" thickTop="1" thickBot="1">
      <c r="A29" s="18" t="s">
        <v>325</v>
      </c>
      <c r="B29" s="18" t="s">
        <v>444</v>
      </c>
      <c r="C29" s="18">
        <v>215</v>
      </c>
    </row>
    <row r="30" spans="1:3" ht="16.5" thickTop="1" thickBot="1">
      <c r="A30" s="18" t="s">
        <v>333</v>
      </c>
      <c r="B30" s="18" t="s">
        <v>745</v>
      </c>
      <c r="C30" s="18">
        <v>27</v>
      </c>
    </row>
    <row r="31" spans="1:3" ht="16.5" thickTop="1" thickBot="1">
      <c r="A31" s="18" t="s">
        <v>328</v>
      </c>
      <c r="B31" s="18" t="s">
        <v>444</v>
      </c>
      <c r="C31" s="18">
        <v>15</v>
      </c>
    </row>
    <row r="32" spans="1:3" ht="16.5" thickTop="1" thickBot="1">
      <c r="A32" s="18" t="s">
        <v>630</v>
      </c>
      <c r="B32" s="18" t="s">
        <v>744</v>
      </c>
      <c r="C32" s="18">
        <v>80</v>
      </c>
    </row>
    <row r="33" spans="1:3" ht="16.5" thickTop="1" thickBot="1">
      <c r="A33" s="18" t="s">
        <v>623</v>
      </c>
      <c r="B33" s="18" t="s">
        <v>49</v>
      </c>
      <c r="C33" s="18">
        <v>5</v>
      </c>
    </row>
    <row r="34" spans="1:3" ht="16.5" thickTop="1" thickBot="1">
      <c r="A34" s="18" t="s">
        <v>624</v>
      </c>
      <c r="B34" s="18" t="s">
        <v>49</v>
      </c>
      <c r="C34" s="18">
        <v>20</v>
      </c>
    </row>
    <row r="35" spans="1:3" ht="16.5" thickTop="1" thickBot="1">
      <c r="A35" s="18" t="s">
        <v>625</v>
      </c>
      <c r="B35" s="18" t="s">
        <v>49</v>
      </c>
      <c r="C35" s="18">
        <v>90</v>
      </c>
    </row>
    <row r="36" spans="1:3" ht="16.5" thickTop="1" thickBot="1">
      <c r="A36" s="18" t="s">
        <v>412</v>
      </c>
      <c r="B36" s="18" t="s">
        <v>743</v>
      </c>
      <c r="C36" s="18">
        <v>108</v>
      </c>
    </row>
    <row r="37" spans="1:3" ht="16.5" thickTop="1" thickBot="1">
      <c r="A37" s="18" t="s">
        <v>626</v>
      </c>
      <c r="B37" s="18" t="s">
        <v>743</v>
      </c>
      <c r="C37" s="18">
        <v>48</v>
      </c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sortState xmlns:xlrd2="http://schemas.microsoft.com/office/spreadsheetml/2017/richdata2" ref="A2:C43">
    <sortCondition descending="1" ref="B1:B43"/>
  </sortState>
  <dataValidations count="2">
    <dataValidation type="list" allowBlank="1" showInputMessage="1" showErrorMessage="1" sqref="B39:B41" xr:uid="{BDFC7CC7-66B9-4D38-8601-3C33F7D12385}">
      <formula1>"猫砂,猫粮,零食,药,日用品,买猫,其它"</formula1>
    </dataValidation>
    <dataValidation type="list" allowBlank="1" showInputMessage="1" showErrorMessage="1" sqref="B2:B38" xr:uid="{695A6B04-4DF3-40E1-A651-ADD76F82CB52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19533-FF3A-4DA1-B3F1-DF2A3C8E3948}">
  <sheetPr codeName="Sheet27"/>
  <dimension ref="A1:F43"/>
  <sheetViews>
    <sheetView workbookViewId="0">
      <selection activeCell="D15" sqref="D15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583</v>
      </c>
      <c r="B2" s="18" t="s">
        <v>47</v>
      </c>
      <c r="C2" s="18">
        <v>36</v>
      </c>
      <c r="E2" s="13" t="s">
        <v>1</v>
      </c>
      <c r="F2" s="13">
        <f t="shared" ref="F2:F12" si="0">SUMIF(B:B,E2,C:C)</f>
        <v>4260</v>
      </c>
    </row>
    <row r="3" spans="1:6" ht="16.5" thickTop="1" thickBot="1">
      <c r="A3" s="18" t="s">
        <v>586</v>
      </c>
      <c r="B3" s="18" t="s">
        <v>47</v>
      </c>
      <c r="C3" s="18">
        <v>18</v>
      </c>
      <c r="E3" s="13" t="s">
        <v>2</v>
      </c>
      <c r="F3" s="13">
        <f t="shared" si="0"/>
        <v>840</v>
      </c>
    </row>
    <row r="4" spans="1:6" ht="16.5" thickTop="1" thickBot="1">
      <c r="A4" s="18" t="s">
        <v>573</v>
      </c>
      <c r="B4" s="18" t="s">
        <v>743</v>
      </c>
      <c r="C4" s="18">
        <v>120</v>
      </c>
      <c r="E4" s="13" t="s">
        <v>3</v>
      </c>
      <c r="F4" s="13">
        <f t="shared" si="0"/>
        <v>54</v>
      </c>
    </row>
    <row r="5" spans="1:6" ht="16.5" thickTop="1" thickBot="1">
      <c r="A5" s="18">
        <v>441</v>
      </c>
      <c r="B5" s="18" t="s">
        <v>744</v>
      </c>
      <c r="C5" s="18">
        <v>760</v>
      </c>
      <c r="E5" s="13" t="s">
        <v>745</v>
      </c>
      <c r="F5" s="13">
        <f t="shared" si="0"/>
        <v>348</v>
      </c>
    </row>
    <row r="6" spans="1:6" ht="16.5" thickTop="1" thickBot="1">
      <c r="A6" s="18" t="s">
        <v>576</v>
      </c>
      <c r="B6" s="18" t="s">
        <v>744</v>
      </c>
      <c r="C6" s="18">
        <v>156</v>
      </c>
      <c r="E6" s="13" t="s">
        <v>375</v>
      </c>
      <c r="F6" s="13">
        <f t="shared" si="0"/>
        <v>1083</v>
      </c>
    </row>
    <row r="7" spans="1:6" ht="16.5" thickTop="1" thickBot="1">
      <c r="A7" s="18" t="s">
        <v>380</v>
      </c>
      <c r="B7" s="18" t="s">
        <v>375</v>
      </c>
      <c r="C7" s="18">
        <v>125</v>
      </c>
      <c r="E7" s="13" t="s">
        <v>743</v>
      </c>
      <c r="F7" s="13">
        <f t="shared" si="0"/>
        <v>372</v>
      </c>
    </row>
    <row r="8" spans="1:6" ht="16.5" thickTop="1" thickBot="1">
      <c r="A8" s="18" t="s">
        <v>577</v>
      </c>
      <c r="B8" s="18" t="s">
        <v>743</v>
      </c>
      <c r="C8" s="18">
        <v>70</v>
      </c>
      <c r="E8" s="13" t="s">
        <v>746</v>
      </c>
      <c r="F8" s="13">
        <f t="shared" si="0"/>
        <v>490</v>
      </c>
    </row>
    <row r="9" spans="1:6" ht="16.5" thickTop="1" thickBot="1">
      <c r="A9" s="18" t="s">
        <v>578</v>
      </c>
      <c r="B9" s="18" t="s">
        <v>743</v>
      </c>
      <c r="C9" s="18">
        <v>150</v>
      </c>
      <c r="E9" s="13" t="s">
        <v>744</v>
      </c>
      <c r="F9" s="13">
        <f t="shared" si="0"/>
        <v>2602</v>
      </c>
    </row>
    <row r="10" spans="1:6" ht="16.5" thickTop="1" thickBot="1">
      <c r="A10" s="18" t="s">
        <v>579</v>
      </c>
      <c r="B10" s="18" t="s">
        <v>743</v>
      </c>
      <c r="C10" s="18">
        <v>32</v>
      </c>
      <c r="E10" s="13" t="s">
        <v>444</v>
      </c>
      <c r="F10" s="13">
        <f t="shared" si="0"/>
        <v>222</v>
      </c>
    </row>
    <row r="11" spans="1:6" ht="16.5" thickTop="1" thickBot="1">
      <c r="A11" s="18">
        <v>441</v>
      </c>
      <c r="B11" s="18" t="s">
        <v>744</v>
      </c>
      <c r="C11" s="18">
        <v>760</v>
      </c>
      <c r="E11" s="13" t="s">
        <v>48</v>
      </c>
      <c r="F11" s="13">
        <f t="shared" si="0"/>
        <v>0</v>
      </c>
    </row>
    <row r="12" spans="1:6" ht="16.5" thickTop="1" thickBot="1">
      <c r="A12" s="18" t="s">
        <v>580</v>
      </c>
      <c r="B12" s="18" t="s">
        <v>744</v>
      </c>
      <c r="C12" s="18">
        <v>176</v>
      </c>
      <c r="E12" s="13" t="s">
        <v>49</v>
      </c>
      <c r="F12" s="13">
        <f t="shared" si="0"/>
        <v>471</v>
      </c>
    </row>
    <row r="13" spans="1:6" ht="16.5" thickTop="1" thickBot="1">
      <c r="A13" s="18">
        <v>441</v>
      </c>
      <c r="B13" s="18" t="s">
        <v>744</v>
      </c>
      <c r="C13" s="18">
        <v>680</v>
      </c>
      <c r="E13" s="13" t="s">
        <v>408</v>
      </c>
      <c r="F13" s="13">
        <f>SUM(F2:F12)</f>
        <v>10742</v>
      </c>
    </row>
    <row r="14" spans="1:6" ht="16.5" thickTop="1" thickBot="1">
      <c r="A14" s="18" t="s">
        <v>587</v>
      </c>
      <c r="B14" s="18" t="s">
        <v>744</v>
      </c>
      <c r="C14" s="18">
        <v>70</v>
      </c>
      <c r="E14" s="4"/>
      <c r="F14" s="4"/>
    </row>
    <row r="15" spans="1:6" ht="16.5" thickTop="1" thickBot="1">
      <c r="A15" s="18" t="s">
        <v>588</v>
      </c>
      <c r="B15" s="18" t="s">
        <v>746</v>
      </c>
      <c r="C15" s="18">
        <v>490</v>
      </c>
    </row>
    <row r="16" spans="1:6" ht="16.5" thickTop="1" thickBot="1">
      <c r="A16" s="18" t="s">
        <v>375</v>
      </c>
      <c r="B16" s="18" t="s">
        <v>375</v>
      </c>
      <c r="C16" s="18">
        <v>958</v>
      </c>
    </row>
    <row r="17" spans="1:3" ht="16.5" thickTop="1" thickBot="1">
      <c r="A17" s="18" t="s">
        <v>45</v>
      </c>
      <c r="B17" s="18" t="s">
        <v>45</v>
      </c>
      <c r="C17" s="18">
        <v>4260</v>
      </c>
    </row>
    <row r="18" spans="1:3" ht="16.5" thickTop="1" thickBot="1">
      <c r="A18" s="18" t="s">
        <v>46</v>
      </c>
      <c r="B18" s="18" t="s">
        <v>46</v>
      </c>
      <c r="C18" s="18">
        <v>460</v>
      </c>
    </row>
    <row r="19" spans="1:3" ht="16.5" thickTop="1" thickBot="1">
      <c r="A19" s="18" t="s">
        <v>46</v>
      </c>
      <c r="B19" s="18" t="s">
        <v>46</v>
      </c>
      <c r="C19" s="18">
        <v>380</v>
      </c>
    </row>
    <row r="20" spans="1:3" ht="16.5" thickTop="1" thickBot="1">
      <c r="A20" s="18" t="s">
        <v>413</v>
      </c>
      <c r="B20" s="18" t="s">
        <v>745</v>
      </c>
      <c r="C20" s="18">
        <v>160</v>
      </c>
    </row>
    <row r="21" spans="1:3" ht="16.5" thickTop="1" thickBot="1">
      <c r="A21" s="18" t="s">
        <v>572</v>
      </c>
      <c r="B21" s="18" t="s">
        <v>745</v>
      </c>
      <c r="C21" s="18">
        <v>150</v>
      </c>
    </row>
    <row r="22" spans="1:3" ht="16.5" thickTop="1" thickBot="1">
      <c r="A22" s="18" t="s">
        <v>574</v>
      </c>
      <c r="B22" s="18" t="s">
        <v>745</v>
      </c>
      <c r="C22" s="18">
        <v>12</v>
      </c>
    </row>
    <row r="23" spans="1:3" ht="16.5" thickTop="1" thickBot="1">
      <c r="A23" s="18" t="s">
        <v>321</v>
      </c>
      <c r="B23" s="18" t="s">
        <v>49</v>
      </c>
      <c r="C23" s="18">
        <v>54</v>
      </c>
    </row>
    <row r="24" spans="1:3" ht="16.5" thickTop="1" thickBot="1">
      <c r="A24" s="18" t="s">
        <v>568</v>
      </c>
      <c r="B24" s="18" t="s">
        <v>49</v>
      </c>
      <c r="C24" s="18">
        <v>26</v>
      </c>
    </row>
    <row r="25" spans="1:3" ht="16.5" thickTop="1" thickBot="1">
      <c r="A25" s="18" t="s">
        <v>569</v>
      </c>
      <c r="B25" s="18" t="s">
        <v>49</v>
      </c>
      <c r="C25" s="18">
        <v>18</v>
      </c>
    </row>
    <row r="26" spans="1:3" ht="16.5" thickTop="1" thickBot="1">
      <c r="A26" s="18" t="s">
        <v>570</v>
      </c>
      <c r="B26" s="18" t="s">
        <v>49</v>
      </c>
      <c r="C26" s="18">
        <v>20</v>
      </c>
    </row>
    <row r="27" spans="1:3" ht="16.5" thickTop="1" thickBot="1">
      <c r="A27" s="18" t="s">
        <v>571</v>
      </c>
      <c r="B27" s="18" t="s">
        <v>49</v>
      </c>
      <c r="C27" s="18">
        <v>20</v>
      </c>
    </row>
    <row r="28" spans="1:3" ht="16.5" thickTop="1" thickBot="1">
      <c r="A28" s="18" t="s">
        <v>575</v>
      </c>
      <c r="B28" s="18" t="s">
        <v>49</v>
      </c>
      <c r="C28" s="18">
        <v>220</v>
      </c>
    </row>
    <row r="29" spans="1:3" ht="16.5" thickTop="1" thickBot="1">
      <c r="A29" s="18" t="s">
        <v>325</v>
      </c>
      <c r="B29" s="18" t="s">
        <v>444</v>
      </c>
      <c r="C29" s="18">
        <v>52</v>
      </c>
    </row>
    <row r="30" spans="1:3" ht="16.5" thickTop="1" thickBot="1">
      <c r="A30" s="18" t="s">
        <v>581</v>
      </c>
      <c r="B30" s="18" t="s">
        <v>745</v>
      </c>
      <c r="C30" s="18">
        <v>26</v>
      </c>
    </row>
    <row r="31" spans="1:3" ht="16.5" thickTop="1" thickBot="1">
      <c r="A31" s="18" t="s">
        <v>582</v>
      </c>
      <c r="B31" s="18" t="s">
        <v>49</v>
      </c>
      <c r="C31" s="18">
        <v>40</v>
      </c>
    </row>
    <row r="32" spans="1:3" ht="16.5" thickTop="1" thickBot="1">
      <c r="A32" s="18" t="s">
        <v>484</v>
      </c>
      <c r="B32" s="18" t="s">
        <v>444</v>
      </c>
      <c r="C32" s="18">
        <v>170</v>
      </c>
    </row>
    <row r="33" spans="1:3" ht="16.5" thickTop="1" thickBot="1">
      <c r="A33" s="18" t="s">
        <v>584</v>
      </c>
      <c r="B33" s="18" t="s">
        <v>49</v>
      </c>
      <c r="C33" s="18">
        <v>23</v>
      </c>
    </row>
    <row r="34" spans="1:3" ht="16.5" thickTop="1" thickBot="1">
      <c r="A34" s="18" t="s">
        <v>585</v>
      </c>
      <c r="B34" s="18" t="s">
        <v>49</v>
      </c>
      <c r="C34" s="18">
        <v>50</v>
      </c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6.5" thickTop="1" thickBot="1">
      <c r="A42" s="18"/>
      <c r="B42" s="18"/>
      <c r="C42" s="18"/>
    </row>
    <row r="43" spans="1:3" ht="15.75" thickTop="1"/>
  </sheetData>
  <sortState xmlns:xlrd2="http://schemas.microsoft.com/office/spreadsheetml/2017/richdata2" ref="A2:C45">
    <sortCondition descending="1" ref="B1:B45"/>
  </sortState>
  <dataValidations count="2">
    <dataValidation type="list" allowBlank="1" showInputMessage="1" showErrorMessage="1" sqref="B36:B42" xr:uid="{0E84D058-74B8-400A-AC66-70A366211B64}">
      <formula1>"猫砂,猫粮,零食,药,日用品,买猫,其它"</formula1>
    </dataValidation>
    <dataValidation type="list" allowBlank="1" showInputMessage="1" showErrorMessage="1" sqref="B2:B35" xr:uid="{A3BA4C9A-08D1-42EC-BDDF-A467C6B4C651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1A317-FABE-4BA1-AB04-93C3E0FB44AC}">
  <sheetPr codeName="Sheet28"/>
  <dimension ref="A1:F42"/>
  <sheetViews>
    <sheetView workbookViewId="0">
      <selection activeCell="D15" sqref="D15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538</v>
      </c>
      <c r="B2" s="18" t="s">
        <v>47</v>
      </c>
      <c r="C2" s="18">
        <v>280</v>
      </c>
      <c r="E2" s="13" t="s">
        <v>1</v>
      </c>
      <c r="F2" s="13">
        <f t="shared" ref="F2:F12" si="0">SUMIF(B:B,E2,C:C)</f>
        <v>680</v>
      </c>
    </row>
    <row r="3" spans="1:6" ht="16.5" thickTop="1" thickBot="1">
      <c r="A3" s="18" t="s">
        <v>538</v>
      </c>
      <c r="B3" s="18" t="s">
        <v>47</v>
      </c>
      <c r="C3" s="18">
        <v>100</v>
      </c>
      <c r="E3" s="13" t="s">
        <v>2</v>
      </c>
      <c r="F3" s="13">
        <f t="shared" si="0"/>
        <v>0</v>
      </c>
    </row>
    <row r="4" spans="1:6" ht="16.5" thickTop="1" thickBot="1">
      <c r="A4" s="18" t="s">
        <v>534</v>
      </c>
      <c r="B4" s="18" t="s">
        <v>743</v>
      </c>
      <c r="C4" s="18">
        <v>250</v>
      </c>
      <c r="E4" s="13" t="s">
        <v>3</v>
      </c>
      <c r="F4" s="13">
        <f t="shared" si="0"/>
        <v>380</v>
      </c>
    </row>
    <row r="5" spans="1:6" ht="16.5" thickTop="1" thickBot="1">
      <c r="A5" s="18">
        <v>441</v>
      </c>
      <c r="B5" s="18" t="s">
        <v>744</v>
      </c>
      <c r="C5" s="18">
        <v>600</v>
      </c>
      <c r="E5" s="13" t="s">
        <v>745</v>
      </c>
      <c r="F5" s="13">
        <f t="shared" si="0"/>
        <v>856</v>
      </c>
    </row>
    <row r="6" spans="1:6" ht="16.5" thickTop="1" thickBot="1">
      <c r="A6" s="18" t="s">
        <v>535</v>
      </c>
      <c r="B6" s="18" t="s">
        <v>743</v>
      </c>
      <c r="C6" s="18">
        <v>240</v>
      </c>
      <c r="E6" s="13" t="s">
        <v>375</v>
      </c>
      <c r="F6" s="13">
        <f t="shared" si="0"/>
        <v>80</v>
      </c>
    </row>
    <row r="7" spans="1:6" ht="16.5" thickTop="1" thickBot="1">
      <c r="A7" s="18" t="s">
        <v>495</v>
      </c>
      <c r="B7" s="18" t="s">
        <v>744</v>
      </c>
      <c r="C7" s="18">
        <v>120</v>
      </c>
      <c r="E7" s="13" t="s">
        <v>743</v>
      </c>
      <c r="F7" s="13">
        <f t="shared" si="0"/>
        <v>1060</v>
      </c>
    </row>
    <row r="8" spans="1:6" ht="16.5" thickTop="1" thickBot="1">
      <c r="A8" s="18">
        <v>441</v>
      </c>
      <c r="B8" s="18" t="s">
        <v>744</v>
      </c>
      <c r="C8" s="18">
        <v>400</v>
      </c>
      <c r="E8" s="13" t="s">
        <v>746</v>
      </c>
      <c r="F8" s="13">
        <f t="shared" si="0"/>
        <v>0</v>
      </c>
    </row>
    <row r="9" spans="1:6" ht="16.5" thickTop="1" thickBot="1">
      <c r="A9" s="18" t="s">
        <v>747</v>
      </c>
      <c r="B9" s="18" t="s">
        <v>743</v>
      </c>
      <c r="C9" s="18">
        <v>190</v>
      </c>
      <c r="E9" s="13" t="s">
        <v>744</v>
      </c>
      <c r="F9" s="13">
        <f t="shared" si="0"/>
        <v>2720</v>
      </c>
    </row>
    <row r="10" spans="1:6" ht="16.5" thickTop="1" thickBot="1">
      <c r="A10" s="18">
        <v>441</v>
      </c>
      <c r="B10" s="18" t="s">
        <v>744</v>
      </c>
      <c r="C10" s="18">
        <v>760</v>
      </c>
      <c r="E10" s="13" t="s">
        <v>444</v>
      </c>
      <c r="F10" s="13">
        <f t="shared" si="0"/>
        <v>0</v>
      </c>
    </row>
    <row r="11" spans="1:6" ht="16.5" thickTop="1" thickBot="1">
      <c r="A11" s="18" t="s">
        <v>537</v>
      </c>
      <c r="B11" s="18" t="s">
        <v>744</v>
      </c>
      <c r="C11" s="18">
        <v>80</v>
      </c>
      <c r="E11" s="13" t="s">
        <v>48</v>
      </c>
      <c r="F11" s="13">
        <f t="shared" si="0"/>
        <v>0</v>
      </c>
    </row>
    <row r="12" spans="1:6" ht="16.5" thickTop="1" thickBot="1">
      <c r="A12" s="18">
        <v>441</v>
      </c>
      <c r="B12" s="18" t="s">
        <v>744</v>
      </c>
      <c r="C12" s="18">
        <v>760</v>
      </c>
      <c r="E12" s="13" t="s">
        <v>49</v>
      </c>
      <c r="F12" s="13">
        <f t="shared" si="0"/>
        <v>209</v>
      </c>
    </row>
    <row r="13" spans="1:6" ht="16.5" thickTop="1" thickBot="1">
      <c r="A13" s="18" t="s">
        <v>50</v>
      </c>
      <c r="B13" s="18" t="s">
        <v>743</v>
      </c>
      <c r="C13" s="18">
        <v>190</v>
      </c>
      <c r="E13" s="13" t="s">
        <v>408</v>
      </c>
      <c r="F13" s="13">
        <f>SUM(F2:F12)</f>
        <v>5985</v>
      </c>
    </row>
    <row r="14" spans="1:6" ht="16.5" thickTop="1" thickBot="1">
      <c r="A14" s="18" t="s">
        <v>539</v>
      </c>
      <c r="B14" s="18" t="s">
        <v>743</v>
      </c>
      <c r="C14" s="18">
        <v>30</v>
      </c>
      <c r="E14" s="4"/>
      <c r="F14" s="4"/>
    </row>
    <row r="15" spans="1:6" ht="16.5" thickTop="1" thickBot="1">
      <c r="A15" s="18" t="s">
        <v>50</v>
      </c>
      <c r="B15" s="18" t="s">
        <v>743</v>
      </c>
      <c r="C15" s="18">
        <v>100</v>
      </c>
    </row>
    <row r="16" spans="1:6" ht="16.5" thickTop="1" thickBot="1">
      <c r="A16" s="18" t="s">
        <v>545</v>
      </c>
      <c r="B16" s="18" t="s">
        <v>743</v>
      </c>
      <c r="C16" s="18">
        <v>60</v>
      </c>
    </row>
    <row r="17" spans="1:3" ht="16.5" thickTop="1" thickBot="1">
      <c r="A17" s="18" t="s">
        <v>375</v>
      </c>
      <c r="B17" s="18" t="s">
        <v>375</v>
      </c>
      <c r="C17" s="18">
        <v>80</v>
      </c>
    </row>
    <row r="18" spans="1:3" ht="16.5" thickTop="1" thickBot="1">
      <c r="A18" s="18" t="s">
        <v>45</v>
      </c>
      <c r="B18" s="18" t="s">
        <v>45</v>
      </c>
      <c r="C18" s="18">
        <v>680</v>
      </c>
    </row>
    <row r="19" spans="1:3" ht="16.5" thickTop="1" thickBot="1">
      <c r="A19" s="18" t="s">
        <v>536</v>
      </c>
      <c r="B19" s="18" t="s">
        <v>745</v>
      </c>
      <c r="C19" s="18">
        <v>68</v>
      </c>
    </row>
    <row r="20" spans="1:3" ht="16.5" thickTop="1" thickBot="1">
      <c r="A20" s="18" t="s">
        <v>541</v>
      </c>
      <c r="B20" s="18" t="s">
        <v>745</v>
      </c>
      <c r="C20" s="18">
        <v>51</v>
      </c>
    </row>
    <row r="21" spans="1:3" ht="16.5" thickTop="1" thickBot="1">
      <c r="A21" s="18" t="s">
        <v>541</v>
      </c>
      <c r="B21" s="18" t="s">
        <v>745</v>
      </c>
      <c r="C21" s="18">
        <v>51</v>
      </c>
    </row>
    <row r="22" spans="1:3" ht="16.5" thickTop="1" thickBot="1">
      <c r="A22" s="18" t="s">
        <v>541</v>
      </c>
      <c r="B22" s="18" t="s">
        <v>745</v>
      </c>
      <c r="C22" s="18">
        <v>275</v>
      </c>
    </row>
    <row r="23" spans="1:3" ht="16.5" thickTop="1" thickBot="1">
      <c r="A23" s="18" t="s">
        <v>391</v>
      </c>
      <c r="B23" s="18" t="s">
        <v>745</v>
      </c>
      <c r="C23" s="18">
        <v>150</v>
      </c>
    </row>
    <row r="24" spans="1:3" ht="16.5" thickTop="1" thickBot="1">
      <c r="A24" s="18" t="s">
        <v>333</v>
      </c>
      <c r="B24" s="18" t="s">
        <v>745</v>
      </c>
      <c r="C24" s="18">
        <v>261</v>
      </c>
    </row>
    <row r="25" spans="1:3" ht="16.5" thickTop="1" thickBot="1">
      <c r="A25" s="18" t="s">
        <v>322</v>
      </c>
      <c r="B25" s="18" t="s">
        <v>49</v>
      </c>
      <c r="C25" s="18">
        <v>25</v>
      </c>
    </row>
    <row r="26" spans="1:3" ht="16.5" thickTop="1" thickBot="1">
      <c r="A26" s="18" t="s">
        <v>540</v>
      </c>
      <c r="B26" s="18" t="s">
        <v>49</v>
      </c>
      <c r="C26" s="18">
        <v>61</v>
      </c>
    </row>
    <row r="27" spans="1:3" ht="16.5" thickTop="1" thickBot="1">
      <c r="A27" s="18" t="s">
        <v>542</v>
      </c>
      <c r="B27" s="18" t="s">
        <v>49</v>
      </c>
      <c r="C27" s="18">
        <v>30</v>
      </c>
    </row>
    <row r="28" spans="1:3" ht="16.5" thickTop="1" thickBot="1">
      <c r="A28" s="18" t="s">
        <v>544</v>
      </c>
      <c r="B28" s="18" t="s">
        <v>49</v>
      </c>
      <c r="C28" s="18">
        <v>34</v>
      </c>
    </row>
    <row r="29" spans="1:3" ht="16.5" thickTop="1" thickBot="1">
      <c r="A29" s="18" t="s">
        <v>543</v>
      </c>
      <c r="B29" s="18" t="s">
        <v>49</v>
      </c>
      <c r="C29" s="18">
        <v>10</v>
      </c>
    </row>
    <row r="30" spans="1:3" ht="16.5" thickTop="1" thickBot="1">
      <c r="A30" s="18" t="s">
        <v>544</v>
      </c>
      <c r="B30" s="18" t="s">
        <v>49</v>
      </c>
      <c r="C30" s="18">
        <v>49</v>
      </c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sortState xmlns:xlrd2="http://schemas.microsoft.com/office/spreadsheetml/2017/richdata2" ref="A2:C42">
    <sortCondition descending="1" ref="B1:B42"/>
  </sortState>
  <dataValidations count="2">
    <dataValidation type="list" allowBlank="1" showInputMessage="1" showErrorMessage="1" sqref="B32:B41" xr:uid="{8D121BA6-95F7-4F17-B771-6BFEDCD7FCAE}">
      <formula1>"猫砂,猫粮,零食,药,日用品,买猫,其它"</formula1>
    </dataValidation>
    <dataValidation type="list" allowBlank="1" showInputMessage="1" showErrorMessage="1" sqref="B2:B31" xr:uid="{82AED457-519D-45A6-9E1F-FA41B08EC345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07E7D-1FC0-4914-8A86-59A3D1E0203C}">
  <sheetPr codeName="Sheet29"/>
  <dimension ref="A1:F42"/>
  <sheetViews>
    <sheetView workbookViewId="0">
      <selection activeCell="D15" sqref="D15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482</v>
      </c>
      <c r="B2" s="18" t="s">
        <v>47</v>
      </c>
      <c r="C2" s="18">
        <v>55</v>
      </c>
      <c r="E2" s="13" t="s">
        <v>1</v>
      </c>
      <c r="F2" s="13">
        <f t="shared" ref="F2:F12" si="0">SUMIF(B:B,E2,C:C)</f>
        <v>1879</v>
      </c>
    </row>
    <row r="3" spans="1:6" ht="16.5" thickTop="1" thickBot="1">
      <c r="A3" s="18" t="s">
        <v>482</v>
      </c>
      <c r="B3" s="18" t="s">
        <v>47</v>
      </c>
      <c r="C3" s="18">
        <v>55</v>
      </c>
      <c r="E3" s="13" t="s">
        <v>2</v>
      </c>
      <c r="F3" s="13">
        <f t="shared" si="0"/>
        <v>768</v>
      </c>
    </row>
    <row r="4" spans="1:6" ht="16.5" thickTop="1" thickBot="1">
      <c r="A4" s="18" t="s">
        <v>374</v>
      </c>
      <c r="B4" s="18" t="s">
        <v>743</v>
      </c>
      <c r="C4" s="18">
        <v>70</v>
      </c>
      <c r="E4" s="13" t="s">
        <v>3</v>
      </c>
      <c r="F4" s="13">
        <f t="shared" si="0"/>
        <v>110</v>
      </c>
    </row>
    <row r="5" spans="1:6" ht="16.5" thickTop="1" thickBot="1">
      <c r="A5" s="18" t="s">
        <v>481</v>
      </c>
      <c r="B5" s="18" t="s">
        <v>743</v>
      </c>
      <c r="C5" s="18">
        <v>60</v>
      </c>
      <c r="E5" s="13" t="s">
        <v>745</v>
      </c>
      <c r="F5" s="13">
        <f t="shared" si="0"/>
        <v>1080</v>
      </c>
    </row>
    <row r="6" spans="1:6" ht="16.5" thickTop="1" thickBot="1">
      <c r="A6" s="18" t="s">
        <v>483</v>
      </c>
      <c r="B6" s="18" t="s">
        <v>743</v>
      </c>
      <c r="C6" s="18">
        <v>60</v>
      </c>
      <c r="E6" s="13" t="s">
        <v>375</v>
      </c>
      <c r="F6" s="13">
        <f t="shared" si="0"/>
        <v>2040</v>
      </c>
    </row>
    <row r="7" spans="1:6" ht="16.5" thickTop="1" thickBot="1">
      <c r="A7" s="18" t="s">
        <v>50</v>
      </c>
      <c r="B7" s="18" t="s">
        <v>743</v>
      </c>
      <c r="C7" s="18">
        <v>135</v>
      </c>
      <c r="E7" s="13" t="s">
        <v>743</v>
      </c>
      <c r="F7" s="13">
        <f t="shared" si="0"/>
        <v>606</v>
      </c>
    </row>
    <row r="8" spans="1:6" ht="16.5" thickTop="1" thickBot="1">
      <c r="A8" s="18" t="s">
        <v>485</v>
      </c>
      <c r="B8" s="18" t="s">
        <v>745</v>
      </c>
      <c r="C8" s="18">
        <v>168</v>
      </c>
      <c r="E8" s="13" t="s">
        <v>746</v>
      </c>
      <c r="F8" s="13">
        <f t="shared" si="0"/>
        <v>1110</v>
      </c>
    </row>
    <row r="9" spans="1:6" ht="16.5" thickTop="1" thickBot="1">
      <c r="A9" s="18" t="s">
        <v>487</v>
      </c>
      <c r="B9" s="18" t="s">
        <v>745</v>
      </c>
      <c r="C9" s="18">
        <v>105</v>
      </c>
      <c r="E9" s="13" t="s">
        <v>744</v>
      </c>
      <c r="F9" s="13">
        <f t="shared" si="0"/>
        <v>600</v>
      </c>
    </row>
    <row r="10" spans="1:6" ht="16.5" thickTop="1" thickBot="1">
      <c r="A10" s="18" t="s">
        <v>490</v>
      </c>
      <c r="B10" s="18" t="s">
        <v>743</v>
      </c>
      <c r="C10" s="18">
        <v>76</v>
      </c>
      <c r="E10" s="13" t="s">
        <v>444</v>
      </c>
      <c r="F10" s="13">
        <f t="shared" si="0"/>
        <v>453</v>
      </c>
    </row>
    <row r="11" spans="1:6" ht="16.5" thickTop="1" thickBot="1">
      <c r="A11" s="18" t="s">
        <v>492</v>
      </c>
      <c r="B11" s="18" t="s">
        <v>746</v>
      </c>
      <c r="C11" s="18">
        <v>825</v>
      </c>
      <c r="E11" s="13" t="s">
        <v>48</v>
      </c>
      <c r="F11" s="13">
        <f t="shared" si="0"/>
        <v>0</v>
      </c>
    </row>
    <row r="12" spans="1:6" ht="16.5" thickTop="1" thickBot="1">
      <c r="A12" s="18" t="s">
        <v>493</v>
      </c>
      <c r="B12" s="18" t="s">
        <v>746</v>
      </c>
      <c r="C12" s="18">
        <v>285</v>
      </c>
      <c r="E12" s="13" t="s">
        <v>49</v>
      </c>
      <c r="F12" s="13">
        <f t="shared" si="0"/>
        <v>433</v>
      </c>
    </row>
    <row r="13" spans="1:6" ht="16.5" thickTop="1" thickBot="1">
      <c r="A13" s="18" t="s">
        <v>495</v>
      </c>
      <c r="B13" s="18" t="s">
        <v>744</v>
      </c>
      <c r="C13" s="18">
        <v>600</v>
      </c>
      <c r="E13" s="13" t="s">
        <v>408</v>
      </c>
      <c r="F13" s="13">
        <f>SUM(F2:F12)</f>
        <v>9079</v>
      </c>
    </row>
    <row r="14" spans="1:6" ht="16.5" thickTop="1" thickBot="1">
      <c r="A14" s="18" t="s">
        <v>496</v>
      </c>
      <c r="B14" s="18" t="s">
        <v>743</v>
      </c>
      <c r="C14" s="18">
        <v>130</v>
      </c>
      <c r="E14" s="4"/>
      <c r="F14" s="4"/>
    </row>
    <row r="15" spans="1:6" ht="16.5" thickTop="1" thickBot="1">
      <c r="A15" s="18" t="s">
        <v>490</v>
      </c>
      <c r="B15" s="18" t="s">
        <v>743</v>
      </c>
      <c r="C15" s="18">
        <v>75</v>
      </c>
    </row>
    <row r="16" spans="1:6" ht="16.5" thickTop="1" thickBot="1">
      <c r="A16" s="18" t="s">
        <v>375</v>
      </c>
      <c r="B16" s="18" t="s">
        <v>375</v>
      </c>
      <c r="C16" s="18">
        <v>2040</v>
      </c>
    </row>
    <row r="17" spans="1:3" ht="16.5" thickTop="1" thickBot="1">
      <c r="A17" s="18" t="s">
        <v>45</v>
      </c>
      <c r="B17" s="18" t="s">
        <v>45</v>
      </c>
      <c r="C17" s="18">
        <v>378</v>
      </c>
    </row>
    <row r="18" spans="1:3" ht="16.5" thickTop="1" thickBot="1">
      <c r="A18" s="18" t="s">
        <v>488</v>
      </c>
      <c r="B18" s="18" t="s">
        <v>45</v>
      </c>
      <c r="C18" s="18">
        <v>166</v>
      </c>
    </row>
    <row r="19" spans="1:3" ht="16.5" thickTop="1" thickBot="1">
      <c r="A19" s="18" t="s">
        <v>489</v>
      </c>
      <c r="B19" s="18" t="s">
        <v>45</v>
      </c>
      <c r="C19" s="18">
        <v>670</v>
      </c>
    </row>
    <row r="20" spans="1:3" ht="16.5" thickTop="1" thickBot="1">
      <c r="A20" s="18" t="s">
        <v>45</v>
      </c>
      <c r="B20" s="18" t="s">
        <v>45</v>
      </c>
      <c r="C20" s="18">
        <v>435</v>
      </c>
    </row>
    <row r="21" spans="1:3" ht="16.5" thickTop="1" thickBot="1">
      <c r="A21" s="18" t="s">
        <v>45</v>
      </c>
      <c r="B21" s="18" t="s">
        <v>45</v>
      </c>
      <c r="C21" s="18">
        <v>230</v>
      </c>
    </row>
    <row r="22" spans="1:3" ht="16.5" thickTop="1" thickBot="1">
      <c r="A22" s="18" t="s">
        <v>46</v>
      </c>
      <c r="B22" s="18" t="s">
        <v>46</v>
      </c>
      <c r="C22" s="18">
        <v>264</v>
      </c>
    </row>
    <row r="23" spans="1:3" ht="16.5" thickTop="1" thickBot="1">
      <c r="A23" s="18" t="s">
        <v>46</v>
      </c>
      <c r="B23" s="18" t="s">
        <v>46</v>
      </c>
      <c r="C23" s="18">
        <v>351</v>
      </c>
    </row>
    <row r="24" spans="1:3" ht="16.5" thickTop="1" thickBot="1">
      <c r="A24" s="18" t="s">
        <v>46</v>
      </c>
      <c r="B24" s="18" t="s">
        <v>46</v>
      </c>
      <c r="C24" s="18">
        <v>113</v>
      </c>
    </row>
    <row r="25" spans="1:3" ht="16.5" thickTop="1" thickBot="1">
      <c r="A25" s="18" t="s">
        <v>46</v>
      </c>
      <c r="B25" s="18" t="s">
        <v>46</v>
      </c>
      <c r="C25" s="18">
        <v>40</v>
      </c>
    </row>
    <row r="26" spans="1:3" ht="16.5" thickTop="1" thickBot="1">
      <c r="A26" s="18" t="s">
        <v>491</v>
      </c>
      <c r="B26" s="18" t="s">
        <v>745</v>
      </c>
      <c r="C26" s="18">
        <v>125</v>
      </c>
    </row>
    <row r="27" spans="1:3" ht="16.5" thickTop="1" thickBot="1">
      <c r="A27" s="18" t="s">
        <v>372</v>
      </c>
      <c r="B27" s="18" t="s">
        <v>745</v>
      </c>
      <c r="C27" s="18">
        <v>102</v>
      </c>
    </row>
    <row r="28" spans="1:3" ht="16.5" thickTop="1" thickBot="1">
      <c r="A28" s="18" t="s">
        <v>484</v>
      </c>
      <c r="B28" s="18" t="s">
        <v>444</v>
      </c>
      <c r="C28" s="18">
        <v>400</v>
      </c>
    </row>
    <row r="29" spans="1:3" ht="16.5" thickTop="1" thickBot="1">
      <c r="A29" s="18" t="s">
        <v>321</v>
      </c>
      <c r="B29" s="18" t="s">
        <v>49</v>
      </c>
      <c r="C29" s="18">
        <v>50</v>
      </c>
    </row>
    <row r="30" spans="1:3" ht="16.5" thickTop="1" thickBot="1">
      <c r="A30" s="18" t="s">
        <v>450</v>
      </c>
      <c r="B30" s="18" t="s">
        <v>49</v>
      </c>
      <c r="C30" s="18">
        <v>348</v>
      </c>
    </row>
    <row r="31" spans="1:3" ht="16.5" thickTop="1" thickBot="1">
      <c r="A31" s="18" t="s">
        <v>333</v>
      </c>
      <c r="B31" s="18" t="s">
        <v>745</v>
      </c>
      <c r="C31" s="18">
        <v>580</v>
      </c>
    </row>
    <row r="32" spans="1:3" ht="16.5" thickTop="1" thickBot="1">
      <c r="A32" s="18" t="s">
        <v>486</v>
      </c>
      <c r="B32" s="18" t="s">
        <v>49</v>
      </c>
      <c r="C32" s="18">
        <v>10</v>
      </c>
    </row>
    <row r="33" spans="1:3" ht="16.5" thickTop="1" thickBot="1">
      <c r="A33" s="18" t="s">
        <v>494</v>
      </c>
      <c r="B33" s="18" t="s">
        <v>444</v>
      </c>
      <c r="C33" s="18">
        <v>53</v>
      </c>
    </row>
    <row r="34" spans="1:3" ht="16.5" thickTop="1" thickBot="1">
      <c r="A34" s="18" t="s">
        <v>497</v>
      </c>
      <c r="B34" s="18" t="s">
        <v>49</v>
      </c>
      <c r="C34" s="18">
        <v>25</v>
      </c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sortState xmlns:xlrd2="http://schemas.microsoft.com/office/spreadsheetml/2017/richdata2" ref="A2:C42">
    <sortCondition descending="1" ref="B1:B42"/>
  </sortState>
  <dataValidations count="2">
    <dataValidation type="list" allowBlank="1" showInputMessage="1" showErrorMessage="1" sqref="B36:B41" xr:uid="{BDB1F7EF-028E-422C-B1DE-7C757CA1863D}">
      <formula1>"猫砂,猫粮,零食,药,日用品,买猫,其它"</formula1>
    </dataValidation>
    <dataValidation type="list" allowBlank="1" showInputMessage="1" showErrorMessage="1" sqref="B2:B35" xr:uid="{4FC779B7-72E4-4986-96E0-C0A51DB6AE3E}">
      <formula1>"猫砂,猫粮,零食,消耗品,疫苗,常用药,治疗费,不常用药,运费,买猫,其它"</formula1>
    </dataValidation>
  </dataValidations>
  <pageMargins left="0.7" right="0.7" top="0.75" bottom="0.75" header="0.3" footer="0.3"/>
  <pageSetup paperSize="9" orientation="portrait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A6194-B993-4856-BDA0-1C4E89F54D4A}">
  <sheetPr codeName="Sheet30"/>
  <dimension ref="A1:F41"/>
  <sheetViews>
    <sheetView workbookViewId="0">
      <selection activeCell="D15" sqref="D15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327</v>
      </c>
      <c r="B2" s="18" t="s">
        <v>47</v>
      </c>
      <c r="C2" s="18">
        <v>164</v>
      </c>
      <c r="E2" s="13" t="s">
        <v>1</v>
      </c>
      <c r="F2" s="13">
        <f t="shared" ref="F2:F12" si="0">SUMIF(B:B,E2,C:C)</f>
        <v>8049</v>
      </c>
    </row>
    <row r="3" spans="1:6" ht="16.5" thickTop="1" thickBot="1">
      <c r="A3" s="18" t="s">
        <v>447</v>
      </c>
      <c r="B3" s="18" t="s">
        <v>47</v>
      </c>
      <c r="C3" s="18">
        <v>250</v>
      </c>
      <c r="E3" s="13" t="s">
        <v>2</v>
      </c>
      <c r="F3" s="13">
        <f t="shared" si="0"/>
        <v>1395</v>
      </c>
    </row>
    <row r="4" spans="1:6" ht="16.5" thickTop="1" thickBot="1">
      <c r="A4" s="18" t="s">
        <v>445</v>
      </c>
      <c r="B4" s="18" t="s">
        <v>743</v>
      </c>
      <c r="C4" s="18">
        <v>65</v>
      </c>
      <c r="E4" s="13" t="s">
        <v>3</v>
      </c>
      <c r="F4" s="13">
        <f t="shared" si="0"/>
        <v>414</v>
      </c>
    </row>
    <row r="5" spans="1:6" ht="16.5" thickTop="1" thickBot="1">
      <c r="A5" s="18" t="s">
        <v>446</v>
      </c>
      <c r="B5" s="18" t="s">
        <v>743</v>
      </c>
      <c r="C5" s="18">
        <v>75</v>
      </c>
      <c r="E5" s="13" t="s">
        <v>745</v>
      </c>
      <c r="F5" s="13">
        <f t="shared" si="0"/>
        <v>1001</v>
      </c>
    </row>
    <row r="6" spans="1:6" ht="16.5" thickTop="1" thickBot="1">
      <c r="A6" s="18" t="s">
        <v>312</v>
      </c>
      <c r="B6" s="18" t="s">
        <v>744</v>
      </c>
      <c r="C6" s="18">
        <v>235</v>
      </c>
      <c r="E6" s="13" t="s">
        <v>375</v>
      </c>
      <c r="F6" s="13">
        <f t="shared" si="0"/>
        <v>0</v>
      </c>
    </row>
    <row r="7" spans="1:6" ht="16.5" thickTop="1" thickBot="1">
      <c r="A7" s="18" t="s">
        <v>318</v>
      </c>
      <c r="B7" s="18" t="s">
        <v>743</v>
      </c>
      <c r="C7" s="18">
        <v>85</v>
      </c>
      <c r="E7" s="13" t="s">
        <v>743</v>
      </c>
      <c r="F7" s="13">
        <f t="shared" si="0"/>
        <v>225</v>
      </c>
    </row>
    <row r="8" spans="1:6" ht="16.5" thickTop="1" thickBot="1">
      <c r="A8" s="18" t="s">
        <v>439</v>
      </c>
      <c r="B8" s="18" t="s">
        <v>45</v>
      </c>
      <c r="C8" s="18">
        <v>300</v>
      </c>
      <c r="E8" s="13" t="s">
        <v>746</v>
      </c>
      <c r="F8" s="13">
        <f t="shared" si="0"/>
        <v>0</v>
      </c>
    </row>
    <row r="9" spans="1:6" ht="16.5" thickTop="1" thickBot="1">
      <c r="A9" s="18" t="s">
        <v>439</v>
      </c>
      <c r="B9" s="18" t="s">
        <v>45</v>
      </c>
      <c r="C9" s="18">
        <v>300</v>
      </c>
      <c r="E9" s="13" t="s">
        <v>744</v>
      </c>
      <c r="F9" s="13">
        <f t="shared" si="0"/>
        <v>235</v>
      </c>
    </row>
    <row r="10" spans="1:6" ht="16.5" thickTop="1" thickBot="1">
      <c r="A10" s="18" t="s">
        <v>45</v>
      </c>
      <c r="B10" s="18" t="s">
        <v>45</v>
      </c>
      <c r="C10" s="18">
        <v>6616</v>
      </c>
      <c r="E10" s="13" t="s">
        <v>444</v>
      </c>
      <c r="F10" s="13">
        <f t="shared" si="0"/>
        <v>160</v>
      </c>
    </row>
    <row r="11" spans="1:6" ht="16.5" thickTop="1" thickBot="1">
      <c r="A11" s="18" t="s">
        <v>45</v>
      </c>
      <c r="B11" s="18" t="s">
        <v>45</v>
      </c>
      <c r="C11" s="18">
        <v>480</v>
      </c>
      <c r="E11" s="13" t="s">
        <v>48</v>
      </c>
      <c r="F11" s="13">
        <f t="shared" si="0"/>
        <v>0</v>
      </c>
    </row>
    <row r="12" spans="1:6" ht="16.5" thickTop="1" thickBot="1">
      <c r="A12" s="18" t="s">
        <v>45</v>
      </c>
      <c r="B12" s="18" t="s">
        <v>45</v>
      </c>
      <c r="C12" s="18">
        <v>353</v>
      </c>
      <c r="E12" s="13" t="s">
        <v>49</v>
      </c>
      <c r="F12" s="13">
        <f t="shared" si="0"/>
        <v>2142</v>
      </c>
    </row>
    <row r="13" spans="1:6" ht="16.5" thickTop="1" thickBot="1">
      <c r="A13" s="18" t="s">
        <v>46</v>
      </c>
      <c r="B13" s="18" t="s">
        <v>46</v>
      </c>
      <c r="C13" s="18">
        <v>1395</v>
      </c>
      <c r="E13" s="13" t="s">
        <v>408</v>
      </c>
      <c r="F13" s="13">
        <f>SUM(F2:F12)</f>
        <v>13621</v>
      </c>
    </row>
    <row r="14" spans="1:6" ht="16.5" thickTop="1" thickBot="1">
      <c r="A14" s="18" t="s">
        <v>440</v>
      </c>
      <c r="B14" s="18" t="s">
        <v>49</v>
      </c>
      <c r="C14" s="18">
        <v>66</v>
      </c>
      <c r="E14" s="4"/>
      <c r="F14" s="4"/>
    </row>
    <row r="15" spans="1:6" ht="16.5" thickTop="1" thickBot="1">
      <c r="A15" s="18" t="s">
        <v>413</v>
      </c>
      <c r="B15" s="18" t="s">
        <v>745</v>
      </c>
      <c r="C15" s="18">
        <v>169</v>
      </c>
    </row>
    <row r="16" spans="1:6" ht="16.5" thickTop="1" thickBot="1">
      <c r="A16" s="18" t="s">
        <v>421</v>
      </c>
      <c r="B16" s="18" t="s">
        <v>745</v>
      </c>
      <c r="C16" s="18">
        <v>54</v>
      </c>
    </row>
    <row r="17" spans="1:3" ht="16.5" thickTop="1" thickBot="1">
      <c r="A17" s="18" t="s">
        <v>372</v>
      </c>
      <c r="B17" s="18" t="s">
        <v>745</v>
      </c>
      <c r="C17" s="18">
        <v>108</v>
      </c>
    </row>
    <row r="18" spans="1:3" ht="16.5" thickTop="1" thickBot="1">
      <c r="A18" s="18" t="s">
        <v>441</v>
      </c>
      <c r="B18" s="18" t="s">
        <v>49</v>
      </c>
      <c r="C18" s="18">
        <v>40</v>
      </c>
    </row>
    <row r="19" spans="1:3" ht="16.5" thickTop="1" thickBot="1">
      <c r="A19" s="18" t="s">
        <v>442</v>
      </c>
      <c r="B19" s="18" t="s">
        <v>49</v>
      </c>
      <c r="C19" s="18">
        <v>110</v>
      </c>
    </row>
    <row r="20" spans="1:3" ht="16.5" thickTop="1" thickBot="1">
      <c r="A20" s="18" t="s">
        <v>443</v>
      </c>
      <c r="B20" s="18" t="s">
        <v>49</v>
      </c>
      <c r="C20" s="18">
        <v>165</v>
      </c>
    </row>
    <row r="21" spans="1:3" ht="16.5" thickTop="1" thickBot="1">
      <c r="A21" s="18" t="s">
        <v>418</v>
      </c>
      <c r="B21" s="18" t="s">
        <v>49</v>
      </c>
      <c r="C21" s="18">
        <v>43</v>
      </c>
    </row>
    <row r="22" spans="1:3" ht="16.5" thickTop="1" thickBot="1">
      <c r="A22" s="18" t="s">
        <v>419</v>
      </c>
      <c r="B22" s="18" t="s">
        <v>49</v>
      </c>
      <c r="C22" s="18">
        <v>149</v>
      </c>
    </row>
    <row r="23" spans="1:3" ht="16.5" thickTop="1" thickBot="1">
      <c r="A23" s="18" t="s">
        <v>417</v>
      </c>
      <c r="B23" s="18" t="s">
        <v>49</v>
      </c>
      <c r="C23" s="18">
        <v>14</v>
      </c>
    </row>
    <row r="24" spans="1:3" ht="16.5" thickTop="1" thickBot="1">
      <c r="A24" s="18" t="s">
        <v>420</v>
      </c>
      <c r="B24" s="18" t="s">
        <v>49</v>
      </c>
      <c r="C24" s="18">
        <v>34</v>
      </c>
    </row>
    <row r="25" spans="1:3" ht="16.5" thickTop="1" thickBot="1">
      <c r="A25" s="18" t="s">
        <v>422</v>
      </c>
      <c r="B25" s="18" t="s">
        <v>49</v>
      </c>
      <c r="C25" s="18">
        <v>10</v>
      </c>
    </row>
    <row r="26" spans="1:3" ht="16.5" thickTop="1" thickBot="1">
      <c r="A26" s="18" t="s">
        <v>444</v>
      </c>
      <c r="B26" s="18" t="s">
        <v>444</v>
      </c>
      <c r="C26" s="18">
        <v>160</v>
      </c>
    </row>
    <row r="27" spans="1:3" ht="16.5" thickTop="1" thickBot="1">
      <c r="A27" s="18" t="s">
        <v>448</v>
      </c>
      <c r="B27" s="18" t="s">
        <v>49</v>
      </c>
      <c r="C27" s="18">
        <v>120</v>
      </c>
    </row>
    <row r="28" spans="1:3" ht="16.5" thickTop="1" thickBot="1">
      <c r="A28" s="18" t="s">
        <v>449</v>
      </c>
      <c r="B28" s="18" t="s">
        <v>49</v>
      </c>
      <c r="C28" s="18">
        <v>400</v>
      </c>
    </row>
    <row r="29" spans="1:3" ht="16.5" thickTop="1" thickBot="1">
      <c r="A29" s="18" t="s">
        <v>321</v>
      </c>
      <c r="B29" s="18" t="s">
        <v>49</v>
      </c>
      <c r="C29" s="18">
        <v>710</v>
      </c>
    </row>
    <row r="30" spans="1:3" ht="16.5" thickTop="1" thickBot="1">
      <c r="A30" s="18" t="s">
        <v>450</v>
      </c>
      <c r="B30" s="18" t="s">
        <v>49</v>
      </c>
      <c r="C30" s="18">
        <v>46</v>
      </c>
    </row>
    <row r="31" spans="1:3" ht="16.5" thickTop="1" thickBot="1">
      <c r="A31" s="18" t="s">
        <v>451</v>
      </c>
      <c r="B31" s="18" t="s">
        <v>49</v>
      </c>
      <c r="C31" s="18">
        <v>15</v>
      </c>
    </row>
    <row r="32" spans="1:3" ht="16.5" thickTop="1" thickBot="1">
      <c r="A32" s="18" t="s">
        <v>322</v>
      </c>
      <c r="B32" s="18" t="s">
        <v>49</v>
      </c>
      <c r="C32" s="18">
        <v>220</v>
      </c>
    </row>
    <row r="33" spans="1:3" ht="16.5" thickTop="1" thickBot="1">
      <c r="A33" s="18" t="s">
        <v>333</v>
      </c>
      <c r="B33" s="18" t="s">
        <v>745</v>
      </c>
      <c r="C33" s="18">
        <v>670</v>
      </c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5.75" thickTop="1"/>
  </sheetData>
  <sortState xmlns:xlrd2="http://schemas.microsoft.com/office/spreadsheetml/2017/richdata2" ref="A2:C42">
    <sortCondition descending="1" ref="B1"/>
  </sortState>
  <dataValidations count="2">
    <dataValidation type="list" allowBlank="1" showInputMessage="1" showErrorMessage="1" sqref="B35:B40" xr:uid="{7B38065D-FBD2-4DF3-9BBE-4DB4D03C3A11}">
      <formula1>"猫砂,猫粮,零食,药,日用品,买猫,其它"</formula1>
    </dataValidation>
    <dataValidation type="list" allowBlank="1" showInputMessage="1" showErrorMessage="1" sqref="B2:B34" xr:uid="{D7EE5764-8C4C-4E8A-8298-5F55EB90F3A2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78DF-0C89-495C-94A2-F908FAD0BDCB}">
  <sheetPr codeName="Sheet31"/>
  <dimension ref="A1:F35"/>
  <sheetViews>
    <sheetView workbookViewId="0">
      <selection activeCell="D15" sqref="D15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424</v>
      </c>
      <c r="B2" s="18" t="s">
        <v>48</v>
      </c>
      <c r="C2" s="18">
        <v>2800</v>
      </c>
      <c r="E2" s="13" t="s">
        <v>1</v>
      </c>
      <c r="F2" s="13">
        <f t="shared" ref="F2:F12" si="0">SUMIF(B:B,E2,C:C)</f>
        <v>2075</v>
      </c>
    </row>
    <row r="3" spans="1:6" ht="16.5" thickTop="1" thickBot="1">
      <c r="A3" s="18" t="s">
        <v>397</v>
      </c>
      <c r="B3" s="18" t="s">
        <v>49</v>
      </c>
      <c r="C3" s="18">
        <v>14400</v>
      </c>
      <c r="E3" s="13" t="s">
        <v>2</v>
      </c>
      <c r="F3" s="13">
        <f t="shared" si="0"/>
        <v>0</v>
      </c>
    </row>
    <row r="4" spans="1:6" ht="16.5" thickTop="1" thickBot="1">
      <c r="A4" s="18" t="s">
        <v>410</v>
      </c>
      <c r="B4" s="18" t="s">
        <v>49</v>
      </c>
      <c r="C4" s="18">
        <v>16500</v>
      </c>
      <c r="E4" s="13" t="s">
        <v>3</v>
      </c>
      <c r="F4" s="13">
        <f t="shared" si="0"/>
        <v>155</v>
      </c>
    </row>
    <row r="5" spans="1:6" ht="16.5" thickTop="1" thickBot="1">
      <c r="A5" s="18" t="s">
        <v>411</v>
      </c>
      <c r="B5" s="18" t="s">
        <v>49</v>
      </c>
      <c r="C5" s="18">
        <v>2400</v>
      </c>
      <c r="E5" s="13" t="s">
        <v>745</v>
      </c>
      <c r="F5" s="13">
        <f t="shared" si="0"/>
        <v>225</v>
      </c>
    </row>
    <row r="6" spans="1:6" ht="16.5" thickTop="1" thickBot="1">
      <c r="A6" s="18" t="s">
        <v>414</v>
      </c>
      <c r="B6" s="18" t="s">
        <v>49</v>
      </c>
      <c r="C6" s="18">
        <v>659</v>
      </c>
      <c r="E6" s="13" t="s">
        <v>375</v>
      </c>
      <c r="F6" s="13">
        <f t="shared" si="0"/>
        <v>0</v>
      </c>
    </row>
    <row r="7" spans="1:6" ht="16.5" thickTop="1" thickBot="1">
      <c r="A7" s="18" t="s">
        <v>415</v>
      </c>
      <c r="B7" s="18" t="s">
        <v>49</v>
      </c>
      <c r="C7" s="18">
        <v>41</v>
      </c>
      <c r="E7" s="13" t="s">
        <v>743</v>
      </c>
      <c r="F7" s="13">
        <f t="shared" si="0"/>
        <v>928</v>
      </c>
    </row>
    <row r="8" spans="1:6" ht="16.5" thickTop="1" thickBot="1">
      <c r="A8" s="18" t="s">
        <v>416</v>
      </c>
      <c r="B8" s="18" t="s">
        <v>49</v>
      </c>
      <c r="C8" s="18">
        <v>56</v>
      </c>
      <c r="E8" s="13" t="s">
        <v>746</v>
      </c>
      <c r="F8" s="13">
        <f t="shared" si="0"/>
        <v>0</v>
      </c>
    </row>
    <row r="9" spans="1:6" ht="16.5" thickTop="1" thickBot="1">
      <c r="A9" s="18" t="s">
        <v>417</v>
      </c>
      <c r="B9" s="18" t="s">
        <v>49</v>
      </c>
      <c r="C9" s="18">
        <v>14</v>
      </c>
      <c r="E9" s="13" t="s">
        <v>744</v>
      </c>
      <c r="F9" s="13">
        <f t="shared" si="0"/>
        <v>0</v>
      </c>
    </row>
    <row r="10" spans="1:6" ht="16.5" thickTop="1" thickBot="1">
      <c r="A10" s="18" t="s">
        <v>325</v>
      </c>
      <c r="B10" s="18" t="s">
        <v>444</v>
      </c>
      <c r="C10" s="18">
        <v>160</v>
      </c>
      <c r="E10" s="13" t="s">
        <v>444</v>
      </c>
      <c r="F10" s="13">
        <f t="shared" si="0"/>
        <v>274</v>
      </c>
    </row>
    <row r="11" spans="1:6" ht="16.5" thickTop="1" thickBot="1">
      <c r="A11" s="18" t="s">
        <v>329</v>
      </c>
      <c r="B11" s="18" t="s">
        <v>49</v>
      </c>
      <c r="C11" s="18">
        <v>40</v>
      </c>
      <c r="E11" s="13" t="s">
        <v>48</v>
      </c>
      <c r="F11" s="13">
        <f t="shared" si="0"/>
        <v>2800</v>
      </c>
    </row>
    <row r="12" spans="1:6" ht="16.5" thickTop="1" thickBot="1">
      <c r="A12" s="18" t="s">
        <v>425</v>
      </c>
      <c r="B12" s="18" t="s">
        <v>444</v>
      </c>
      <c r="C12" s="18">
        <v>81</v>
      </c>
      <c r="E12" s="13" t="s">
        <v>49</v>
      </c>
      <c r="F12" s="13">
        <f t="shared" si="0"/>
        <v>35217</v>
      </c>
    </row>
    <row r="13" spans="1:6" ht="16.5" thickTop="1" thickBot="1">
      <c r="A13" s="18" t="s">
        <v>426</v>
      </c>
      <c r="B13" s="18" t="s">
        <v>444</v>
      </c>
      <c r="C13" s="18">
        <v>33</v>
      </c>
      <c r="E13" s="13" t="s">
        <v>408</v>
      </c>
      <c r="F13" s="13">
        <f>SUM(F2:F12)</f>
        <v>41674</v>
      </c>
    </row>
    <row r="14" spans="1:6" ht="16.5" thickTop="1" thickBot="1">
      <c r="A14" s="18" t="s">
        <v>321</v>
      </c>
      <c r="B14" s="18" t="s">
        <v>49</v>
      </c>
      <c r="C14" s="18">
        <v>25</v>
      </c>
    </row>
    <row r="15" spans="1:6" ht="16.5" thickTop="1" thickBot="1">
      <c r="A15" s="18" t="s">
        <v>427</v>
      </c>
      <c r="B15" s="18" t="s">
        <v>49</v>
      </c>
      <c r="C15" s="18">
        <v>12</v>
      </c>
    </row>
    <row r="16" spans="1:6" ht="16.5" thickTop="1" thickBot="1">
      <c r="A16" s="18" t="s">
        <v>322</v>
      </c>
      <c r="B16" s="18" t="s">
        <v>49</v>
      </c>
      <c r="C16" s="18">
        <v>35</v>
      </c>
    </row>
    <row r="17" spans="1:3" ht="16.5" thickTop="1" thickBot="1">
      <c r="A17" s="18" t="s">
        <v>321</v>
      </c>
      <c r="B17" s="18" t="s">
        <v>49</v>
      </c>
      <c r="C17" s="18">
        <v>175</v>
      </c>
    </row>
    <row r="18" spans="1:3" ht="16.5" thickTop="1" thickBot="1">
      <c r="A18" s="18" t="s">
        <v>322</v>
      </c>
      <c r="B18" s="18" t="s">
        <v>49</v>
      </c>
      <c r="C18" s="18">
        <v>393</v>
      </c>
    </row>
    <row r="19" spans="1:3" ht="16.5" thickTop="1" thickBot="1">
      <c r="A19" s="18" t="s">
        <v>428</v>
      </c>
      <c r="B19" s="18" t="s">
        <v>49</v>
      </c>
      <c r="C19" s="18">
        <v>25</v>
      </c>
    </row>
    <row r="20" spans="1:3" ht="16.5" thickTop="1" thickBot="1">
      <c r="A20" s="18" t="s">
        <v>372</v>
      </c>
      <c r="B20" s="18" t="s">
        <v>745</v>
      </c>
      <c r="C20" s="18">
        <v>55</v>
      </c>
    </row>
    <row r="21" spans="1:3" ht="16.5" thickTop="1" thickBot="1">
      <c r="A21" s="18" t="s">
        <v>413</v>
      </c>
      <c r="B21" s="18" t="s">
        <v>745</v>
      </c>
      <c r="C21" s="18">
        <v>170</v>
      </c>
    </row>
    <row r="22" spans="1:3" ht="16.5" thickTop="1" thickBot="1">
      <c r="A22" s="18" t="s">
        <v>321</v>
      </c>
      <c r="B22" s="18" t="s">
        <v>49</v>
      </c>
      <c r="C22" s="18">
        <v>442</v>
      </c>
    </row>
    <row r="23" spans="1:3" ht="16.5" thickTop="1" thickBot="1">
      <c r="A23" s="18" t="s">
        <v>45</v>
      </c>
      <c r="B23" s="18" t="s">
        <v>45</v>
      </c>
      <c r="C23" s="18">
        <v>35</v>
      </c>
    </row>
    <row r="24" spans="1:3" ht="16.5" thickTop="1" thickBot="1">
      <c r="A24" s="18" t="s">
        <v>429</v>
      </c>
      <c r="B24" s="18" t="s">
        <v>45</v>
      </c>
      <c r="C24" s="18">
        <v>380</v>
      </c>
    </row>
    <row r="25" spans="1:3" ht="16.5" thickTop="1" thickBot="1">
      <c r="A25" s="18" t="s">
        <v>45</v>
      </c>
      <c r="B25" s="18" t="s">
        <v>45</v>
      </c>
      <c r="C25" s="18">
        <v>1660</v>
      </c>
    </row>
    <row r="26" spans="1:3" ht="16.5" thickTop="1" thickBot="1">
      <c r="A26" s="18" t="s">
        <v>412</v>
      </c>
      <c r="B26" s="18" t="s">
        <v>743</v>
      </c>
      <c r="C26" s="18">
        <v>114</v>
      </c>
    </row>
    <row r="27" spans="1:3" ht="16.5" thickTop="1" thickBot="1">
      <c r="A27" s="18" t="s">
        <v>50</v>
      </c>
      <c r="B27" s="18" t="s">
        <v>743</v>
      </c>
      <c r="C27" s="18">
        <v>333</v>
      </c>
    </row>
    <row r="28" spans="1:3" ht="16.5" thickTop="1" thickBot="1">
      <c r="A28" s="18" t="s">
        <v>50</v>
      </c>
      <c r="B28" s="18" t="s">
        <v>743</v>
      </c>
      <c r="C28" s="18">
        <v>125</v>
      </c>
    </row>
    <row r="29" spans="1:3" ht="16.5" thickTop="1" thickBot="1">
      <c r="A29" s="18" t="s">
        <v>50</v>
      </c>
      <c r="B29" s="18" t="s">
        <v>743</v>
      </c>
      <c r="C29" s="18">
        <v>356</v>
      </c>
    </row>
    <row r="30" spans="1:3" ht="16.5" thickTop="1" thickBot="1">
      <c r="A30" s="18" t="s">
        <v>423</v>
      </c>
      <c r="B30" s="18" t="s">
        <v>47</v>
      </c>
      <c r="C30" s="18">
        <v>95</v>
      </c>
    </row>
    <row r="31" spans="1:3" ht="16.5" thickTop="1" thickBot="1">
      <c r="A31" s="18" t="s">
        <v>327</v>
      </c>
      <c r="B31" s="18" t="s">
        <v>47</v>
      </c>
      <c r="C31" s="18">
        <v>60</v>
      </c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5.75" thickTop="1"/>
  </sheetData>
  <sortState xmlns:xlrd2="http://schemas.microsoft.com/office/spreadsheetml/2017/richdata2" ref="A2:C36">
    <sortCondition ref="B1"/>
  </sortState>
  <dataValidations count="2">
    <dataValidation type="list" allowBlank="1" showInputMessage="1" showErrorMessage="1" sqref="B33:B34" xr:uid="{247538E3-0A31-4B83-BC24-FB2864E0F740}">
      <formula1>"猫砂,猫粮,零食,药,日用品,买猫,其它"</formula1>
    </dataValidation>
    <dataValidation type="list" allowBlank="1" showInputMessage="1" showErrorMessage="1" sqref="B2:B32" xr:uid="{3B332300-558F-48C7-927A-324C3CB1C8EF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A330-283C-4933-B0F6-CE9FC818302C}">
  <sheetPr codeName="Sheet32"/>
  <dimension ref="A1:F43"/>
  <sheetViews>
    <sheetView zoomScaleNormal="100" workbookViewId="0">
      <selection activeCell="D15" sqref="D15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371</v>
      </c>
      <c r="B2" s="18" t="s">
        <v>49</v>
      </c>
      <c r="C2" s="18">
        <v>131</v>
      </c>
      <c r="E2" s="13" t="s">
        <v>1</v>
      </c>
      <c r="F2" s="13">
        <f t="shared" ref="F2:F12" si="0">SUMIF(B:B,E2,C:C)</f>
        <v>2110</v>
      </c>
    </row>
    <row r="3" spans="1:6" ht="16.5" thickTop="1" thickBot="1">
      <c r="A3" s="18" t="s">
        <v>376</v>
      </c>
      <c r="B3" s="18" t="s">
        <v>49</v>
      </c>
      <c r="C3" s="18">
        <v>520</v>
      </c>
      <c r="E3" s="13" t="s">
        <v>2</v>
      </c>
      <c r="F3" s="13">
        <f t="shared" si="0"/>
        <v>650</v>
      </c>
    </row>
    <row r="4" spans="1:6" ht="16.5" thickTop="1" thickBot="1">
      <c r="A4" s="18" t="s">
        <v>377</v>
      </c>
      <c r="B4" s="18" t="s">
        <v>444</v>
      </c>
      <c r="C4" s="18">
        <v>150</v>
      </c>
      <c r="E4" s="13" t="s">
        <v>3</v>
      </c>
      <c r="F4" s="13">
        <f t="shared" si="0"/>
        <v>382</v>
      </c>
    </row>
    <row r="5" spans="1:6" ht="16.5" thickTop="1" thickBot="1">
      <c r="A5" s="18" t="s">
        <v>381</v>
      </c>
      <c r="B5" s="18" t="s">
        <v>444</v>
      </c>
      <c r="C5" s="18">
        <v>48</v>
      </c>
      <c r="E5" s="13" t="s">
        <v>745</v>
      </c>
      <c r="F5" s="13">
        <f t="shared" si="0"/>
        <v>884</v>
      </c>
    </row>
    <row r="6" spans="1:6" ht="16.5" thickTop="1" thickBot="1">
      <c r="A6" s="18" t="s">
        <v>383</v>
      </c>
      <c r="B6" s="18" t="s">
        <v>49</v>
      </c>
      <c r="C6" s="18">
        <v>700</v>
      </c>
      <c r="E6" s="13" t="s">
        <v>375</v>
      </c>
      <c r="F6" s="13">
        <f t="shared" si="0"/>
        <v>776</v>
      </c>
    </row>
    <row r="7" spans="1:6" ht="16.5" thickTop="1" thickBot="1">
      <c r="A7" s="18" t="s">
        <v>328</v>
      </c>
      <c r="B7" s="18" t="s">
        <v>444</v>
      </c>
      <c r="C7" s="18">
        <v>10</v>
      </c>
      <c r="E7" s="13" t="s">
        <v>743</v>
      </c>
      <c r="F7" s="13">
        <f t="shared" si="0"/>
        <v>205</v>
      </c>
    </row>
    <row r="8" spans="1:6" ht="16.5" thickTop="1" thickBot="1">
      <c r="A8" s="18" t="s">
        <v>384</v>
      </c>
      <c r="B8" s="18" t="s">
        <v>49</v>
      </c>
      <c r="C8" s="18">
        <v>1450</v>
      </c>
      <c r="E8" s="13" t="s">
        <v>746</v>
      </c>
      <c r="F8" s="13">
        <f t="shared" si="0"/>
        <v>0</v>
      </c>
    </row>
    <row r="9" spans="1:6" ht="16.5" thickTop="1" thickBot="1">
      <c r="A9" s="18" t="s">
        <v>385</v>
      </c>
      <c r="B9" s="18" t="s">
        <v>444</v>
      </c>
      <c r="C9" s="18">
        <v>1580</v>
      </c>
      <c r="E9" s="13" t="s">
        <v>744</v>
      </c>
      <c r="F9" s="13">
        <f t="shared" si="0"/>
        <v>232</v>
      </c>
    </row>
    <row r="10" spans="1:6" ht="16.5" thickTop="1" thickBot="1">
      <c r="A10" s="18" t="s">
        <v>387</v>
      </c>
      <c r="B10" s="18" t="s">
        <v>745</v>
      </c>
      <c r="C10" s="18">
        <v>77</v>
      </c>
      <c r="E10" s="13" t="s">
        <v>444</v>
      </c>
      <c r="F10" s="13">
        <f t="shared" si="0"/>
        <v>1788</v>
      </c>
    </row>
    <row r="11" spans="1:6" ht="16.5" thickTop="1" thickBot="1">
      <c r="A11" s="18" t="s">
        <v>331</v>
      </c>
      <c r="B11" s="18" t="s">
        <v>745</v>
      </c>
      <c r="C11" s="18">
        <v>48</v>
      </c>
      <c r="E11" s="13" t="s">
        <v>48</v>
      </c>
      <c r="F11" s="13">
        <f t="shared" si="0"/>
        <v>0</v>
      </c>
    </row>
    <row r="12" spans="1:6" ht="16.5" thickTop="1" thickBot="1">
      <c r="A12" s="18" t="s">
        <v>388</v>
      </c>
      <c r="B12" s="18" t="s">
        <v>49</v>
      </c>
      <c r="C12" s="18">
        <v>142</v>
      </c>
      <c r="E12" s="13" t="s">
        <v>49</v>
      </c>
      <c r="F12" s="13">
        <f t="shared" si="0"/>
        <v>3189</v>
      </c>
    </row>
    <row r="13" spans="1:6" ht="16.5" thickTop="1" thickBot="1">
      <c r="A13" s="18" t="s">
        <v>389</v>
      </c>
      <c r="B13" s="18" t="s">
        <v>745</v>
      </c>
      <c r="C13" s="18">
        <v>66</v>
      </c>
      <c r="E13" s="13" t="s">
        <v>408</v>
      </c>
      <c r="F13" s="13">
        <f>SUM(F2:F12)</f>
        <v>10216</v>
      </c>
    </row>
    <row r="14" spans="1:6" ht="16.5" thickTop="1" thickBot="1">
      <c r="A14" s="18" t="s">
        <v>390</v>
      </c>
      <c r="B14" s="18" t="s">
        <v>745</v>
      </c>
      <c r="C14" s="18">
        <v>10</v>
      </c>
      <c r="E14" s="4"/>
      <c r="F14" s="4"/>
    </row>
    <row r="15" spans="1:6" ht="16.5" thickTop="1" thickBot="1">
      <c r="A15" s="18" t="s">
        <v>333</v>
      </c>
      <c r="B15" s="18" t="s">
        <v>745</v>
      </c>
      <c r="C15" s="18">
        <v>108</v>
      </c>
    </row>
    <row r="16" spans="1:6" ht="16.5" thickTop="1" thickBot="1">
      <c r="A16" s="18" t="s">
        <v>392</v>
      </c>
      <c r="B16" s="18" t="s">
        <v>745</v>
      </c>
      <c r="C16" s="18">
        <v>34</v>
      </c>
    </row>
    <row r="17" spans="1:3" ht="16.5" thickTop="1" thickBot="1">
      <c r="A17" s="18" t="s">
        <v>393</v>
      </c>
      <c r="B17" s="18" t="s">
        <v>49</v>
      </c>
      <c r="C17" s="18">
        <v>246</v>
      </c>
    </row>
    <row r="18" spans="1:3" ht="16.5" thickTop="1" thickBot="1">
      <c r="A18" s="18" t="s">
        <v>333</v>
      </c>
      <c r="B18" s="18" t="s">
        <v>745</v>
      </c>
      <c r="C18" s="18">
        <v>108</v>
      </c>
    </row>
    <row r="19" spans="1:3" ht="16.5" thickTop="1" thickBot="1">
      <c r="A19" s="18" t="s">
        <v>372</v>
      </c>
      <c r="B19" s="18" t="s">
        <v>745</v>
      </c>
      <c r="C19" s="18">
        <v>30</v>
      </c>
    </row>
    <row r="20" spans="1:3" ht="16.5" thickTop="1" thickBot="1">
      <c r="A20" s="18" t="s">
        <v>372</v>
      </c>
      <c r="B20" s="18" t="s">
        <v>745</v>
      </c>
      <c r="C20" s="18">
        <v>55</v>
      </c>
    </row>
    <row r="21" spans="1:3" ht="16.5" thickTop="1" thickBot="1">
      <c r="A21" s="18" t="s">
        <v>391</v>
      </c>
      <c r="B21" s="18" t="s">
        <v>745</v>
      </c>
      <c r="C21" s="18">
        <v>348</v>
      </c>
    </row>
    <row r="22" spans="1:3" ht="16.5" thickTop="1" thickBot="1">
      <c r="A22" s="18" t="s">
        <v>46</v>
      </c>
      <c r="B22" s="18" t="s">
        <v>46</v>
      </c>
      <c r="C22" s="18">
        <v>650</v>
      </c>
    </row>
    <row r="23" spans="1:3" ht="16.5" thickTop="1" thickBot="1">
      <c r="A23" s="18" t="s">
        <v>379</v>
      </c>
      <c r="B23" s="18" t="s">
        <v>45</v>
      </c>
      <c r="C23" s="18">
        <v>2110</v>
      </c>
    </row>
    <row r="24" spans="1:3" ht="16.5" thickTop="1" thickBot="1">
      <c r="A24" s="18" t="s">
        <v>373</v>
      </c>
      <c r="B24" s="18" t="s">
        <v>744</v>
      </c>
      <c r="C24" s="18">
        <v>35</v>
      </c>
    </row>
    <row r="25" spans="1:3" ht="16.5" thickTop="1" thickBot="1">
      <c r="A25" s="18" t="s">
        <v>374</v>
      </c>
      <c r="B25" s="18" t="s">
        <v>743</v>
      </c>
      <c r="C25" s="18">
        <v>70</v>
      </c>
    </row>
    <row r="26" spans="1:3" ht="16.5" thickTop="1" thickBot="1">
      <c r="A26" s="18" t="s">
        <v>375</v>
      </c>
      <c r="B26" s="18" t="s">
        <v>375</v>
      </c>
      <c r="C26" s="18">
        <v>692</v>
      </c>
    </row>
    <row r="27" spans="1:3" ht="16.5" thickTop="1" thickBot="1">
      <c r="A27" s="18" t="s">
        <v>378</v>
      </c>
      <c r="B27" s="18" t="s">
        <v>743</v>
      </c>
      <c r="C27" s="18">
        <v>60</v>
      </c>
    </row>
    <row r="28" spans="1:3" ht="16.5" thickTop="1" thickBot="1">
      <c r="A28" s="18" t="s">
        <v>380</v>
      </c>
      <c r="B28" s="18" t="s">
        <v>375</v>
      </c>
      <c r="C28" s="18">
        <v>84</v>
      </c>
    </row>
    <row r="29" spans="1:3" ht="16.5" thickTop="1" thickBot="1">
      <c r="A29" s="18" t="s">
        <v>318</v>
      </c>
      <c r="B29" s="18" t="s">
        <v>743</v>
      </c>
      <c r="C29" s="18">
        <v>50</v>
      </c>
    </row>
    <row r="30" spans="1:3" ht="16.5" thickTop="1" thickBot="1">
      <c r="A30" s="18" t="s">
        <v>382</v>
      </c>
      <c r="B30" s="18" t="s">
        <v>744</v>
      </c>
      <c r="C30" s="18">
        <v>185</v>
      </c>
    </row>
    <row r="31" spans="1:3" ht="16.5" thickTop="1" thickBot="1">
      <c r="A31" s="18" t="s">
        <v>318</v>
      </c>
      <c r="B31" s="18" t="s">
        <v>743</v>
      </c>
      <c r="C31" s="18">
        <v>25</v>
      </c>
    </row>
    <row r="32" spans="1:3" ht="16.5" thickTop="1" thickBot="1">
      <c r="A32" s="18" t="s">
        <v>386</v>
      </c>
      <c r="B32" s="18" t="s">
        <v>744</v>
      </c>
      <c r="C32" s="18">
        <v>12</v>
      </c>
    </row>
    <row r="33" spans="1:3" ht="16.5" thickTop="1" thickBot="1">
      <c r="A33" s="18" t="s">
        <v>327</v>
      </c>
      <c r="B33" s="18" t="s">
        <v>47</v>
      </c>
      <c r="C33" s="18">
        <v>120</v>
      </c>
    </row>
    <row r="34" spans="1:3" ht="16.5" thickTop="1" thickBot="1">
      <c r="A34" s="18" t="s">
        <v>327</v>
      </c>
      <c r="B34" s="18" t="s">
        <v>47</v>
      </c>
      <c r="C34" s="18">
        <v>110</v>
      </c>
    </row>
    <row r="35" spans="1:3" ht="16.5" thickTop="1" thickBot="1">
      <c r="A35" s="18" t="s">
        <v>327</v>
      </c>
      <c r="B35" s="18" t="s">
        <v>47</v>
      </c>
      <c r="C35" s="18">
        <v>152</v>
      </c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6.5" thickTop="1" thickBot="1">
      <c r="A42" s="18"/>
      <c r="B42" s="18"/>
      <c r="C42" s="18"/>
    </row>
    <row r="43" spans="1:3" ht="15.75" thickTop="1"/>
  </sheetData>
  <sortState xmlns:xlrd2="http://schemas.microsoft.com/office/spreadsheetml/2017/richdata2" ref="A2:C43">
    <sortCondition ref="B1"/>
  </sortState>
  <dataValidations count="2">
    <dataValidation type="list" allowBlank="1" showInputMessage="1" showErrorMessage="1" sqref="B37:B42" xr:uid="{A99B00B1-6820-40F4-9BE0-182DD04C97F6}">
      <formula1>"猫砂,猫粮,零食,药,日用品,买猫,其它"</formula1>
    </dataValidation>
    <dataValidation type="list" allowBlank="1" showInputMessage="1" showErrorMessage="1" sqref="B2:B36" xr:uid="{756377A1-6576-4632-A8DF-2A5B6A74DFDE}">
      <formula1>"猫砂,猫粮,零食,消耗品,疫苗,常用药,治疗费,不常用药,运费,买猫,其它"</formula1>
    </dataValidation>
  </dataValidation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33"/>
  <dimension ref="A1:F43"/>
  <sheetViews>
    <sheetView workbookViewId="0">
      <selection activeCell="D15" sqref="D15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327</v>
      </c>
      <c r="B2" s="18" t="s">
        <v>47</v>
      </c>
      <c r="C2" s="18">
        <v>180</v>
      </c>
      <c r="E2" s="13" t="s">
        <v>1</v>
      </c>
      <c r="F2" s="13">
        <f t="shared" ref="F2:F12" si="0">SUMIF(B:B,E2,C:C)</f>
        <v>180</v>
      </c>
    </row>
    <row r="3" spans="1:6" ht="16.5" thickTop="1" thickBot="1">
      <c r="A3" s="18" t="s">
        <v>311</v>
      </c>
      <c r="B3" s="18" t="s">
        <v>743</v>
      </c>
      <c r="C3" s="18">
        <v>580</v>
      </c>
      <c r="E3" s="13" t="s">
        <v>2</v>
      </c>
      <c r="F3" s="13">
        <f t="shared" si="0"/>
        <v>880</v>
      </c>
    </row>
    <row r="4" spans="1:6" ht="16.5" thickTop="1" thickBot="1">
      <c r="A4" s="18" t="s">
        <v>312</v>
      </c>
      <c r="B4" s="18" t="s">
        <v>744</v>
      </c>
      <c r="C4" s="18">
        <v>100</v>
      </c>
      <c r="E4" s="13" t="s">
        <v>3</v>
      </c>
      <c r="F4" s="13">
        <f t="shared" si="0"/>
        <v>180</v>
      </c>
    </row>
    <row r="5" spans="1:6" ht="16.5" thickTop="1" thickBot="1">
      <c r="A5" s="18" t="s">
        <v>313</v>
      </c>
      <c r="B5" s="18" t="s">
        <v>743</v>
      </c>
      <c r="C5" s="18">
        <v>30</v>
      </c>
      <c r="E5" s="13" t="s">
        <v>745</v>
      </c>
      <c r="F5" s="13">
        <f t="shared" si="0"/>
        <v>639</v>
      </c>
    </row>
    <row r="6" spans="1:6" ht="16.5" thickTop="1" thickBot="1">
      <c r="A6" s="18" t="s">
        <v>314</v>
      </c>
      <c r="B6" s="18" t="s">
        <v>744</v>
      </c>
      <c r="C6" s="18">
        <v>15</v>
      </c>
      <c r="E6" s="13" t="s">
        <v>375</v>
      </c>
      <c r="F6" s="13">
        <f t="shared" si="0"/>
        <v>0</v>
      </c>
    </row>
    <row r="7" spans="1:6" ht="16.5" thickTop="1" thickBot="1">
      <c r="A7" s="18" t="s">
        <v>315</v>
      </c>
      <c r="B7" s="18" t="s">
        <v>744</v>
      </c>
      <c r="C7" s="18">
        <v>18</v>
      </c>
      <c r="E7" s="13" t="s">
        <v>743</v>
      </c>
      <c r="F7" s="13">
        <f t="shared" si="0"/>
        <v>865</v>
      </c>
    </row>
    <row r="8" spans="1:6" ht="16.5" thickTop="1" thickBot="1">
      <c r="A8" s="18" t="s">
        <v>316</v>
      </c>
      <c r="B8" s="18" t="s">
        <v>744</v>
      </c>
      <c r="C8" s="18">
        <v>35</v>
      </c>
      <c r="E8" s="13" t="s">
        <v>746</v>
      </c>
      <c r="F8" s="13">
        <f t="shared" si="0"/>
        <v>0</v>
      </c>
    </row>
    <row r="9" spans="1:6" ht="16.5" thickTop="1" thickBot="1">
      <c r="A9" s="18" t="s">
        <v>317</v>
      </c>
      <c r="B9" s="18" t="s">
        <v>744</v>
      </c>
      <c r="C9" s="18">
        <v>28</v>
      </c>
      <c r="E9" s="13" t="s">
        <v>744</v>
      </c>
      <c r="F9" s="13">
        <f t="shared" si="0"/>
        <v>298</v>
      </c>
    </row>
    <row r="10" spans="1:6" ht="16.5" thickTop="1" thickBot="1">
      <c r="A10" s="18" t="s">
        <v>318</v>
      </c>
      <c r="B10" s="18" t="s">
        <v>743</v>
      </c>
      <c r="C10" s="18">
        <v>20</v>
      </c>
      <c r="E10" s="13" t="s">
        <v>444</v>
      </c>
      <c r="F10" s="13">
        <f t="shared" si="0"/>
        <v>93</v>
      </c>
    </row>
    <row r="11" spans="1:6" ht="16.5" thickTop="1" thickBot="1">
      <c r="A11" s="18" t="s">
        <v>319</v>
      </c>
      <c r="B11" s="18" t="s">
        <v>744</v>
      </c>
      <c r="C11" s="18">
        <v>40</v>
      </c>
      <c r="E11" s="13" t="s">
        <v>48</v>
      </c>
      <c r="F11" s="13">
        <f t="shared" si="0"/>
        <v>1000</v>
      </c>
    </row>
    <row r="12" spans="1:6" ht="16.5" thickTop="1" thickBot="1">
      <c r="A12" s="18" t="s">
        <v>320</v>
      </c>
      <c r="B12" s="18" t="s">
        <v>744</v>
      </c>
      <c r="C12" s="18">
        <v>20</v>
      </c>
      <c r="E12" s="13" t="s">
        <v>49</v>
      </c>
      <c r="F12" s="13">
        <f t="shared" si="0"/>
        <v>1768</v>
      </c>
    </row>
    <row r="13" spans="1:6" ht="16.5" thickTop="1" thickBot="1">
      <c r="A13" s="18" t="s">
        <v>332</v>
      </c>
      <c r="B13" s="18" t="s">
        <v>743</v>
      </c>
      <c r="C13" s="18">
        <v>235</v>
      </c>
      <c r="E13" s="13" t="s">
        <v>408</v>
      </c>
      <c r="F13" s="13">
        <f>SUM(F2:F12)</f>
        <v>5903</v>
      </c>
    </row>
    <row r="14" spans="1:6" ht="16.5" thickTop="1" thickBot="1">
      <c r="A14" s="18" t="s">
        <v>45</v>
      </c>
      <c r="B14" s="18" t="s">
        <v>45</v>
      </c>
      <c r="C14" s="18">
        <v>180</v>
      </c>
      <c r="E14" s="4"/>
      <c r="F14" s="4"/>
    </row>
    <row r="15" spans="1:6" ht="16.5" thickTop="1" thickBot="1">
      <c r="A15" s="18" t="s">
        <v>46</v>
      </c>
      <c r="B15" s="18" t="s">
        <v>46</v>
      </c>
      <c r="C15" s="18">
        <v>880</v>
      </c>
    </row>
    <row r="16" spans="1:6" ht="16.5" thickTop="1" thickBot="1">
      <c r="A16" s="18" t="s">
        <v>321</v>
      </c>
      <c r="B16" s="18" t="s">
        <v>49</v>
      </c>
      <c r="C16" s="18">
        <v>10</v>
      </c>
    </row>
    <row r="17" spans="1:3" ht="16.5" thickTop="1" thickBot="1">
      <c r="A17" s="18" t="s">
        <v>322</v>
      </c>
      <c r="B17" s="18" t="s">
        <v>49</v>
      </c>
      <c r="C17" s="18">
        <v>22</v>
      </c>
    </row>
    <row r="18" spans="1:3" ht="16.5" thickTop="1" thickBot="1">
      <c r="A18" s="18" t="s">
        <v>323</v>
      </c>
      <c r="B18" s="18" t="s">
        <v>49</v>
      </c>
      <c r="C18" s="18">
        <v>34</v>
      </c>
    </row>
    <row r="19" spans="1:3" ht="16.5" thickTop="1" thickBot="1">
      <c r="A19" s="18" t="s">
        <v>324</v>
      </c>
      <c r="B19" s="18" t="s">
        <v>49</v>
      </c>
      <c r="C19" s="18">
        <v>1600</v>
      </c>
    </row>
    <row r="20" spans="1:3" ht="16.5" thickTop="1" thickBot="1">
      <c r="A20" s="18" t="s">
        <v>325</v>
      </c>
      <c r="B20" s="18" t="s">
        <v>444</v>
      </c>
      <c r="C20" s="18">
        <v>48</v>
      </c>
    </row>
    <row r="21" spans="1:3" ht="16.5" thickTop="1" thickBot="1">
      <c r="A21" s="18" t="s">
        <v>328</v>
      </c>
      <c r="B21" s="18" t="s">
        <v>444</v>
      </c>
      <c r="C21" s="18">
        <v>10</v>
      </c>
    </row>
    <row r="22" spans="1:3" ht="16.5" thickTop="1" thickBot="1">
      <c r="A22" s="18" t="s">
        <v>325</v>
      </c>
      <c r="B22" s="18" t="s">
        <v>444</v>
      </c>
      <c r="C22" s="18">
        <v>35</v>
      </c>
    </row>
    <row r="23" spans="1:3" ht="16.5" thickTop="1" thickBot="1">
      <c r="A23" s="18" t="s">
        <v>329</v>
      </c>
      <c r="B23" s="18" t="s">
        <v>49</v>
      </c>
      <c r="C23" s="18">
        <v>70</v>
      </c>
    </row>
    <row r="24" spans="1:3" ht="16.5" thickTop="1" thickBot="1">
      <c r="A24" s="18" t="s">
        <v>330</v>
      </c>
      <c r="B24" s="18" t="s">
        <v>744</v>
      </c>
      <c r="C24" s="18">
        <v>42</v>
      </c>
    </row>
    <row r="25" spans="1:3" ht="16.5" thickTop="1" thickBot="1">
      <c r="A25" s="18" t="s">
        <v>331</v>
      </c>
      <c r="B25" s="18" t="s">
        <v>49</v>
      </c>
      <c r="C25" s="18">
        <v>10</v>
      </c>
    </row>
    <row r="26" spans="1:3" ht="16.5" thickTop="1" thickBot="1">
      <c r="A26" s="18" t="s">
        <v>322</v>
      </c>
      <c r="B26" s="18" t="s">
        <v>49</v>
      </c>
      <c r="C26" s="18">
        <v>22</v>
      </c>
    </row>
    <row r="27" spans="1:3" ht="16.5" thickTop="1" thickBot="1">
      <c r="A27" s="18" t="s">
        <v>333</v>
      </c>
      <c r="B27" s="18" t="s">
        <v>745</v>
      </c>
      <c r="C27" s="18">
        <v>373</v>
      </c>
    </row>
    <row r="28" spans="1:3" ht="16.5" thickTop="1" thickBot="1">
      <c r="A28" s="18" t="s">
        <v>334</v>
      </c>
      <c r="B28" s="18" t="s">
        <v>745</v>
      </c>
      <c r="C28" s="18">
        <v>266</v>
      </c>
    </row>
    <row r="29" spans="1:3" ht="16.5" thickTop="1" thickBot="1">
      <c r="A29" s="18" t="s">
        <v>326</v>
      </c>
      <c r="B29" s="18" t="s">
        <v>48</v>
      </c>
      <c r="C29" s="18">
        <v>1000</v>
      </c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6.5" thickTop="1" thickBot="1">
      <c r="A42" s="18"/>
      <c r="B42" s="18"/>
      <c r="C42" s="18"/>
    </row>
    <row r="43" spans="1:3" ht="15.75" thickTop="1"/>
  </sheetData>
  <sortState xmlns:xlrd2="http://schemas.microsoft.com/office/spreadsheetml/2017/richdata2" ref="A2:C43">
    <sortCondition descending="1" ref="B1"/>
  </sortState>
  <phoneticPr fontId="2" type="noConversion"/>
  <dataValidations count="2">
    <dataValidation type="list" allowBlank="1" showInputMessage="1" showErrorMessage="1" sqref="B31:B42" xr:uid="{00000000-0002-0000-0A00-000000000000}">
      <formula1>"猫砂,猫粮,零食,药,日用品,买猫,其它"</formula1>
    </dataValidation>
    <dataValidation type="list" allowBlank="1" showInputMessage="1" showErrorMessage="1" sqref="B2:B30" xr:uid="{D4861BE6-E6BA-4615-B8C5-B702492157AB}">
      <formula1>"猫砂,猫粮,零食,消耗品,疫苗,常用药,治疗费,不常用药,运费,买猫,其它"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4"/>
  <dimension ref="A1:F43"/>
  <sheetViews>
    <sheetView zoomScaleNormal="100" workbookViewId="0">
      <selection activeCell="D15" sqref="D15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289</v>
      </c>
      <c r="B2" s="18" t="s">
        <v>47</v>
      </c>
      <c r="C2" s="18">
        <v>96</v>
      </c>
      <c r="E2" s="13" t="s">
        <v>1</v>
      </c>
      <c r="F2" s="13">
        <f t="shared" ref="F2:F12" si="0">SUMIF(B:B,E2,C:C)</f>
        <v>2256</v>
      </c>
    </row>
    <row r="3" spans="1:6" ht="16.5" thickTop="1" thickBot="1">
      <c r="A3" s="18" t="s">
        <v>292</v>
      </c>
      <c r="B3" s="18" t="s">
        <v>47</v>
      </c>
      <c r="C3" s="18">
        <v>68</v>
      </c>
      <c r="E3" s="13" t="s">
        <v>2</v>
      </c>
      <c r="F3" s="13">
        <f t="shared" si="0"/>
        <v>0</v>
      </c>
    </row>
    <row r="4" spans="1:6" ht="16.5" thickTop="1" thickBot="1">
      <c r="A4" s="18" t="s">
        <v>276</v>
      </c>
      <c r="B4" s="18" t="s">
        <v>744</v>
      </c>
      <c r="C4" s="18">
        <v>10</v>
      </c>
      <c r="E4" s="13" t="s">
        <v>3</v>
      </c>
      <c r="F4" s="13">
        <f t="shared" si="0"/>
        <v>164</v>
      </c>
    </row>
    <row r="5" spans="1:6" ht="16.5" thickTop="1" thickBot="1">
      <c r="A5" s="18" t="s">
        <v>277</v>
      </c>
      <c r="B5" s="18" t="s">
        <v>743</v>
      </c>
      <c r="C5" s="18">
        <v>37</v>
      </c>
      <c r="E5" s="13" t="s">
        <v>745</v>
      </c>
      <c r="F5" s="13">
        <f t="shared" si="0"/>
        <v>478</v>
      </c>
    </row>
    <row r="6" spans="1:6" ht="16.5" thickTop="1" thickBot="1">
      <c r="A6" s="18" t="s">
        <v>280</v>
      </c>
      <c r="B6" s="18" t="s">
        <v>49</v>
      </c>
      <c r="C6" s="18">
        <v>13</v>
      </c>
      <c r="E6" s="13" t="s">
        <v>375</v>
      </c>
      <c r="F6" s="13">
        <f t="shared" si="0"/>
        <v>1243</v>
      </c>
    </row>
    <row r="7" spans="1:6" ht="16.5" thickTop="1" thickBot="1">
      <c r="A7" s="18" t="s">
        <v>285</v>
      </c>
      <c r="B7" s="18" t="s">
        <v>375</v>
      </c>
      <c r="C7" s="18">
        <v>427</v>
      </c>
      <c r="E7" s="13" t="s">
        <v>743</v>
      </c>
      <c r="F7" s="13">
        <f t="shared" si="0"/>
        <v>1585</v>
      </c>
    </row>
    <row r="8" spans="1:6" ht="16.5" thickTop="1" thickBot="1">
      <c r="A8" s="18" t="s">
        <v>290</v>
      </c>
      <c r="B8" s="18" t="s">
        <v>743</v>
      </c>
      <c r="C8" s="18">
        <v>1548</v>
      </c>
      <c r="E8" s="13" t="s">
        <v>746</v>
      </c>
      <c r="F8" s="13">
        <f t="shared" si="0"/>
        <v>1400</v>
      </c>
    </row>
    <row r="9" spans="1:6" ht="16.5" thickTop="1" thickBot="1">
      <c r="A9" s="18" t="s">
        <v>291</v>
      </c>
      <c r="B9" s="18" t="s">
        <v>746</v>
      </c>
      <c r="C9" s="18">
        <v>1400</v>
      </c>
      <c r="E9" s="13" t="s">
        <v>744</v>
      </c>
      <c r="F9" s="13">
        <f t="shared" si="0"/>
        <v>10</v>
      </c>
    </row>
    <row r="10" spans="1:6" ht="16.5" thickTop="1" thickBot="1">
      <c r="A10" s="18" t="s">
        <v>294</v>
      </c>
      <c r="B10" s="18" t="s">
        <v>375</v>
      </c>
      <c r="C10" s="18">
        <v>816</v>
      </c>
      <c r="E10" s="13" t="s">
        <v>444</v>
      </c>
      <c r="F10" s="13">
        <f t="shared" si="0"/>
        <v>0</v>
      </c>
    </row>
    <row r="11" spans="1:6" ht="16.5" thickTop="1" thickBot="1">
      <c r="A11" s="18" t="s">
        <v>284</v>
      </c>
      <c r="B11" s="18" t="s">
        <v>45</v>
      </c>
      <c r="C11" s="18">
        <v>2256</v>
      </c>
      <c r="E11" s="13" t="s">
        <v>48</v>
      </c>
      <c r="F11" s="13">
        <f t="shared" si="0"/>
        <v>0</v>
      </c>
    </row>
    <row r="12" spans="1:6" ht="16.5" thickTop="1" thickBot="1">
      <c r="A12" s="18" t="s">
        <v>273</v>
      </c>
      <c r="B12" s="18" t="s">
        <v>745</v>
      </c>
      <c r="C12" s="18">
        <v>170</v>
      </c>
      <c r="E12" s="13" t="s">
        <v>49</v>
      </c>
      <c r="F12" s="13">
        <f t="shared" si="0"/>
        <v>1245</v>
      </c>
    </row>
    <row r="13" spans="1:6" ht="16.5" thickTop="1" thickBot="1">
      <c r="A13" s="18" t="s">
        <v>274</v>
      </c>
      <c r="B13" s="18" t="s">
        <v>745</v>
      </c>
      <c r="C13" s="18">
        <v>60</v>
      </c>
      <c r="E13" s="13" t="s">
        <v>408</v>
      </c>
      <c r="F13" s="13">
        <f>SUM(F2:F12)</f>
        <v>8381</v>
      </c>
    </row>
    <row r="14" spans="1:6" ht="16.5" thickTop="1" thickBot="1">
      <c r="A14" s="18" t="s">
        <v>275</v>
      </c>
      <c r="B14" s="18" t="s">
        <v>745</v>
      </c>
      <c r="C14" s="18">
        <v>220</v>
      </c>
      <c r="E14" s="4"/>
      <c r="F14" s="4"/>
    </row>
    <row r="15" spans="1:6" ht="16.5" thickTop="1" thickBot="1">
      <c r="A15" s="18" t="s">
        <v>279</v>
      </c>
      <c r="B15" s="18" t="s">
        <v>745</v>
      </c>
      <c r="C15" s="18">
        <v>28</v>
      </c>
    </row>
    <row r="16" spans="1:6" ht="16.5" thickTop="1" thickBot="1">
      <c r="A16" s="18" t="s">
        <v>278</v>
      </c>
      <c r="B16" s="18" t="s">
        <v>49</v>
      </c>
      <c r="C16" s="18">
        <v>31</v>
      </c>
    </row>
    <row r="17" spans="1:3" ht="16.5" thickTop="1" thickBot="1">
      <c r="A17" s="18" t="s">
        <v>282</v>
      </c>
      <c r="B17" s="18" t="s">
        <v>49</v>
      </c>
      <c r="C17" s="18">
        <v>50</v>
      </c>
    </row>
    <row r="18" spans="1:3" ht="16.5" thickTop="1" thickBot="1">
      <c r="A18" s="18" t="s">
        <v>283</v>
      </c>
      <c r="B18" s="18" t="s">
        <v>49</v>
      </c>
      <c r="C18" s="18">
        <v>50</v>
      </c>
    </row>
    <row r="19" spans="1:3" ht="16.5" thickTop="1" thickBot="1">
      <c r="A19" s="18" t="s">
        <v>286</v>
      </c>
      <c r="B19" s="18" t="s">
        <v>49</v>
      </c>
      <c r="C19" s="18">
        <v>520</v>
      </c>
    </row>
    <row r="20" spans="1:3" ht="16.5" thickTop="1" thickBot="1">
      <c r="A20" s="18" t="s">
        <v>287</v>
      </c>
      <c r="B20" s="18" t="s">
        <v>49</v>
      </c>
      <c r="C20" s="18">
        <v>80</v>
      </c>
    </row>
    <row r="21" spans="1:3" ht="16.5" thickTop="1" thickBot="1">
      <c r="A21" s="18" t="s">
        <v>288</v>
      </c>
      <c r="B21" s="18" t="s">
        <v>49</v>
      </c>
      <c r="C21" s="18">
        <v>180</v>
      </c>
    </row>
    <row r="22" spans="1:3" ht="16.5" thickTop="1" thickBot="1">
      <c r="A22" s="18" t="s">
        <v>293</v>
      </c>
      <c r="B22" s="18" t="s">
        <v>49</v>
      </c>
      <c r="C22" s="18">
        <v>130</v>
      </c>
    </row>
    <row r="23" spans="1:3" ht="16.5" thickTop="1" thickBot="1">
      <c r="A23" s="18" t="s">
        <v>295</v>
      </c>
      <c r="B23" s="18" t="s">
        <v>49</v>
      </c>
      <c r="C23" s="18">
        <v>191</v>
      </c>
    </row>
    <row r="24" spans="1:3" ht="16.5" thickTop="1" thickBot="1">
      <c r="A24" s="18"/>
      <c r="B24" s="18"/>
      <c r="C24" s="18"/>
    </row>
    <row r="25" spans="1:3" ht="16.5" thickTop="1" thickBot="1">
      <c r="A25" s="18"/>
      <c r="B25" s="18"/>
      <c r="C25" s="18"/>
    </row>
    <row r="26" spans="1:3" ht="16.5" thickTop="1" thickBot="1">
      <c r="A26" s="18"/>
      <c r="B26" s="18"/>
      <c r="C26" s="18"/>
    </row>
    <row r="27" spans="1:3" ht="16.5" thickTop="1" thickBot="1">
      <c r="A27" s="18"/>
      <c r="B27" s="18"/>
      <c r="C27" s="18"/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6.5" thickTop="1" thickBot="1">
      <c r="A42" s="18"/>
      <c r="B42" s="18"/>
      <c r="C42" s="18"/>
    </row>
    <row r="43" spans="1:3" ht="15.75" thickTop="1"/>
  </sheetData>
  <sortState xmlns:xlrd2="http://schemas.microsoft.com/office/spreadsheetml/2017/richdata2" ref="A2:C43">
    <sortCondition descending="1" ref="B4"/>
  </sortState>
  <phoneticPr fontId="2" type="noConversion"/>
  <dataValidations count="2">
    <dataValidation type="list" allowBlank="1" showInputMessage="1" showErrorMessage="1" sqref="B25:B42" xr:uid="{00000000-0002-0000-0900-000000000000}">
      <formula1>"猫砂,猫粮,零食,药,日用品,买猫,其它"</formula1>
    </dataValidation>
    <dataValidation type="list" allowBlank="1" showInputMessage="1" showErrorMessage="1" sqref="B2:B24" xr:uid="{89B34E66-7ED9-45AE-A19E-CF568E14BDE9}">
      <formula1>"猫砂,猫粮,零食,消耗品,疫苗,常用药,治疗费,不常用药,运费,买猫,其它"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5"/>
  <dimension ref="A1:F43"/>
  <sheetViews>
    <sheetView workbookViewId="0">
      <selection activeCell="D15" sqref="D15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240</v>
      </c>
      <c r="B2" s="18" t="s">
        <v>743</v>
      </c>
      <c r="C2" s="18">
        <v>46</v>
      </c>
      <c r="E2" s="13" t="s">
        <v>1</v>
      </c>
      <c r="F2" s="13">
        <f t="shared" ref="F2:F12" si="0">SUMIF(B:B,E2,C:C)</f>
        <v>3710</v>
      </c>
    </row>
    <row r="3" spans="1:6" ht="16.5" thickTop="1" thickBot="1">
      <c r="A3" s="18" t="s">
        <v>241</v>
      </c>
      <c r="B3" s="18" t="s">
        <v>744</v>
      </c>
      <c r="C3" s="18">
        <v>125</v>
      </c>
      <c r="E3" s="13" t="s">
        <v>2</v>
      </c>
      <c r="F3" s="13">
        <f t="shared" si="0"/>
        <v>880</v>
      </c>
    </row>
    <row r="4" spans="1:6" ht="16.5" thickTop="1" thickBot="1">
      <c r="A4" s="18" t="s">
        <v>242</v>
      </c>
      <c r="B4" s="18" t="s">
        <v>744</v>
      </c>
      <c r="C4" s="18">
        <v>300</v>
      </c>
      <c r="E4" s="13" t="s">
        <v>3</v>
      </c>
      <c r="F4" s="13">
        <f t="shared" si="0"/>
        <v>0</v>
      </c>
    </row>
    <row r="5" spans="1:6" ht="16.5" thickTop="1" thickBot="1">
      <c r="A5" s="18" t="s">
        <v>246</v>
      </c>
      <c r="B5" s="18" t="s">
        <v>744</v>
      </c>
      <c r="C5" s="18">
        <v>10</v>
      </c>
      <c r="E5" s="13" t="s">
        <v>745</v>
      </c>
      <c r="F5" s="13">
        <f t="shared" si="0"/>
        <v>991</v>
      </c>
    </row>
    <row r="6" spans="1:6" ht="16.5" thickTop="1" thickBot="1">
      <c r="A6" s="18" t="s">
        <v>249</v>
      </c>
      <c r="B6" s="18" t="s">
        <v>743</v>
      </c>
      <c r="C6" s="18">
        <v>54</v>
      </c>
      <c r="E6" s="13" t="s">
        <v>375</v>
      </c>
      <c r="F6" s="13">
        <f t="shared" si="0"/>
        <v>2367</v>
      </c>
    </row>
    <row r="7" spans="1:6" ht="16.5" thickTop="1" thickBot="1">
      <c r="A7" s="18" t="s">
        <v>250</v>
      </c>
      <c r="B7" s="18" t="s">
        <v>744</v>
      </c>
      <c r="C7" s="18">
        <v>26</v>
      </c>
      <c r="E7" s="13" t="s">
        <v>743</v>
      </c>
      <c r="F7" s="13">
        <f t="shared" si="0"/>
        <v>745</v>
      </c>
    </row>
    <row r="8" spans="1:6" ht="16.5" thickTop="1" thickBot="1">
      <c r="A8" s="18" t="s">
        <v>256</v>
      </c>
      <c r="B8" s="18" t="s">
        <v>745</v>
      </c>
      <c r="C8" s="18">
        <v>10</v>
      </c>
      <c r="E8" s="13" t="s">
        <v>746</v>
      </c>
      <c r="F8" s="13">
        <f t="shared" si="0"/>
        <v>0</v>
      </c>
    </row>
    <row r="9" spans="1:6" ht="16.5" thickTop="1" thickBot="1">
      <c r="A9" s="18" t="s">
        <v>257</v>
      </c>
      <c r="B9" s="18" t="s">
        <v>743</v>
      </c>
      <c r="C9" s="18">
        <v>645</v>
      </c>
      <c r="E9" s="13" t="s">
        <v>744</v>
      </c>
      <c r="F9" s="13">
        <f t="shared" si="0"/>
        <v>591</v>
      </c>
    </row>
    <row r="10" spans="1:6" ht="16.5" thickTop="1" thickBot="1">
      <c r="A10" s="18" t="s">
        <v>258</v>
      </c>
      <c r="B10" s="18" t="s">
        <v>375</v>
      </c>
      <c r="C10" s="18">
        <v>2367</v>
      </c>
      <c r="E10" s="13" t="s">
        <v>444</v>
      </c>
      <c r="F10" s="13">
        <f t="shared" si="0"/>
        <v>100</v>
      </c>
    </row>
    <row r="11" spans="1:6" ht="16.5" thickTop="1" thickBot="1">
      <c r="A11" s="18" t="s">
        <v>262</v>
      </c>
      <c r="B11" s="18" t="s">
        <v>744</v>
      </c>
      <c r="C11" s="18">
        <v>130</v>
      </c>
      <c r="E11" s="13" t="s">
        <v>48</v>
      </c>
      <c r="F11" s="13">
        <f t="shared" si="0"/>
        <v>300</v>
      </c>
    </row>
    <row r="12" spans="1:6" ht="16.5" thickTop="1" thickBot="1">
      <c r="A12" s="18" t="s">
        <v>236</v>
      </c>
      <c r="B12" s="18" t="s">
        <v>745</v>
      </c>
      <c r="C12" s="18">
        <v>170</v>
      </c>
      <c r="E12" s="13" t="s">
        <v>49</v>
      </c>
      <c r="F12" s="13">
        <f t="shared" si="0"/>
        <v>6195</v>
      </c>
    </row>
    <row r="13" spans="1:6" ht="16.5" thickTop="1" thickBot="1">
      <c r="A13" s="18" t="s">
        <v>243</v>
      </c>
      <c r="B13" s="18" t="s">
        <v>745</v>
      </c>
      <c r="C13" s="18">
        <v>170</v>
      </c>
      <c r="E13" s="13" t="s">
        <v>408</v>
      </c>
      <c r="F13" s="13">
        <f>SUM(F2:F12)</f>
        <v>15879</v>
      </c>
    </row>
    <row r="14" spans="1:6" ht="16.5" thickTop="1" thickBot="1">
      <c r="A14" s="18" t="s">
        <v>244</v>
      </c>
      <c r="B14" s="18" t="s">
        <v>745</v>
      </c>
      <c r="C14" s="18">
        <v>60</v>
      </c>
      <c r="E14" s="4"/>
      <c r="F14" s="4"/>
    </row>
    <row r="15" spans="1:6" ht="16.5" thickTop="1" thickBot="1">
      <c r="A15" s="18" t="s">
        <v>245</v>
      </c>
      <c r="B15" s="18" t="s">
        <v>745</v>
      </c>
      <c r="C15" s="18">
        <v>220</v>
      </c>
    </row>
    <row r="16" spans="1:6" ht="16.5" thickTop="1" thickBot="1">
      <c r="A16" s="18" t="s">
        <v>252</v>
      </c>
      <c r="B16" s="18" t="s">
        <v>745</v>
      </c>
      <c r="C16" s="18">
        <v>261</v>
      </c>
    </row>
    <row r="17" spans="1:3" ht="16.5" thickTop="1" thickBot="1">
      <c r="A17" s="18" t="s">
        <v>237</v>
      </c>
      <c r="B17" s="18" t="s">
        <v>49</v>
      </c>
      <c r="C17" s="18">
        <v>51</v>
      </c>
    </row>
    <row r="18" spans="1:3" ht="16.5" thickTop="1" thickBot="1">
      <c r="A18" s="18" t="s">
        <v>238</v>
      </c>
      <c r="B18" s="18" t="s">
        <v>49</v>
      </c>
      <c r="C18" s="18">
        <v>10</v>
      </c>
    </row>
    <row r="19" spans="1:3" ht="16.5" thickTop="1" thickBot="1">
      <c r="A19" s="18" t="s">
        <v>239</v>
      </c>
      <c r="B19" s="18" t="s">
        <v>49</v>
      </c>
      <c r="C19" s="18">
        <v>23</v>
      </c>
    </row>
    <row r="20" spans="1:3" ht="16.5" thickTop="1" thickBot="1">
      <c r="A20" s="18" t="s">
        <v>247</v>
      </c>
      <c r="B20" s="18" t="s">
        <v>49</v>
      </c>
      <c r="C20" s="18">
        <v>5550</v>
      </c>
    </row>
    <row r="21" spans="1:3" ht="16.5" thickTop="1" thickBot="1">
      <c r="A21" s="18" t="s">
        <v>248</v>
      </c>
      <c r="B21" s="18" t="s">
        <v>49</v>
      </c>
      <c r="C21" s="18">
        <v>500</v>
      </c>
    </row>
    <row r="22" spans="1:3" ht="16.5" thickTop="1" thickBot="1">
      <c r="A22" s="18" t="s">
        <v>253</v>
      </c>
      <c r="B22" s="18" t="s">
        <v>49</v>
      </c>
      <c r="C22" s="18">
        <v>19</v>
      </c>
    </row>
    <row r="23" spans="1:3" ht="16.5" thickTop="1" thickBot="1">
      <c r="A23" s="18" t="s">
        <v>254</v>
      </c>
      <c r="B23" s="18" t="s">
        <v>49</v>
      </c>
      <c r="C23" s="18">
        <v>30</v>
      </c>
    </row>
    <row r="24" spans="1:3" ht="16.5" thickTop="1" thickBot="1">
      <c r="A24" s="18" t="s">
        <v>255</v>
      </c>
      <c r="B24" s="18" t="s">
        <v>49</v>
      </c>
      <c r="C24" s="18">
        <v>12</v>
      </c>
    </row>
    <row r="25" spans="1:3" ht="16.5" thickTop="1" thickBot="1">
      <c r="A25" s="18" t="s">
        <v>259</v>
      </c>
      <c r="B25" s="18" t="s">
        <v>745</v>
      </c>
      <c r="C25" s="18">
        <v>100</v>
      </c>
    </row>
    <row r="26" spans="1:3" ht="16.5" thickTop="1" thickBot="1">
      <c r="A26" s="18" t="s">
        <v>264</v>
      </c>
      <c r="B26" s="18" t="s">
        <v>444</v>
      </c>
      <c r="C26" s="18">
        <v>100</v>
      </c>
    </row>
    <row r="27" spans="1:3" ht="16.5" thickTop="1" thickBot="1">
      <c r="A27" s="18" t="s">
        <v>263</v>
      </c>
      <c r="B27" s="18" t="s">
        <v>46</v>
      </c>
      <c r="C27" s="18">
        <v>880</v>
      </c>
    </row>
    <row r="28" spans="1:3" ht="16.5" thickTop="1" thickBot="1">
      <c r="A28" s="18" t="s">
        <v>251</v>
      </c>
      <c r="B28" s="18" t="s">
        <v>45</v>
      </c>
      <c r="C28" s="18">
        <v>960</v>
      </c>
    </row>
    <row r="29" spans="1:3" ht="16.5" thickTop="1" thickBot="1">
      <c r="A29" s="18" t="s">
        <v>260</v>
      </c>
      <c r="B29" s="18" t="s">
        <v>45</v>
      </c>
      <c r="C29" s="18">
        <v>2750</v>
      </c>
    </row>
    <row r="30" spans="1:3" ht="16.5" thickTop="1" thickBot="1">
      <c r="A30" s="18" t="s">
        <v>261</v>
      </c>
      <c r="B30" s="18" t="s">
        <v>48</v>
      </c>
      <c r="C30" s="18">
        <v>300</v>
      </c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6.5" thickTop="1" thickBot="1">
      <c r="A42" s="18"/>
      <c r="B42" s="18"/>
      <c r="C42" s="18"/>
    </row>
    <row r="43" spans="1:3" ht="15.75" thickTop="1"/>
  </sheetData>
  <sortState xmlns:xlrd2="http://schemas.microsoft.com/office/spreadsheetml/2017/richdata2" ref="A2:C30">
    <sortCondition descending="1" ref="B2"/>
  </sortState>
  <phoneticPr fontId="2" type="noConversion"/>
  <dataValidations count="2">
    <dataValidation type="list" allowBlank="1" showInputMessage="1" showErrorMessage="1" sqref="B32:B42" xr:uid="{00000000-0002-0000-0800-000000000000}">
      <formula1>"猫砂,猫粮,零食,药,日用品,买猫,其它"</formula1>
    </dataValidation>
    <dataValidation type="list" allowBlank="1" showInputMessage="1" showErrorMessage="1" sqref="B2:B31" xr:uid="{49A47890-239E-4A27-82EA-DFC818861321}">
      <formula1>"猫砂,猫粮,零食,消耗品,疫苗,常用药,治疗费,不常用药,运费,买猫,其它"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6"/>
  <dimension ref="A1:F43"/>
  <sheetViews>
    <sheetView workbookViewId="0">
      <selection activeCell="D15" sqref="D15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129</v>
      </c>
      <c r="B2" s="18" t="s">
        <v>47</v>
      </c>
      <c r="C2" s="18">
        <v>94</v>
      </c>
      <c r="E2" s="13" t="s">
        <v>1</v>
      </c>
      <c r="F2" s="13">
        <f t="shared" ref="F2:F12" si="0">SUMIF(B:B,E2,C:C)</f>
        <v>930</v>
      </c>
    </row>
    <row r="3" spans="1:6" ht="16.5" thickTop="1" thickBot="1">
      <c r="A3" s="18" t="s">
        <v>223</v>
      </c>
      <c r="B3" s="18" t="s">
        <v>47</v>
      </c>
      <c r="C3" s="18">
        <v>48</v>
      </c>
      <c r="E3" s="13" t="s">
        <v>2</v>
      </c>
      <c r="F3" s="13">
        <f t="shared" si="0"/>
        <v>54</v>
      </c>
    </row>
    <row r="4" spans="1:6" ht="16.5" thickTop="1" thickBot="1">
      <c r="A4" s="18" t="s">
        <v>224</v>
      </c>
      <c r="B4" s="18" t="s">
        <v>47</v>
      </c>
      <c r="C4" s="18">
        <v>96</v>
      </c>
      <c r="E4" s="13" t="s">
        <v>3</v>
      </c>
      <c r="F4" s="13">
        <f t="shared" si="0"/>
        <v>238</v>
      </c>
    </row>
    <row r="5" spans="1:6" ht="16.5" thickTop="1" thickBot="1">
      <c r="A5" s="18" t="s">
        <v>214</v>
      </c>
      <c r="B5" s="18" t="s">
        <v>48</v>
      </c>
      <c r="C5" s="18">
        <v>200</v>
      </c>
      <c r="E5" s="13" t="s">
        <v>745</v>
      </c>
      <c r="F5" s="13">
        <f t="shared" si="0"/>
        <v>241</v>
      </c>
    </row>
    <row r="6" spans="1:6" ht="16.5" thickTop="1" thickBot="1">
      <c r="A6" s="18" t="s">
        <v>1</v>
      </c>
      <c r="B6" s="18" t="s">
        <v>45</v>
      </c>
      <c r="C6" s="18">
        <v>930</v>
      </c>
      <c r="E6" s="13" t="s">
        <v>375</v>
      </c>
      <c r="F6" s="13">
        <f t="shared" si="0"/>
        <v>718</v>
      </c>
    </row>
    <row r="7" spans="1:6" ht="16.5" thickTop="1" thickBot="1">
      <c r="A7" s="18" t="s">
        <v>222</v>
      </c>
      <c r="B7" s="18" t="s">
        <v>46</v>
      </c>
      <c r="C7" s="18">
        <v>54</v>
      </c>
      <c r="E7" s="13" t="s">
        <v>743</v>
      </c>
      <c r="F7" s="13">
        <f t="shared" si="0"/>
        <v>577</v>
      </c>
    </row>
    <row r="8" spans="1:6" ht="16.5" thickTop="1" thickBot="1">
      <c r="A8" s="18" t="s">
        <v>210</v>
      </c>
      <c r="B8" s="18" t="s">
        <v>49</v>
      </c>
      <c r="C8" s="18">
        <v>21</v>
      </c>
      <c r="E8" s="13" t="s">
        <v>746</v>
      </c>
      <c r="F8" s="13">
        <f t="shared" si="0"/>
        <v>0</v>
      </c>
    </row>
    <row r="9" spans="1:6" ht="16.5" thickTop="1" thickBot="1">
      <c r="A9" s="18" t="s">
        <v>219</v>
      </c>
      <c r="B9" s="18" t="s">
        <v>49</v>
      </c>
      <c r="C9" s="18">
        <v>40</v>
      </c>
      <c r="E9" s="13" t="s">
        <v>744</v>
      </c>
      <c r="F9" s="13">
        <f t="shared" si="0"/>
        <v>0</v>
      </c>
    </row>
    <row r="10" spans="1:6" ht="16.5" thickTop="1" thickBot="1">
      <c r="A10" s="18" t="s">
        <v>221</v>
      </c>
      <c r="B10" s="18" t="s">
        <v>49</v>
      </c>
      <c r="C10" s="18">
        <v>40</v>
      </c>
      <c r="E10" s="13" t="s">
        <v>444</v>
      </c>
      <c r="F10" s="13">
        <f t="shared" si="0"/>
        <v>0</v>
      </c>
    </row>
    <row r="11" spans="1:6" ht="16.5" thickTop="1" thickBot="1">
      <c r="A11" s="18" t="s">
        <v>221</v>
      </c>
      <c r="B11" s="18" t="s">
        <v>49</v>
      </c>
      <c r="C11" s="18">
        <v>13</v>
      </c>
      <c r="E11" s="13" t="s">
        <v>48</v>
      </c>
      <c r="F11" s="13">
        <f t="shared" si="0"/>
        <v>200</v>
      </c>
    </row>
    <row r="12" spans="1:6" ht="16.5" thickTop="1" thickBot="1">
      <c r="A12" s="18" t="s">
        <v>209</v>
      </c>
      <c r="B12" s="18" t="s">
        <v>745</v>
      </c>
      <c r="C12" s="18">
        <v>100</v>
      </c>
      <c r="E12" s="13" t="s">
        <v>49</v>
      </c>
      <c r="F12" s="13">
        <f t="shared" si="0"/>
        <v>114</v>
      </c>
    </row>
    <row r="13" spans="1:6" ht="16.5" thickTop="1" thickBot="1">
      <c r="A13" s="18" t="s">
        <v>208</v>
      </c>
      <c r="B13" s="18" t="s">
        <v>745</v>
      </c>
      <c r="C13" s="18">
        <v>7</v>
      </c>
      <c r="E13" s="13" t="s">
        <v>408</v>
      </c>
      <c r="F13" s="13">
        <f>SUM(F2:F12)</f>
        <v>3072</v>
      </c>
    </row>
    <row r="14" spans="1:6" ht="16.5" thickTop="1" thickBot="1">
      <c r="A14" s="18" t="s">
        <v>220</v>
      </c>
      <c r="B14" s="18" t="s">
        <v>745</v>
      </c>
      <c r="C14" s="18">
        <v>19</v>
      </c>
      <c r="E14" s="4"/>
      <c r="F14" s="4"/>
    </row>
    <row r="15" spans="1:6" ht="16.5" thickTop="1" thickBot="1">
      <c r="A15" s="18" t="s">
        <v>67</v>
      </c>
      <c r="B15" s="18" t="s">
        <v>745</v>
      </c>
      <c r="C15" s="18">
        <v>19</v>
      </c>
    </row>
    <row r="16" spans="1:6" ht="16.5" thickTop="1" thickBot="1">
      <c r="A16" s="18" t="s">
        <v>95</v>
      </c>
      <c r="B16" s="18" t="s">
        <v>745</v>
      </c>
      <c r="C16" s="18">
        <v>96</v>
      </c>
    </row>
    <row r="17" spans="1:3" ht="16.5" thickTop="1" thickBot="1">
      <c r="A17" s="18" t="s">
        <v>211</v>
      </c>
      <c r="B17" s="18" t="s">
        <v>743</v>
      </c>
      <c r="C17" s="18">
        <v>200</v>
      </c>
    </row>
    <row r="18" spans="1:3" ht="16.5" thickTop="1" thickBot="1">
      <c r="A18" s="18" t="s">
        <v>4</v>
      </c>
      <c r="B18" s="18" t="s">
        <v>743</v>
      </c>
      <c r="C18" s="18">
        <v>54</v>
      </c>
    </row>
    <row r="19" spans="1:3" ht="16.5" thickTop="1" thickBot="1">
      <c r="A19" s="18" t="s">
        <v>213</v>
      </c>
      <c r="B19" s="18" t="s">
        <v>375</v>
      </c>
      <c r="C19" s="18">
        <v>398</v>
      </c>
    </row>
    <row r="20" spans="1:3" ht="16.5" thickTop="1" thickBot="1">
      <c r="A20" s="18" t="s">
        <v>215</v>
      </c>
      <c r="B20" s="18" t="s">
        <v>743</v>
      </c>
      <c r="C20" s="18">
        <v>18</v>
      </c>
    </row>
    <row r="21" spans="1:3" ht="16.5" thickTop="1" thickBot="1">
      <c r="A21" s="18" t="s">
        <v>216</v>
      </c>
      <c r="B21" s="18" t="s">
        <v>743</v>
      </c>
      <c r="C21" s="18">
        <v>35</v>
      </c>
    </row>
    <row r="22" spans="1:3" ht="16.5" thickTop="1" thickBot="1">
      <c r="A22" s="18" t="s">
        <v>4</v>
      </c>
      <c r="B22" s="18" t="s">
        <v>743</v>
      </c>
      <c r="C22" s="18">
        <v>130</v>
      </c>
    </row>
    <row r="23" spans="1:3" ht="16.5" thickTop="1" thickBot="1">
      <c r="A23" s="18" t="s">
        <v>217</v>
      </c>
      <c r="B23" s="18" t="s">
        <v>743</v>
      </c>
      <c r="C23" s="18">
        <v>140</v>
      </c>
    </row>
    <row r="24" spans="1:3" ht="16.5" thickTop="1" thickBot="1">
      <c r="A24" s="18" t="s">
        <v>218</v>
      </c>
      <c r="B24" s="18" t="s">
        <v>375</v>
      </c>
      <c r="C24" s="18">
        <v>320</v>
      </c>
    </row>
    <row r="25" spans="1:3" ht="16.5" thickTop="1" thickBot="1">
      <c r="A25" s="18"/>
      <c r="B25" s="18"/>
      <c r="C25" s="18"/>
    </row>
    <row r="26" spans="1:3" ht="16.5" thickTop="1" thickBot="1">
      <c r="A26" s="18"/>
      <c r="B26" s="18"/>
      <c r="C26" s="18"/>
    </row>
    <row r="27" spans="1:3" ht="16.5" thickTop="1" thickBot="1">
      <c r="A27" s="18"/>
      <c r="B27" s="18"/>
      <c r="C27" s="18"/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6.5" thickTop="1" thickBot="1">
      <c r="A42" s="18"/>
      <c r="B42" s="18"/>
      <c r="C42" s="18"/>
    </row>
    <row r="43" spans="1:3" ht="15.75" thickTop="1"/>
  </sheetData>
  <sortState xmlns:xlrd2="http://schemas.microsoft.com/office/spreadsheetml/2017/richdata2" ref="A2:C43">
    <sortCondition ref="B1"/>
  </sortState>
  <phoneticPr fontId="2" type="noConversion"/>
  <dataValidations count="2">
    <dataValidation type="list" allowBlank="1" showInputMessage="1" showErrorMessage="1" sqref="B26:B42" xr:uid="{00000000-0002-0000-0700-000000000000}">
      <formula1>"猫砂,猫粮,零食,药,日用品,买猫,其它"</formula1>
    </dataValidation>
    <dataValidation type="list" allowBlank="1" showInputMessage="1" showErrorMessage="1" sqref="B2:B25" xr:uid="{DC3AAF09-6856-4C8C-9F47-01E79C6DFE54}">
      <formula1>"猫砂,猫粮,零食,消耗品,疫苗,常用药,治疗费,不常用药,运费,买猫,其它"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7"/>
  <dimension ref="A1:F43"/>
  <sheetViews>
    <sheetView workbookViewId="0">
      <selection activeCell="D15" sqref="D15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181</v>
      </c>
      <c r="B2" s="18" t="s">
        <v>743</v>
      </c>
      <c r="C2" s="18">
        <v>130</v>
      </c>
      <c r="E2" s="13" t="s">
        <v>1</v>
      </c>
      <c r="F2" s="13">
        <f t="shared" ref="F2:F12" si="0">SUMIF(B:B,E2,C:C)</f>
        <v>1467</v>
      </c>
    </row>
    <row r="3" spans="1:6" ht="16.5" thickTop="1" thickBot="1">
      <c r="A3" s="18" t="s">
        <v>192</v>
      </c>
      <c r="B3" s="18" t="s">
        <v>743</v>
      </c>
      <c r="C3" s="18">
        <v>107</v>
      </c>
      <c r="E3" s="13" t="s">
        <v>2</v>
      </c>
      <c r="F3" s="13">
        <f t="shared" si="0"/>
        <v>1280</v>
      </c>
    </row>
    <row r="4" spans="1:6" ht="16.5" thickTop="1" thickBot="1">
      <c r="A4" s="18"/>
      <c r="B4" s="18" t="s">
        <v>49</v>
      </c>
      <c r="C4" s="18">
        <v>315</v>
      </c>
      <c r="E4" s="13" t="s">
        <v>3</v>
      </c>
      <c r="F4" s="13">
        <f t="shared" si="0"/>
        <v>75</v>
      </c>
    </row>
    <row r="5" spans="1:6" ht="16.5" thickTop="1" thickBot="1">
      <c r="A5" s="18" t="s">
        <v>194</v>
      </c>
      <c r="B5" s="18" t="s">
        <v>743</v>
      </c>
      <c r="C5" s="18">
        <v>160</v>
      </c>
      <c r="E5" s="13" t="s">
        <v>745</v>
      </c>
      <c r="F5" s="13">
        <f t="shared" si="0"/>
        <v>285</v>
      </c>
    </row>
    <row r="6" spans="1:6" ht="16.5" thickTop="1" thickBot="1">
      <c r="A6" s="18" t="s">
        <v>182</v>
      </c>
      <c r="B6" s="18" t="s">
        <v>745</v>
      </c>
      <c r="C6" s="18">
        <v>170</v>
      </c>
      <c r="E6" s="13" t="s">
        <v>375</v>
      </c>
      <c r="F6" s="13">
        <f t="shared" si="0"/>
        <v>0</v>
      </c>
    </row>
    <row r="7" spans="1:6" ht="16.5" thickTop="1" thickBot="1">
      <c r="A7" s="18" t="s">
        <v>199</v>
      </c>
      <c r="B7" s="18" t="s">
        <v>745</v>
      </c>
      <c r="C7" s="18">
        <v>46</v>
      </c>
      <c r="E7" s="13" t="s">
        <v>743</v>
      </c>
      <c r="F7" s="13">
        <f t="shared" si="0"/>
        <v>532</v>
      </c>
    </row>
    <row r="8" spans="1:6" ht="16.5" thickTop="1" thickBot="1">
      <c r="A8" s="18" t="s">
        <v>201</v>
      </c>
      <c r="B8" s="18" t="s">
        <v>745</v>
      </c>
      <c r="C8" s="18">
        <v>69</v>
      </c>
      <c r="E8" s="13" t="s">
        <v>746</v>
      </c>
      <c r="F8" s="13">
        <f t="shared" si="0"/>
        <v>0</v>
      </c>
    </row>
    <row r="9" spans="1:6" ht="16.5" thickTop="1" thickBot="1">
      <c r="A9" s="18" t="s">
        <v>180</v>
      </c>
      <c r="B9" s="18" t="s">
        <v>49</v>
      </c>
      <c r="C9" s="18">
        <v>30</v>
      </c>
      <c r="E9" s="13" t="s">
        <v>744</v>
      </c>
      <c r="F9" s="13">
        <f t="shared" si="0"/>
        <v>0</v>
      </c>
    </row>
    <row r="10" spans="1:6" ht="16.5" thickTop="1" thickBot="1">
      <c r="A10" s="18" t="s">
        <v>196</v>
      </c>
      <c r="B10" s="18" t="s">
        <v>444</v>
      </c>
      <c r="C10" s="18">
        <v>300</v>
      </c>
      <c r="E10" s="13" t="s">
        <v>444</v>
      </c>
      <c r="F10" s="13">
        <f t="shared" si="0"/>
        <v>300</v>
      </c>
    </row>
    <row r="11" spans="1:6" ht="16.5" thickTop="1" thickBot="1">
      <c r="A11" s="18" t="s">
        <v>111</v>
      </c>
      <c r="B11" s="18" t="s">
        <v>49</v>
      </c>
      <c r="C11" s="18">
        <v>81</v>
      </c>
      <c r="E11" s="13" t="s">
        <v>48</v>
      </c>
      <c r="F11" s="13">
        <f t="shared" si="0"/>
        <v>3600</v>
      </c>
    </row>
    <row r="12" spans="1:6" ht="16.5" thickTop="1" thickBot="1">
      <c r="A12" s="18" t="s">
        <v>202</v>
      </c>
      <c r="B12" s="18" t="s">
        <v>49</v>
      </c>
      <c r="C12" s="18">
        <v>20</v>
      </c>
      <c r="E12" s="13" t="s">
        <v>49</v>
      </c>
      <c r="F12" s="13">
        <f t="shared" si="0"/>
        <v>446</v>
      </c>
    </row>
    <row r="13" spans="1:6" ht="16.5" thickTop="1" thickBot="1">
      <c r="A13" s="18" t="s">
        <v>183</v>
      </c>
      <c r="B13" s="18" t="s">
        <v>46</v>
      </c>
      <c r="C13" s="18">
        <v>1280</v>
      </c>
      <c r="E13" s="13" t="s">
        <v>408</v>
      </c>
      <c r="F13" s="13">
        <f>SUM(F2:F12)</f>
        <v>7985</v>
      </c>
    </row>
    <row r="14" spans="1:6" ht="16.5" thickTop="1" thickBot="1">
      <c r="A14" s="18" t="s">
        <v>191</v>
      </c>
      <c r="B14" s="18" t="s">
        <v>45</v>
      </c>
      <c r="C14" s="18">
        <v>380</v>
      </c>
      <c r="E14" s="4"/>
      <c r="F14" s="4"/>
    </row>
    <row r="15" spans="1:6" ht="16.5" thickTop="1" thickBot="1">
      <c r="A15" s="18" t="s">
        <v>195</v>
      </c>
      <c r="B15" s="18" t="s">
        <v>45</v>
      </c>
      <c r="C15" s="18">
        <v>465</v>
      </c>
    </row>
    <row r="16" spans="1:6" ht="16.5" thickTop="1" thickBot="1">
      <c r="A16" s="18" t="s">
        <v>197</v>
      </c>
      <c r="B16" s="18" t="s">
        <v>45</v>
      </c>
      <c r="C16" s="18">
        <v>137</v>
      </c>
    </row>
    <row r="17" spans="1:3" ht="16.5" thickTop="1" thickBot="1">
      <c r="A17" s="18" t="s">
        <v>197</v>
      </c>
      <c r="B17" s="18" t="s">
        <v>45</v>
      </c>
      <c r="C17" s="18">
        <v>63</v>
      </c>
    </row>
    <row r="18" spans="1:3" ht="16.5" thickTop="1" thickBot="1">
      <c r="A18" s="18" t="s">
        <v>197</v>
      </c>
      <c r="B18" s="18" t="s">
        <v>45</v>
      </c>
      <c r="C18" s="18">
        <v>144</v>
      </c>
    </row>
    <row r="19" spans="1:3" ht="16.5" thickTop="1" thickBot="1">
      <c r="A19" s="18" t="s">
        <v>197</v>
      </c>
      <c r="B19" s="18" t="s">
        <v>45</v>
      </c>
      <c r="C19" s="18">
        <v>278</v>
      </c>
    </row>
    <row r="20" spans="1:3" ht="16.5" thickTop="1" thickBot="1">
      <c r="A20" s="18" t="s">
        <v>198</v>
      </c>
      <c r="B20" s="18" t="s">
        <v>48</v>
      </c>
      <c r="C20" s="18">
        <v>600</v>
      </c>
    </row>
    <row r="21" spans="1:3" ht="16.5" thickTop="1" thickBot="1">
      <c r="A21" s="18" t="s">
        <v>200</v>
      </c>
      <c r="B21" s="18" t="s">
        <v>48</v>
      </c>
      <c r="C21" s="18">
        <v>300</v>
      </c>
    </row>
    <row r="22" spans="1:3" ht="16.5" thickTop="1" thickBot="1">
      <c r="A22" s="18" t="s">
        <v>203</v>
      </c>
      <c r="B22" s="18" t="s">
        <v>48</v>
      </c>
      <c r="C22" s="18">
        <v>900</v>
      </c>
    </row>
    <row r="23" spans="1:3" ht="16.5" thickTop="1" thickBot="1">
      <c r="A23" s="18" t="s">
        <v>204</v>
      </c>
      <c r="B23" s="18" t="s">
        <v>48</v>
      </c>
      <c r="C23" s="18">
        <v>1800</v>
      </c>
    </row>
    <row r="24" spans="1:3" ht="16.5" thickTop="1" thickBot="1">
      <c r="A24" s="18" t="s">
        <v>193</v>
      </c>
      <c r="B24" s="18" t="s">
        <v>47</v>
      </c>
      <c r="C24" s="18">
        <v>75</v>
      </c>
    </row>
    <row r="25" spans="1:3" ht="16.5" thickTop="1" thickBot="1">
      <c r="A25" s="18" t="s">
        <v>207</v>
      </c>
      <c r="B25" s="18" t="s">
        <v>743</v>
      </c>
      <c r="C25" s="18">
        <v>100</v>
      </c>
    </row>
    <row r="26" spans="1:3" ht="16.5" thickTop="1" thickBot="1">
      <c r="A26" s="18" t="s">
        <v>212</v>
      </c>
      <c r="B26" s="18" t="s">
        <v>743</v>
      </c>
      <c r="C26" s="18">
        <v>35</v>
      </c>
    </row>
    <row r="27" spans="1:3" ht="16.5" thickTop="1" thickBot="1">
      <c r="A27" s="18"/>
      <c r="B27" s="18"/>
      <c r="C27" s="18"/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6.5" thickTop="1" thickBot="1">
      <c r="A42" s="18"/>
      <c r="B42" s="18"/>
      <c r="C42" s="18"/>
    </row>
    <row r="43" spans="1:3" ht="15.75" thickTop="1"/>
  </sheetData>
  <sortState xmlns:xlrd2="http://schemas.microsoft.com/office/spreadsheetml/2017/richdata2" ref="A2:C43">
    <sortCondition descending="1" ref="B1"/>
  </sortState>
  <phoneticPr fontId="2" type="noConversion"/>
  <dataValidations count="2">
    <dataValidation type="list" allowBlank="1" showInputMessage="1" showErrorMessage="1" sqref="B28:B42" xr:uid="{00000000-0002-0000-0600-000000000000}">
      <formula1>"猫砂,猫粮,零食,药,日用品,买猫,其它"</formula1>
    </dataValidation>
    <dataValidation type="list" allowBlank="1" showInputMessage="1" showErrorMessage="1" sqref="B2:B27" xr:uid="{9F45F637-8E3C-4462-8191-4319BFC5D887}">
      <formula1>"猫砂,猫粮,零食,消耗品,疫苗,常用药,治疗费,不常用药,运费,买猫,其它"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8"/>
  <dimension ref="A1:F43"/>
  <sheetViews>
    <sheetView workbookViewId="0">
      <selection activeCell="D15" sqref="D15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126</v>
      </c>
      <c r="B2" s="18" t="s">
        <v>745</v>
      </c>
      <c r="C2" s="18">
        <v>100</v>
      </c>
      <c r="E2" s="13" t="s">
        <v>1</v>
      </c>
      <c r="F2" s="13">
        <f t="shared" ref="F2:F12" si="0">SUMIF(B:B,E2,C:C)</f>
        <v>138</v>
      </c>
    </row>
    <row r="3" spans="1:6" ht="16.5" thickTop="1" thickBot="1">
      <c r="A3" s="18" t="s">
        <v>131</v>
      </c>
      <c r="B3" s="18" t="s">
        <v>375</v>
      </c>
      <c r="C3" s="18">
        <v>100</v>
      </c>
      <c r="E3" s="13" t="s">
        <v>2</v>
      </c>
      <c r="F3" s="13">
        <f t="shared" si="0"/>
        <v>1110</v>
      </c>
    </row>
    <row r="4" spans="1:6" ht="16.5" thickTop="1" thickBot="1">
      <c r="A4" s="18" t="s">
        <v>138</v>
      </c>
      <c r="B4" s="18" t="s">
        <v>743</v>
      </c>
      <c r="C4" s="18">
        <v>245</v>
      </c>
      <c r="E4" s="13" t="s">
        <v>3</v>
      </c>
      <c r="F4" s="13">
        <f t="shared" si="0"/>
        <v>1078</v>
      </c>
    </row>
    <row r="5" spans="1:6" ht="16.5" thickTop="1" thickBot="1">
      <c r="A5" s="18" t="s">
        <v>142</v>
      </c>
      <c r="B5" s="18" t="s">
        <v>745</v>
      </c>
      <c r="C5" s="18">
        <v>23</v>
      </c>
      <c r="E5" s="13" t="s">
        <v>745</v>
      </c>
      <c r="F5" s="13">
        <f t="shared" si="0"/>
        <v>252</v>
      </c>
    </row>
    <row r="6" spans="1:6" ht="16.5" thickTop="1" thickBot="1">
      <c r="A6" s="18" t="s">
        <v>147</v>
      </c>
      <c r="B6" s="18" t="s">
        <v>745</v>
      </c>
      <c r="C6" s="18">
        <v>119</v>
      </c>
      <c r="E6" s="13" t="s">
        <v>375</v>
      </c>
      <c r="F6" s="13">
        <f t="shared" si="0"/>
        <v>100</v>
      </c>
    </row>
    <row r="7" spans="1:6" ht="16.5" thickTop="1" thickBot="1">
      <c r="A7" s="18" t="s">
        <v>128</v>
      </c>
      <c r="B7" s="18" t="s">
        <v>49</v>
      </c>
      <c r="C7" s="18">
        <v>750</v>
      </c>
      <c r="E7" s="13" t="s">
        <v>743</v>
      </c>
      <c r="F7" s="13">
        <f t="shared" si="0"/>
        <v>245</v>
      </c>
    </row>
    <row r="8" spans="1:6" ht="16.5" thickTop="1" thickBot="1">
      <c r="A8" s="18" t="s">
        <v>133</v>
      </c>
      <c r="B8" s="18" t="s">
        <v>444</v>
      </c>
      <c r="C8" s="18">
        <v>360</v>
      </c>
      <c r="E8" s="13" t="s">
        <v>746</v>
      </c>
      <c r="F8" s="13">
        <f t="shared" si="0"/>
        <v>0</v>
      </c>
    </row>
    <row r="9" spans="1:6" ht="16.5" thickTop="1" thickBot="1">
      <c r="A9" s="18" t="s">
        <v>139</v>
      </c>
      <c r="B9" s="18" t="s">
        <v>49</v>
      </c>
      <c r="C9" s="18">
        <v>132</v>
      </c>
      <c r="E9" s="13" t="s">
        <v>744</v>
      </c>
      <c r="F9" s="13">
        <f t="shared" si="0"/>
        <v>0</v>
      </c>
    </row>
    <row r="10" spans="1:6" ht="16.5" thickTop="1" thickBot="1">
      <c r="A10" s="18" t="s">
        <v>140</v>
      </c>
      <c r="B10" s="18" t="s">
        <v>49</v>
      </c>
      <c r="C10" s="18">
        <v>83</v>
      </c>
      <c r="E10" s="13" t="s">
        <v>444</v>
      </c>
      <c r="F10" s="13">
        <f t="shared" si="0"/>
        <v>360</v>
      </c>
    </row>
    <row r="11" spans="1:6" ht="16.5" thickTop="1" thickBot="1">
      <c r="A11" s="18" t="s">
        <v>141</v>
      </c>
      <c r="B11" s="18" t="s">
        <v>49</v>
      </c>
      <c r="C11" s="18">
        <v>64</v>
      </c>
      <c r="E11" s="13" t="s">
        <v>48</v>
      </c>
      <c r="F11" s="13">
        <f t="shared" si="0"/>
        <v>6800</v>
      </c>
    </row>
    <row r="12" spans="1:6" ht="16.5" thickTop="1" thickBot="1">
      <c r="A12" s="18" t="s">
        <v>143</v>
      </c>
      <c r="B12" s="18" t="s">
        <v>745</v>
      </c>
      <c r="C12" s="18">
        <v>10</v>
      </c>
      <c r="E12" s="13" t="s">
        <v>49</v>
      </c>
      <c r="F12" s="13">
        <f t="shared" si="0"/>
        <v>5379</v>
      </c>
    </row>
    <row r="13" spans="1:6" ht="16.5" thickTop="1" thickBot="1">
      <c r="A13" s="18" t="s">
        <v>148</v>
      </c>
      <c r="B13" s="18" t="s">
        <v>49</v>
      </c>
      <c r="C13" s="18">
        <v>4350</v>
      </c>
      <c r="E13" s="13" t="s">
        <v>408</v>
      </c>
      <c r="F13" s="13">
        <f>SUM(F2:F12)</f>
        <v>15462</v>
      </c>
    </row>
    <row r="14" spans="1:6" ht="16.5" thickTop="1" thickBot="1">
      <c r="A14" s="18" t="s">
        <v>125</v>
      </c>
      <c r="B14" s="18" t="s">
        <v>46</v>
      </c>
      <c r="C14" s="18">
        <v>1110</v>
      </c>
      <c r="E14" s="4"/>
      <c r="F14" s="4"/>
    </row>
    <row r="15" spans="1:6" ht="16.5" thickTop="1" thickBot="1">
      <c r="A15" s="18" t="s">
        <v>123</v>
      </c>
      <c r="B15" s="18" t="s">
        <v>47</v>
      </c>
      <c r="C15" s="18">
        <v>348</v>
      </c>
    </row>
    <row r="16" spans="1:6" ht="16.5" thickTop="1" thickBot="1">
      <c r="A16" s="18" t="s">
        <v>132</v>
      </c>
      <c r="B16" s="18" t="s">
        <v>45</v>
      </c>
      <c r="C16" s="18">
        <v>70</v>
      </c>
    </row>
    <row r="17" spans="1:3" ht="16.5" thickTop="1" thickBot="1">
      <c r="A17" s="18" t="s">
        <v>134</v>
      </c>
      <c r="B17" s="18" t="s">
        <v>47</v>
      </c>
      <c r="C17" s="18">
        <v>345</v>
      </c>
    </row>
    <row r="18" spans="1:3" ht="16.5" thickTop="1" thickBot="1">
      <c r="A18" s="18" t="s">
        <v>135</v>
      </c>
      <c r="B18" s="18" t="s">
        <v>47</v>
      </c>
      <c r="C18" s="18">
        <v>80</v>
      </c>
    </row>
    <row r="19" spans="1:3" ht="16.5" thickTop="1" thickBot="1">
      <c r="A19" s="18" t="s">
        <v>136</v>
      </c>
      <c r="B19" s="18" t="s">
        <v>47</v>
      </c>
      <c r="C19" s="18">
        <v>55</v>
      </c>
    </row>
    <row r="20" spans="1:3" ht="16.5" thickTop="1" thickBot="1">
      <c r="A20" s="18" t="s">
        <v>137</v>
      </c>
      <c r="B20" s="18" t="s">
        <v>47</v>
      </c>
      <c r="C20" s="18">
        <v>64</v>
      </c>
    </row>
    <row r="21" spans="1:3" ht="16.5" thickTop="1" thickBot="1">
      <c r="A21" s="18" t="s">
        <v>151</v>
      </c>
      <c r="B21" s="18" t="s">
        <v>45</v>
      </c>
      <c r="C21" s="18">
        <v>68</v>
      </c>
    </row>
    <row r="22" spans="1:3" ht="16.5" thickTop="1" thickBot="1">
      <c r="A22" s="18" t="s">
        <v>121</v>
      </c>
      <c r="B22" s="18" t="s">
        <v>48</v>
      </c>
      <c r="C22" s="18">
        <v>800</v>
      </c>
    </row>
    <row r="23" spans="1:3" ht="16.5" thickTop="1" thickBot="1">
      <c r="A23" s="18" t="s">
        <v>122</v>
      </c>
      <c r="B23" s="18" t="s">
        <v>48</v>
      </c>
      <c r="C23" s="18">
        <v>200</v>
      </c>
    </row>
    <row r="24" spans="1:3" ht="16.5" thickTop="1" thickBot="1">
      <c r="A24" s="18" t="s">
        <v>124</v>
      </c>
      <c r="B24" s="18" t="s">
        <v>48</v>
      </c>
      <c r="C24" s="18">
        <v>500</v>
      </c>
    </row>
    <row r="25" spans="1:3" ht="16.5" thickTop="1" thickBot="1">
      <c r="A25" s="18" t="s">
        <v>127</v>
      </c>
      <c r="B25" s="18" t="s">
        <v>48</v>
      </c>
      <c r="C25" s="18">
        <v>300</v>
      </c>
    </row>
    <row r="26" spans="1:3" ht="16.5" thickTop="1" thickBot="1">
      <c r="A26" s="18" t="s">
        <v>130</v>
      </c>
      <c r="B26" s="18" t="s">
        <v>48</v>
      </c>
      <c r="C26" s="18">
        <v>3500</v>
      </c>
    </row>
    <row r="27" spans="1:3" ht="16.5" thickTop="1" thickBot="1">
      <c r="A27" s="18" t="s">
        <v>154</v>
      </c>
      <c r="B27" s="18" t="s">
        <v>48</v>
      </c>
      <c r="C27" s="18">
        <v>1500</v>
      </c>
    </row>
    <row r="28" spans="1:3" ht="16.5" thickTop="1" thickBot="1">
      <c r="A28" s="18" t="s">
        <v>129</v>
      </c>
      <c r="B28" s="18" t="s">
        <v>47</v>
      </c>
      <c r="C28" s="18">
        <v>75</v>
      </c>
    </row>
    <row r="29" spans="1:3" ht="16.5" thickTop="1" thickBot="1">
      <c r="A29" s="18" t="s">
        <v>144</v>
      </c>
      <c r="B29" s="18" t="s">
        <v>47</v>
      </c>
      <c r="C29" s="18">
        <v>111</v>
      </c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6.5" thickTop="1" thickBot="1">
      <c r="A42" s="18"/>
      <c r="B42" s="18"/>
      <c r="C42" s="18"/>
    </row>
    <row r="43" spans="1:3" ht="15.75" thickTop="1"/>
  </sheetData>
  <sortState xmlns:xlrd2="http://schemas.microsoft.com/office/spreadsheetml/2017/richdata2" ref="A2:C43">
    <sortCondition descending="1" ref="B2:B43"/>
  </sortState>
  <phoneticPr fontId="2" type="noConversion"/>
  <dataValidations count="3">
    <dataValidation type="list" allowBlank="1" showInputMessage="1" showErrorMessage="1" sqref="B31:B42" xr:uid="{00000000-0002-0000-0500-000000000000}">
      <formula1>"猫砂,猫粮,零食,药,日用品,买猫,其它"</formula1>
    </dataValidation>
    <dataValidation type="list" allowBlank="1" showInputMessage="1" showErrorMessage="1" sqref="B2:B7 B30" xr:uid="{DFCEAD22-BA09-4E3C-91FF-7053D01C831A}">
      <formula1>"猫砂,猫粮,零食,消耗品,疫苗,常用药,治疗费,不常用药,买猫,其它"</formula1>
    </dataValidation>
    <dataValidation type="list" allowBlank="1" showInputMessage="1" showErrorMessage="1" sqref="B8:B29" xr:uid="{87A343C3-0BE9-4419-9CE2-EE39CA3E28EC}">
      <formula1>"猫砂,猫粮,零食,消耗品,疫苗,常用药,治疗费,不常用药,运费,买猫,其它"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9"/>
  <dimension ref="A1:F43"/>
  <sheetViews>
    <sheetView workbookViewId="0">
      <selection activeCell="D15" sqref="D15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2" customWidth="1"/>
    <col min="6" max="6" width="18.28515625" style="22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90</v>
      </c>
      <c r="B2" s="18" t="s">
        <v>746</v>
      </c>
      <c r="C2" s="18">
        <v>3500</v>
      </c>
      <c r="E2" s="13" t="s">
        <v>1</v>
      </c>
      <c r="F2" s="13">
        <f t="shared" ref="F2:F12" si="0">SUMIF(B:B,E2,C:C)</f>
        <v>461</v>
      </c>
    </row>
    <row r="3" spans="1:6" ht="16.5" thickTop="1" thickBot="1">
      <c r="A3" s="18" t="s">
        <v>103</v>
      </c>
      <c r="B3" s="18" t="s">
        <v>743</v>
      </c>
      <c r="C3" s="18">
        <v>200</v>
      </c>
      <c r="E3" s="13" t="s">
        <v>2</v>
      </c>
      <c r="F3" s="13">
        <f t="shared" si="0"/>
        <v>18</v>
      </c>
    </row>
    <row r="4" spans="1:6" ht="16.5" thickTop="1" thickBot="1">
      <c r="A4" s="18" t="s">
        <v>104</v>
      </c>
      <c r="B4" s="18" t="s">
        <v>744</v>
      </c>
      <c r="C4" s="18">
        <v>1260</v>
      </c>
      <c r="E4" s="13" t="s">
        <v>3</v>
      </c>
      <c r="F4" s="13">
        <f t="shared" si="0"/>
        <v>0</v>
      </c>
    </row>
    <row r="5" spans="1:6" ht="16.5" thickTop="1" thickBot="1">
      <c r="A5" s="18" t="s">
        <v>108</v>
      </c>
      <c r="B5" s="18" t="s">
        <v>744</v>
      </c>
      <c r="C5" s="18">
        <v>437</v>
      </c>
      <c r="E5" s="13" t="s">
        <v>745</v>
      </c>
      <c r="F5" s="13">
        <f t="shared" si="0"/>
        <v>849</v>
      </c>
    </row>
    <row r="6" spans="1:6" ht="16.5" thickTop="1" thickBot="1">
      <c r="A6" s="18" t="s">
        <v>93</v>
      </c>
      <c r="B6" s="18" t="s">
        <v>745</v>
      </c>
      <c r="C6" s="18">
        <v>60</v>
      </c>
      <c r="E6" s="13" t="s">
        <v>375</v>
      </c>
      <c r="F6" s="13">
        <f t="shared" si="0"/>
        <v>0</v>
      </c>
    </row>
    <row r="7" spans="1:6" ht="16.5" thickTop="1" thickBot="1">
      <c r="A7" s="18" t="s">
        <v>94</v>
      </c>
      <c r="B7" s="18" t="s">
        <v>745</v>
      </c>
      <c r="C7" s="18">
        <v>213</v>
      </c>
      <c r="E7" s="13" t="s">
        <v>743</v>
      </c>
      <c r="F7" s="13">
        <f t="shared" si="0"/>
        <v>260</v>
      </c>
    </row>
    <row r="8" spans="1:6" ht="16.5" thickTop="1" thickBot="1">
      <c r="A8" s="18" t="s">
        <v>95</v>
      </c>
      <c r="B8" s="18" t="s">
        <v>745</v>
      </c>
      <c r="C8" s="18">
        <v>54</v>
      </c>
      <c r="E8" s="13" t="s">
        <v>746</v>
      </c>
      <c r="F8" s="13">
        <f t="shared" si="0"/>
        <v>3500</v>
      </c>
    </row>
    <row r="9" spans="1:6" ht="16.5" thickTop="1" thickBot="1">
      <c r="A9" s="18" t="s">
        <v>93</v>
      </c>
      <c r="B9" s="18" t="s">
        <v>745</v>
      </c>
      <c r="C9" s="18">
        <v>23</v>
      </c>
      <c r="E9" s="13" t="s">
        <v>744</v>
      </c>
      <c r="F9" s="13">
        <f t="shared" si="0"/>
        <v>1697</v>
      </c>
    </row>
    <row r="10" spans="1:6" ht="16.5" thickTop="1" thickBot="1">
      <c r="A10" s="18" t="s">
        <v>98</v>
      </c>
      <c r="B10" s="18" t="s">
        <v>745</v>
      </c>
      <c r="C10" s="18">
        <v>60</v>
      </c>
      <c r="E10" s="13" t="s">
        <v>444</v>
      </c>
      <c r="F10" s="13">
        <f t="shared" si="0"/>
        <v>0</v>
      </c>
    </row>
    <row r="11" spans="1:6" ht="16.5" thickTop="1" thickBot="1">
      <c r="A11" s="18" t="s">
        <v>92</v>
      </c>
      <c r="B11" s="18" t="s">
        <v>49</v>
      </c>
      <c r="C11" s="18">
        <v>158</v>
      </c>
      <c r="E11" s="13" t="s">
        <v>48</v>
      </c>
      <c r="F11" s="13">
        <f t="shared" si="0"/>
        <v>3700</v>
      </c>
    </row>
    <row r="12" spans="1:6" ht="16.5" thickTop="1" thickBot="1">
      <c r="A12" s="18" t="s">
        <v>96</v>
      </c>
      <c r="B12" s="18" t="s">
        <v>49</v>
      </c>
      <c r="C12" s="18">
        <v>84</v>
      </c>
      <c r="E12" s="13" t="s">
        <v>49</v>
      </c>
      <c r="F12" s="13">
        <f t="shared" si="0"/>
        <v>2787</v>
      </c>
    </row>
    <row r="13" spans="1:6" ht="16.5" thickTop="1" thickBot="1">
      <c r="A13" s="18" t="s">
        <v>97</v>
      </c>
      <c r="B13" s="18" t="s">
        <v>49</v>
      </c>
      <c r="C13" s="18">
        <v>10</v>
      </c>
      <c r="E13" s="13" t="s">
        <v>408</v>
      </c>
      <c r="F13" s="13">
        <f>SUM(F2:F12)</f>
        <v>13272</v>
      </c>
    </row>
    <row r="14" spans="1:6" ht="16.5" thickTop="1" thickBot="1">
      <c r="A14" s="18" t="s">
        <v>99</v>
      </c>
      <c r="B14" s="18" t="s">
        <v>745</v>
      </c>
      <c r="C14" s="18">
        <v>161</v>
      </c>
      <c r="E14" s="4"/>
      <c r="F14" s="4"/>
    </row>
    <row r="15" spans="1:6" ht="16.5" thickTop="1" thickBot="1">
      <c r="A15" s="18" t="s">
        <v>102</v>
      </c>
      <c r="B15" s="18" t="s">
        <v>49</v>
      </c>
      <c r="C15" s="18">
        <v>500</v>
      </c>
    </row>
    <row r="16" spans="1:6" ht="16.5" thickTop="1" thickBot="1">
      <c r="A16" s="18" t="s">
        <v>110</v>
      </c>
      <c r="B16" s="18" t="s">
        <v>49</v>
      </c>
      <c r="C16" s="18">
        <v>180</v>
      </c>
    </row>
    <row r="17" spans="1:3" ht="16.5" thickTop="1" thickBot="1">
      <c r="A17" s="18" t="s">
        <v>111</v>
      </c>
      <c r="B17" s="18" t="s">
        <v>49</v>
      </c>
      <c r="C17" s="18">
        <v>37</v>
      </c>
    </row>
    <row r="18" spans="1:3" ht="16.5" thickTop="1" thickBot="1">
      <c r="A18" s="18" t="s">
        <v>112</v>
      </c>
      <c r="B18" s="18" t="s">
        <v>49</v>
      </c>
      <c r="C18" s="18">
        <v>1128</v>
      </c>
    </row>
    <row r="19" spans="1:3" ht="16.5" thickTop="1" thickBot="1">
      <c r="A19" s="18" t="s">
        <v>113</v>
      </c>
      <c r="B19" s="18" t="s">
        <v>49</v>
      </c>
      <c r="C19" s="18">
        <v>690</v>
      </c>
    </row>
    <row r="20" spans="1:3" ht="16.5" thickTop="1" thickBot="1">
      <c r="A20" s="18" t="s">
        <v>114</v>
      </c>
      <c r="B20" s="18" t="s">
        <v>745</v>
      </c>
      <c r="C20" s="18">
        <v>278</v>
      </c>
    </row>
    <row r="21" spans="1:3" ht="16.5" thickTop="1" thickBot="1">
      <c r="A21" s="18" t="s">
        <v>91</v>
      </c>
      <c r="B21" s="18" t="s">
        <v>46</v>
      </c>
      <c r="C21" s="18">
        <v>18</v>
      </c>
    </row>
    <row r="22" spans="1:3" ht="16.5" thickTop="1" thickBot="1">
      <c r="A22" s="18" t="s">
        <v>101</v>
      </c>
      <c r="B22" s="18" t="s">
        <v>45</v>
      </c>
      <c r="C22" s="18">
        <v>24</v>
      </c>
    </row>
    <row r="23" spans="1:3" ht="16.5" thickTop="1" thickBot="1">
      <c r="A23" s="18" t="s">
        <v>106</v>
      </c>
      <c r="B23" s="18" t="s">
        <v>45</v>
      </c>
      <c r="C23" s="18">
        <v>360</v>
      </c>
    </row>
    <row r="24" spans="1:3" ht="16.5" thickTop="1" thickBot="1">
      <c r="A24" s="18" t="s">
        <v>109</v>
      </c>
      <c r="B24" s="18" t="s">
        <v>45</v>
      </c>
      <c r="C24" s="18">
        <v>77</v>
      </c>
    </row>
    <row r="25" spans="1:3" ht="16.5" thickTop="1" thickBot="1">
      <c r="A25" s="18" t="s">
        <v>100</v>
      </c>
      <c r="B25" s="18" t="s">
        <v>48</v>
      </c>
      <c r="C25" s="18">
        <v>2400</v>
      </c>
    </row>
    <row r="26" spans="1:3" ht="16.5" thickTop="1" thickBot="1">
      <c r="A26" s="18" t="s">
        <v>105</v>
      </c>
      <c r="B26" s="18" t="s">
        <v>743</v>
      </c>
      <c r="C26" s="18">
        <v>60</v>
      </c>
    </row>
    <row r="27" spans="1:3" ht="16.5" thickTop="1" thickBot="1">
      <c r="A27" s="18" t="s">
        <v>107</v>
      </c>
      <c r="B27" s="18" t="s">
        <v>48</v>
      </c>
      <c r="C27" s="18">
        <v>1300</v>
      </c>
    </row>
    <row r="28" spans="1:3" ht="16.5" thickTop="1" thickBot="1">
      <c r="A28" s="18"/>
      <c r="B28" s="18"/>
      <c r="C28" s="18"/>
    </row>
    <row r="29" spans="1:3" ht="16.5" thickTop="1" thickBot="1">
      <c r="A29" s="18"/>
      <c r="B29" s="18"/>
      <c r="C29" s="18"/>
    </row>
    <row r="30" spans="1:3" ht="16.5" thickTop="1" thickBot="1">
      <c r="A30" s="18"/>
      <c r="B30" s="18"/>
      <c r="C30" s="18"/>
    </row>
    <row r="31" spans="1:3" ht="16.5" thickTop="1" thickBot="1">
      <c r="A31" s="18"/>
      <c r="B31" s="18"/>
      <c r="C31" s="18"/>
    </row>
    <row r="32" spans="1:3" ht="16.5" thickTop="1" thickBot="1">
      <c r="A32" s="18"/>
      <c r="B32" s="18"/>
      <c r="C32" s="18"/>
    </row>
    <row r="33" spans="1:3" ht="16.5" thickTop="1" thickBot="1">
      <c r="A33" s="18"/>
      <c r="B33" s="18"/>
      <c r="C33" s="18"/>
    </row>
    <row r="34" spans="1:3" ht="16.5" thickTop="1" thickBot="1">
      <c r="A34" s="18"/>
      <c r="B34" s="18"/>
      <c r="C34" s="18"/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6.5" thickTop="1" thickBot="1">
      <c r="A42" s="18"/>
      <c r="B42" s="18"/>
      <c r="C42" s="18"/>
    </row>
    <row r="43" spans="1:3" ht="15.75" thickTop="1"/>
  </sheetData>
  <sortState xmlns:xlrd2="http://schemas.microsoft.com/office/spreadsheetml/2017/richdata2" ref="A2:C27">
    <sortCondition descending="1" ref="B2"/>
  </sortState>
  <phoneticPr fontId="2" type="noConversion"/>
  <dataValidations count="2">
    <dataValidation type="list" allowBlank="1" showInputMessage="1" showErrorMessage="1" sqref="B29:B42" xr:uid="{00000000-0002-0000-0400-000000000000}">
      <formula1>"猫砂,猫粮,零食,药,日用品,买猫,其它"</formula1>
    </dataValidation>
    <dataValidation type="list" allowBlank="1" showInputMessage="1" showErrorMessage="1" sqref="B2:B28" xr:uid="{066302D3-E46C-4FC0-9977-ABBBBD577DEA}">
      <formula1>"猫砂,猫粮,零食,消耗品,疫苗,常用药,治疗费,不常用药,买猫,其它"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0"/>
  <dimension ref="A1:F42"/>
  <sheetViews>
    <sheetView workbookViewId="0">
      <selection activeCell="D15" sqref="D15"/>
    </sheetView>
  </sheetViews>
  <sheetFormatPr defaultColWidth="25.5703125" defaultRowHeight="15"/>
  <cols>
    <col min="1" max="3" width="25.5703125" style="22"/>
    <col min="4" max="4" width="25.5703125" style="4"/>
    <col min="5" max="5" width="17.7109375" style="29" customWidth="1"/>
    <col min="6" max="6" width="18.28515625" style="29" customWidth="1"/>
    <col min="7" max="16384" width="25.5703125" style="4"/>
  </cols>
  <sheetData>
    <row r="1" spans="1:6" ht="16.5" thickTop="1" thickBot="1">
      <c r="A1" s="18" t="s">
        <v>42</v>
      </c>
      <c r="B1" s="18" t="s">
        <v>43</v>
      </c>
      <c r="C1" s="18" t="s">
        <v>44</v>
      </c>
      <c r="E1" s="13" t="s">
        <v>62</v>
      </c>
      <c r="F1" s="13" t="s">
        <v>63</v>
      </c>
    </row>
    <row r="2" spans="1:6" ht="16.5" thickTop="1" thickBot="1">
      <c r="A2" s="18" t="s">
        <v>58</v>
      </c>
      <c r="B2" s="18" t="s">
        <v>743</v>
      </c>
      <c r="C2" s="18">
        <v>39</v>
      </c>
      <c r="E2" s="13" t="s">
        <v>64</v>
      </c>
      <c r="F2" s="13">
        <f t="shared" ref="F2:F12" si="0">SUMIF(B:B,E2,C:C)</f>
        <v>927</v>
      </c>
    </row>
    <row r="3" spans="1:6" ht="16.5" thickTop="1" thickBot="1">
      <c r="A3" s="18" t="s">
        <v>81</v>
      </c>
      <c r="B3" s="18" t="s">
        <v>743</v>
      </c>
      <c r="C3" s="18">
        <v>168</v>
      </c>
      <c r="E3" s="13" t="s">
        <v>65</v>
      </c>
      <c r="F3" s="13">
        <f t="shared" si="0"/>
        <v>224</v>
      </c>
    </row>
    <row r="4" spans="1:6" ht="16.5" thickTop="1" thickBot="1">
      <c r="A4" s="18" t="s">
        <v>59</v>
      </c>
      <c r="B4" s="18" t="s">
        <v>745</v>
      </c>
      <c r="C4" s="18">
        <v>11</v>
      </c>
      <c r="E4" s="13" t="s">
        <v>3</v>
      </c>
      <c r="F4" s="13">
        <f t="shared" si="0"/>
        <v>563</v>
      </c>
    </row>
    <row r="5" spans="1:6" ht="16.5" thickTop="1" thickBot="1">
      <c r="A5" s="18" t="s">
        <v>67</v>
      </c>
      <c r="B5" s="18" t="s">
        <v>745</v>
      </c>
      <c r="C5" s="18">
        <v>32</v>
      </c>
      <c r="E5" s="13" t="s">
        <v>745</v>
      </c>
      <c r="F5" s="13">
        <f t="shared" si="0"/>
        <v>151</v>
      </c>
    </row>
    <row r="6" spans="1:6" ht="16.5" thickTop="1" thickBot="1">
      <c r="A6" s="18" t="s">
        <v>51</v>
      </c>
      <c r="B6" s="18" t="s">
        <v>49</v>
      </c>
      <c r="C6" s="18">
        <v>28</v>
      </c>
      <c r="E6" s="13" t="s">
        <v>375</v>
      </c>
      <c r="F6" s="13">
        <f t="shared" si="0"/>
        <v>0</v>
      </c>
    </row>
    <row r="7" spans="1:6" ht="16.5" thickTop="1" thickBot="1">
      <c r="A7" s="18" t="s">
        <v>52</v>
      </c>
      <c r="B7" s="18" t="s">
        <v>49</v>
      </c>
      <c r="C7" s="18">
        <v>339</v>
      </c>
      <c r="E7" s="13" t="s">
        <v>743</v>
      </c>
      <c r="F7" s="13">
        <f t="shared" si="0"/>
        <v>207</v>
      </c>
    </row>
    <row r="8" spans="1:6" ht="16.5" thickTop="1" thickBot="1">
      <c r="A8" s="18" t="s">
        <v>53</v>
      </c>
      <c r="B8" s="18" t="s">
        <v>49</v>
      </c>
      <c r="C8" s="18">
        <v>11</v>
      </c>
      <c r="E8" s="13" t="s">
        <v>746</v>
      </c>
      <c r="F8" s="13">
        <f t="shared" si="0"/>
        <v>0</v>
      </c>
    </row>
    <row r="9" spans="1:6" ht="16.5" thickTop="1" thickBot="1">
      <c r="A9" s="18" t="s">
        <v>54</v>
      </c>
      <c r="B9" s="18" t="s">
        <v>49</v>
      </c>
      <c r="C9" s="18">
        <v>39</v>
      </c>
      <c r="E9" s="13" t="s">
        <v>744</v>
      </c>
      <c r="F9" s="13">
        <f t="shared" si="0"/>
        <v>0</v>
      </c>
    </row>
    <row r="10" spans="1:6" ht="16.5" thickTop="1" thickBot="1">
      <c r="A10" s="18" t="s">
        <v>55</v>
      </c>
      <c r="B10" s="18" t="s">
        <v>49</v>
      </c>
      <c r="C10" s="18">
        <v>21</v>
      </c>
      <c r="E10" s="13" t="s">
        <v>444</v>
      </c>
      <c r="F10" s="13">
        <f t="shared" si="0"/>
        <v>300</v>
      </c>
    </row>
    <row r="11" spans="1:6" ht="16.5" thickTop="1" thickBot="1">
      <c r="A11" s="18" t="s">
        <v>56</v>
      </c>
      <c r="B11" s="18" t="s">
        <v>49</v>
      </c>
      <c r="C11" s="18">
        <v>10</v>
      </c>
      <c r="E11" s="13" t="s">
        <v>48</v>
      </c>
      <c r="F11" s="13">
        <f t="shared" si="0"/>
        <v>12600</v>
      </c>
    </row>
    <row r="12" spans="1:6" ht="16.5" thickTop="1" thickBot="1">
      <c r="A12" s="18" t="s">
        <v>57</v>
      </c>
      <c r="B12" s="18" t="s">
        <v>49</v>
      </c>
      <c r="C12" s="18">
        <v>9</v>
      </c>
      <c r="E12" s="13" t="s">
        <v>49</v>
      </c>
      <c r="F12" s="13">
        <f t="shared" si="0"/>
        <v>2626</v>
      </c>
    </row>
    <row r="13" spans="1:6" ht="16.5" thickTop="1" thickBot="1">
      <c r="A13" s="18" t="s">
        <v>60</v>
      </c>
      <c r="B13" s="18" t="s">
        <v>49</v>
      </c>
      <c r="C13" s="18">
        <v>65</v>
      </c>
      <c r="E13" s="13" t="s">
        <v>408</v>
      </c>
      <c r="F13" s="13">
        <f>SUM(F2:F12)</f>
        <v>17598</v>
      </c>
    </row>
    <row r="14" spans="1:6" ht="16.5" thickTop="1" thickBot="1">
      <c r="A14" s="18" t="s">
        <v>66</v>
      </c>
      <c r="B14" s="18" t="s">
        <v>745</v>
      </c>
      <c r="C14" s="18">
        <v>108</v>
      </c>
    </row>
    <row r="15" spans="1:6" ht="16.5" thickTop="1" thickBot="1">
      <c r="A15" s="18" t="s">
        <v>71</v>
      </c>
      <c r="B15" s="18" t="s">
        <v>49</v>
      </c>
      <c r="C15" s="18">
        <v>440</v>
      </c>
    </row>
    <row r="16" spans="1:6" ht="16.5" thickTop="1" thickBot="1">
      <c r="A16" s="18" t="s">
        <v>72</v>
      </c>
      <c r="B16" s="18" t="s">
        <v>49</v>
      </c>
      <c r="C16" s="18">
        <v>570</v>
      </c>
    </row>
    <row r="17" spans="1:3" ht="16.5" thickTop="1" thickBot="1">
      <c r="A17" s="18" t="s">
        <v>74</v>
      </c>
      <c r="B17" s="18" t="s">
        <v>444</v>
      </c>
      <c r="C17" s="18">
        <v>300</v>
      </c>
    </row>
    <row r="18" spans="1:3" ht="16.5" thickTop="1" thickBot="1">
      <c r="A18" s="18" t="s">
        <v>83</v>
      </c>
      <c r="B18" s="18" t="s">
        <v>49</v>
      </c>
      <c r="C18" s="18">
        <v>186</v>
      </c>
    </row>
    <row r="19" spans="1:3" ht="16.5" thickTop="1" thickBot="1">
      <c r="A19" s="18" t="s">
        <v>84</v>
      </c>
      <c r="B19" s="18" t="s">
        <v>49</v>
      </c>
      <c r="C19" s="18">
        <v>108</v>
      </c>
    </row>
    <row r="20" spans="1:3" ht="16.5" thickTop="1" thickBot="1">
      <c r="A20" s="18" t="s">
        <v>85</v>
      </c>
      <c r="B20" s="18" t="s">
        <v>45</v>
      </c>
      <c r="C20" s="18">
        <v>37</v>
      </c>
    </row>
    <row r="21" spans="1:3" ht="16.5" thickTop="1" thickBot="1">
      <c r="A21" s="18" t="s">
        <v>61</v>
      </c>
      <c r="B21" s="18" t="s">
        <v>46</v>
      </c>
      <c r="C21" s="18">
        <v>88</v>
      </c>
    </row>
    <row r="22" spans="1:3" ht="16.5" thickTop="1" thickBot="1">
      <c r="A22" s="18" t="s">
        <v>77</v>
      </c>
      <c r="B22" s="18" t="s">
        <v>46</v>
      </c>
      <c r="C22" s="18">
        <v>100</v>
      </c>
    </row>
    <row r="23" spans="1:3" ht="16.5" thickTop="1" thickBot="1">
      <c r="A23" s="18" t="s">
        <v>77</v>
      </c>
      <c r="B23" s="18" t="s">
        <v>46</v>
      </c>
      <c r="C23" s="18">
        <v>36</v>
      </c>
    </row>
    <row r="24" spans="1:3" ht="16.5" thickTop="1" thickBot="1">
      <c r="A24" s="18" t="s">
        <v>70</v>
      </c>
      <c r="B24" s="18" t="s">
        <v>45</v>
      </c>
      <c r="C24" s="18">
        <v>320</v>
      </c>
    </row>
    <row r="25" spans="1:3" ht="16.5" thickTop="1" thickBot="1">
      <c r="A25" s="18" t="s">
        <v>79</v>
      </c>
      <c r="B25" s="18" t="s">
        <v>45</v>
      </c>
      <c r="C25" s="18">
        <v>570</v>
      </c>
    </row>
    <row r="26" spans="1:3" ht="16.5" thickTop="1" thickBot="1">
      <c r="A26" s="18" t="s">
        <v>68</v>
      </c>
      <c r="B26" s="18" t="s">
        <v>48</v>
      </c>
      <c r="C26" s="18">
        <v>300</v>
      </c>
    </row>
    <row r="27" spans="1:3" ht="16.5" thickTop="1" thickBot="1">
      <c r="A27" s="18" t="s">
        <v>69</v>
      </c>
      <c r="B27" s="18" t="s">
        <v>49</v>
      </c>
      <c r="C27" s="18">
        <v>800</v>
      </c>
    </row>
    <row r="28" spans="1:3" ht="16.5" thickTop="1" thickBot="1">
      <c r="A28" s="18" t="s">
        <v>73</v>
      </c>
      <c r="B28" s="18" t="s">
        <v>48</v>
      </c>
      <c r="C28" s="18">
        <v>1200</v>
      </c>
    </row>
    <row r="29" spans="1:3" ht="16.5" thickTop="1" thickBot="1">
      <c r="A29" s="18" t="s">
        <v>75</v>
      </c>
      <c r="B29" s="18" t="s">
        <v>48</v>
      </c>
      <c r="C29" s="18">
        <v>200</v>
      </c>
    </row>
    <row r="30" spans="1:3" ht="16.5" thickTop="1" thickBot="1">
      <c r="A30" s="18" t="s">
        <v>76</v>
      </c>
      <c r="B30" s="18" t="s">
        <v>48</v>
      </c>
      <c r="C30" s="18">
        <v>2000</v>
      </c>
    </row>
    <row r="31" spans="1:3" ht="16.5" thickTop="1" thickBot="1">
      <c r="A31" s="18" t="s">
        <v>78</v>
      </c>
      <c r="B31" s="18" t="s">
        <v>48</v>
      </c>
      <c r="C31" s="18">
        <v>900</v>
      </c>
    </row>
    <row r="32" spans="1:3" ht="16.5" thickTop="1" thickBot="1">
      <c r="A32" s="18" t="s">
        <v>86</v>
      </c>
      <c r="B32" s="18" t="s">
        <v>48</v>
      </c>
      <c r="C32" s="18">
        <v>8000</v>
      </c>
    </row>
    <row r="33" spans="1:3" ht="16.5" thickTop="1" thickBot="1">
      <c r="A33" s="18" t="s">
        <v>80</v>
      </c>
      <c r="B33" s="18" t="s">
        <v>47</v>
      </c>
      <c r="C33" s="18">
        <v>100</v>
      </c>
    </row>
    <row r="34" spans="1:3" ht="16.5" thickTop="1" thickBot="1">
      <c r="A34" s="18" t="s">
        <v>82</v>
      </c>
      <c r="B34" s="18" t="s">
        <v>47</v>
      </c>
      <c r="C34" s="18">
        <v>463</v>
      </c>
    </row>
    <row r="35" spans="1:3" ht="16.5" thickTop="1" thickBot="1">
      <c r="A35" s="18"/>
      <c r="B35" s="18"/>
      <c r="C35" s="18"/>
    </row>
    <row r="36" spans="1:3" ht="16.5" thickTop="1" thickBot="1">
      <c r="A36" s="18"/>
      <c r="B36" s="18"/>
      <c r="C36" s="18"/>
    </row>
    <row r="37" spans="1:3" ht="16.5" thickTop="1" thickBot="1">
      <c r="A37" s="18"/>
      <c r="B37" s="18"/>
      <c r="C37" s="18"/>
    </row>
    <row r="38" spans="1:3" ht="16.5" thickTop="1" thickBot="1">
      <c r="A38" s="18"/>
      <c r="B38" s="18"/>
      <c r="C38" s="18"/>
    </row>
    <row r="39" spans="1:3" ht="16.5" thickTop="1" thickBot="1">
      <c r="A39" s="18"/>
      <c r="B39" s="18"/>
      <c r="C39" s="18"/>
    </row>
    <row r="40" spans="1:3" ht="16.5" thickTop="1" thickBot="1">
      <c r="A40" s="18"/>
      <c r="B40" s="18"/>
      <c r="C40" s="18"/>
    </row>
    <row r="41" spans="1:3" ht="16.5" thickTop="1" thickBot="1">
      <c r="A41" s="18"/>
      <c r="B41" s="18"/>
      <c r="C41" s="18"/>
    </row>
    <row r="42" spans="1:3" ht="15.75" thickTop="1"/>
  </sheetData>
  <sortState xmlns:xlrd2="http://schemas.microsoft.com/office/spreadsheetml/2017/richdata2" ref="A2:C42">
    <sortCondition descending="1" ref="B1"/>
  </sortState>
  <phoneticPr fontId="2" type="noConversion"/>
  <dataValidations count="3">
    <dataValidation type="list" allowBlank="1" showInputMessage="1" showErrorMessage="1" sqref="B35:B41" xr:uid="{00000000-0002-0000-0300-000000000000}">
      <formula1>"猫砂,猫粮,零食,药,日用品,买猫,其它"</formula1>
    </dataValidation>
    <dataValidation type="list" allowBlank="1" showInputMessage="1" showErrorMessage="1" sqref="B2:B16 B18:B34" xr:uid="{DB64FA4A-2AEB-4317-AB9E-201F945C5999}">
      <formula1>"猫砂,猫粮,零食,消耗品,疫苗,常用药,治疗费,不常用药,买猫,其它"</formula1>
    </dataValidation>
    <dataValidation type="list" allowBlank="1" showInputMessage="1" showErrorMessage="1" sqref="B17" xr:uid="{1FCB36F2-C82E-42EA-85EC-784636266478}">
      <formula1>"猫砂,猫粮,零食,消耗品,疫苗,常用药,治疗费,不常用药,运费,买猫,其它"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05A9-D7C6-43CA-9608-FA2C927AABE0}">
  <sheetPr codeName="Sheet1"/>
  <dimension ref="A1:T155"/>
  <sheetViews>
    <sheetView zoomScaleNormal="100" workbookViewId="0">
      <pane ySplit="1" topLeftCell="A2" activePane="bottomLeft" state="frozen"/>
      <selection activeCell="G68" sqref="G68:H69"/>
      <selection pane="bottomLeft" activeCell="K32" sqref="K32"/>
    </sheetView>
  </sheetViews>
  <sheetFormatPr defaultColWidth="9.140625" defaultRowHeight="15"/>
  <cols>
    <col min="1" max="1" width="26.7109375" style="8" customWidth="1"/>
    <col min="2" max="2" width="7.42578125" style="8" customWidth="1"/>
    <col min="3" max="3" width="7.42578125" style="8" bestFit="1" customWidth="1"/>
    <col min="4" max="4" width="10.5703125" style="8" customWidth="1"/>
    <col min="5" max="5" width="7.42578125" style="8" bestFit="1" customWidth="1"/>
    <col min="6" max="7" width="9.5703125" style="8" bestFit="1" customWidth="1"/>
    <col min="8" max="8" width="9.140625" style="8"/>
    <col min="9" max="9" width="8.85546875" style="8" customWidth="1"/>
    <col min="10" max="10" width="12.7109375" style="8" customWidth="1"/>
    <col min="11" max="11" width="12.28515625" style="8" customWidth="1"/>
    <col min="12" max="12" width="11.7109375" style="8" customWidth="1"/>
    <col min="13" max="13" width="11.140625" style="8" customWidth="1"/>
    <col min="14" max="14" width="11.85546875" style="8" customWidth="1"/>
    <col min="15" max="15" width="13" style="8" customWidth="1"/>
    <col min="16" max="16" width="14.42578125" style="8" customWidth="1"/>
    <col min="17" max="17" width="16.140625" style="8" customWidth="1"/>
    <col min="18" max="18" width="16.85546875" style="8" customWidth="1"/>
    <col min="19" max="19" width="15" style="8" customWidth="1"/>
    <col min="20" max="20" width="14" style="8" customWidth="1"/>
    <col min="21" max="16384" width="9.140625" style="7"/>
  </cols>
  <sheetData>
    <row r="1" spans="1:20" s="12" customFormat="1">
      <c r="A1" s="11" t="s">
        <v>514</v>
      </c>
      <c r="B1" s="11" t="s">
        <v>364</v>
      </c>
      <c r="C1" s="11" t="s">
        <v>336</v>
      </c>
      <c r="D1" s="11" t="s">
        <v>435</v>
      </c>
      <c r="E1" s="11" t="s">
        <v>366</v>
      </c>
      <c r="F1" s="11" t="s">
        <v>505</v>
      </c>
      <c r="G1" s="11" t="s">
        <v>504</v>
      </c>
      <c r="H1" s="11"/>
      <c r="I1" s="11" t="s">
        <v>336</v>
      </c>
      <c r="J1" s="11" t="s">
        <v>506</v>
      </c>
      <c r="K1" s="11" t="s">
        <v>507</v>
      </c>
      <c r="L1" s="11" t="s">
        <v>505</v>
      </c>
      <c r="M1" s="11" t="s">
        <v>504</v>
      </c>
      <c r="N1" s="11" t="s">
        <v>512</v>
      </c>
      <c r="O1" s="9" t="s">
        <v>367</v>
      </c>
      <c r="P1" s="9" t="s">
        <v>436</v>
      </c>
      <c r="Q1" s="11" t="s">
        <v>508</v>
      </c>
      <c r="R1" s="11" t="s">
        <v>509</v>
      </c>
      <c r="S1" s="11" t="s">
        <v>510</v>
      </c>
      <c r="T1" s="11" t="s">
        <v>511</v>
      </c>
    </row>
    <row r="2" spans="1:20" s="12" customFormat="1">
      <c r="A2" s="11" t="s">
        <v>516</v>
      </c>
      <c r="B2" s="8" t="s">
        <v>365</v>
      </c>
      <c r="C2" s="10">
        <v>44287</v>
      </c>
      <c r="D2" s="11">
        <v>17500</v>
      </c>
      <c r="E2" s="11">
        <v>0</v>
      </c>
      <c r="F2" s="11">
        <v>0</v>
      </c>
      <c r="G2" s="11">
        <v>0</v>
      </c>
      <c r="H2" s="11"/>
      <c r="I2" s="10">
        <v>44287</v>
      </c>
      <c r="J2" s="8">
        <f t="shared" ref="J2:J13" si="0">SUMIFS(E:E,B:B,"=南希",C:C,I2)</f>
        <v>0</v>
      </c>
      <c r="K2" s="8">
        <f t="shared" ref="K2:K13" si="1">SUMIFS(E:E,B:B,"=寶寳",C:C,I2)</f>
        <v>3200</v>
      </c>
      <c r="L2" s="8">
        <f t="shared" ref="L2:L13" si="2">SUMIF(C:C,I2,F:F)</f>
        <v>1600</v>
      </c>
      <c r="M2" s="8">
        <f t="shared" ref="M2:M13" si="3">SUMIF(C:C,I2,G:G)</f>
        <v>1600</v>
      </c>
      <c r="N2" s="8">
        <f t="shared" ref="N2:N13" si="4">SUMIF(C:C,I2,D:D)</f>
        <v>19900</v>
      </c>
      <c r="O2" s="8">
        <f t="shared" ref="O2:O7" si="5">M2-N2</f>
        <v>-18300</v>
      </c>
      <c r="P2" s="8">
        <v>-19300</v>
      </c>
      <c r="Q2" s="8">
        <v>0</v>
      </c>
      <c r="R2" s="8">
        <v>3200</v>
      </c>
      <c r="S2" s="8">
        <v>1600</v>
      </c>
      <c r="T2" s="8">
        <v>1600</v>
      </c>
    </row>
    <row r="3" spans="1:20" s="12" customFormat="1">
      <c r="A3" s="11" t="s">
        <v>515</v>
      </c>
      <c r="B3" s="8" t="s">
        <v>365</v>
      </c>
      <c r="C3" s="10">
        <v>44287</v>
      </c>
      <c r="D3" s="11">
        <v>2400</v>
      </c>
      <c r="E3" s="11">
        <v>0</v>
      </c>
      <c r="F3" s="11">
        <v>0</v>
      </c>
      <c r="G3" s="11">
        <v>0</v>
      </c>
      <c r="H3" s="11"/>
      <c r="I3" s="10">
        <v>44317</v>
      </c>
      <c r="J3" s="8">
        <f t="shared" si="0"/>
        <v>3500</v>
      </c>
      <c r="K3" s="8">
        <f t="shared" si="1"/>
        <v>6000</v>
      </c>
      <c r="L3" s="8">
        <f t="shared" si="2"/>
        <v>4350</v>
      </c>
      <c r="M3" s="8">
        <f t="shared" si="3"/>
        <v>4550</v>
      </c>
      <c r="N3" s="8">
        <f t="shared" si="4"/>
        <v>600</v>
      </c>
      <c r="O3" s="8">
        <f t="shared" si="5"/>
        <v>3950</v>
      </c>
      <c r="P3" s="8">
        <f t="shared" ref="P3:P8" si="6">P2+O3</f>
        <v>-15350</v>
      </c>
      <c r="Q3" s="8">
        <f t="shared" ref="Q3:T5" si="7">Q2+J3</f>
        <v>3500</v>
      </c>
      <c r="R3" s="8">
        <f t="shared" si="7"/>
        <v>9200</v>
      </c>
      <c r="S3" s="8">
        <f t="shared" si="7"/>
        <v>5950</v>
      </c>
      <c r="T3" s="8">
        <f t="shared" si="7"/>
        <v>6150</v>
      </c>
    </row>
    <row r="4" spans="1:20">
      <c r="A4" s="8" t="s">
        <v>433</v>
      </c>
      <c r="B4" s="8" t="s">
        <v>365</v>
      </c>
      <c r="C4" s="10">
        <v>44287</v>
      </c>
      <c r="D4" s="8">
        <v>0</v>
      </c>
      <c r="E4" s="8">
        <v>3200</v>
      </c>
      <c r="F4" s="8">
        <v>1600</v>
      </c>
      <c r="G4" s="8">
        <v>1600</v>
      </c>
      <c r="I4" s="10">
        <v>44348</v>
      </c>
      <c r="J4" s="8">
        <f t="shared" si="0"/>
        <v>0</v>
      </c>
      <c r="K4" s="8">
        <f t="shared" si="1"/>
        <v>1700</v>
      </c>
      <c r="L4" s="8">
        <f t="shared" si="2"/>
        <v>200</v>
      </c>
      <c r="M4" s="8">
        <f t="shared" si="3"/>
        <v>1500</v>
      </c>
      <c r="N4" s="8">
        <f t="shared" si="4"/>
        <v>0</v>
      </c>
      <c r="O4" s="8">
        <f t="shared" si="5"/>
        <v>1500</v>
      </c>
      <c r="P4" s="8">
        <f t="shared" si="6"/>
        <v>-13850</v>
      </c>
      <c r="Q4" s="8">
        <f t="shared" si="7"/>
        <v>3500</v>
      </c>
      <c r="R4" s="8">
        <f t="shared" si="7"/>
        <v>10900</v>
      </c>
      <c r="S4" s="8">
        <f t="shared" si="7"/>
        <v>6150</v>
      </c>
      <c r="T4" s="8">
        <f t="shared" si="7"/>
        <v>7650</v>
      </c>
    </row>
    <row r="5" spans="1:20">
      <c r="A5" s="8" t="s">
        <v>409</v>
      </c>
      <c r="B5" s="8" t="s">
        <v>430</v>
      </c>
      <c r="C5" s="10">
        <v>44317</v>
      </c>
      <c r="D5" s="8">
        <v>0</v>
      </c>
      <c r="E5" s="8">
        <v>1200</v>
      </c>
      <c r="F5" s="8">
        <v>600</v>
      </c>
      <c r="G5" s="8">
        <v>600</v>
      </c>
      <c r="I5" s="10">
        <v>44378</v>
      </c>
      <c r="J5" s="8">
        <f t="shared" si="0"/>
        <v>2100</v>
      </c>
      <c r="K5" s="8">
        <f t="shared" si="1"/>
        <v>1500</v>
      </c>
      <c r="L5" s="8">
        <f t="shared" si="2"/>
        <v>1950</v>
      </c>
      <c r="M5" s="8">
        <f t="shared" si="3"/>
        <v>1650</v>
      </c>
      <c r="N5" s="8">
        <f t="shared" si="4"/>
        <v>0</v>
      </c>
      <c r="O5" s="8">
        <f t="shared" si="5"/>
        <v>1650</v>
      </c>
      <c r="P5" s="8">
        <f t="shared" si="6"/>
        <v>-12200</v>
      </c>
      <c r="Q5" s="8">
        <f t="shared" si="7"/>
        <v>5600</v>
      </c>
      <c r="R5" s="8">
        <f t="shared" si="7"/>
        <v>12400</v>
      </c>
      <c r="S5" s="8">
        <f t="shared" si="7"/>
        <v>8100</v>
      </c>
      <c r="T5" s="8">
        <f t="shared" si="7"/>
        <v>9300</v>
      </c>
    </row>
    <row r="6" spans="1:20">
      <c r="A6" s="8" t="s">
        <v>409</v>
      </c>
      <c r="B6" s="8" t="s">
        <v>430</v>
      </c>
      <c r="C6" s="10">
        <v>44317</v>
      </c>
      <c r="D6" s="8">
        <v>0</v>
      </c>
      <c r="E6" s="8">
        <v>2300</v>
      </c>
      <c r="F6" s="8">
        <v>1150</v>
      </c>
      <c r="G6" s="8">
        <v>1150</v>
      </c>
      <c r="I6" s="10">
        <v>44409</v>
      </c>
      <c r="J6" s="8">
        <f t="shared" si="0"/>
        <v>2170</v>
      </c>
      <c r="K6" s="8">
        <f t="shared" si="1"/>
        <v>1100</v>
      </c>
      <c r="L6" s="8">
        <f t="shared" si="2"/>
        <v>1635</v>
      </c>
      <c r="M6" s="8">
        <f t="shared" si="3"/>
        <v>1635</v>
      </c>
      <c r="N6" s="8">
        <f t="shared" si="4"/>
        <v>2410</v>
      </c>
      <c r="O6" s="8">
        <f t="shared" si="5"/>
        <v>-775</v>
      </c>
      <c r="P6" s="8">
        <f t="shared" si="6"/>
        <v>-12975</v>
      </c>
      <c r="Q6" s="8">
        <f t="shared" ref="Q6:Q28" si="8">Q5+J6</f>
        <v>7770</v>
      </c>
      <c r="R6" s="8">
        <f t="shared" ref="R6:R28" si="9">R5+K6</f>
        <v>13500</v>
      </c>
      <c r="S6" s="8">
        <f t="shared" ref="S6:S28" si="10">S5+L6</f>
        <v>9735</v>
      </c>
      <c r="T6" s="8">
        <f t="shared" ref="T6:T28" si="11">T5+M6</f>
        <v>10935</v>
      </c>
    </row>
    <row r="7" spans="1:20">
      <c r="A7" s="8" t="s">
        <v>432</v>
      </c>
      <c r="B7" s="8" t="s">
        <v>365</v>
      </c>
      <c r="C7" s="10">
        <v>44317</v>
      </c>
      <c r="D7" s="8">
        <v>0</v>
      </c>
      <c r="E7" s="8">
        <v>1400</v>
      </c>
      <c r="F7" s="8">
        <v>300</v>
      </c>
      <c r="G7" s="8">
        <v>500</v>
      </c>
      <c r="I7" s="10">
        <v>44440</v>
      </c>
      <c r="J7" s="8">
        <f t="shared" si="0"/>
        <v>5000</v>
      </c>
      <c r="K7" s="8">
        <f t="shared" si="1"/>
        <v>1750</v>
      </c>
      <c r="L7" s="8">
        <f t="shared" si="2"/>
        <v>3375</v>
      </c>
      <c r="M7" s="8">
        <f t="shared" si="3"/>
        <v>3375</v>
      </c>
      <c r="N7" s="8">
        <f t="shared" si="4"/>
        <v>900</v>
      </c>
      <c r="O7" s="8">
        <f t="shared" si="5"/>
        <v>2475</v>
      </c>
      <c r="P7" s="8">
        <f t="shared" si="6"/>
        <v>-10500</v>
      </c>
      <c r="Q7" s="8">
        <f t="shared" si="8"/>
        <v>12770</v>
      </c>
      <c r="R7" s="8">
        <f t="shared" si="9"/>
        <v>15250</v>
      </c>
      <c r="S7" s="8">
        <f t="shared" si="10"/>
        <v>13110</v>
      </c>
      <c r="T7" s="8">
        <f t="shared" si="11"/>
        <v>14310</v>
      </c>
    </row>
    <row r="8" spans="1:20">
      <c r="A8" s="8" t="s">
        <v>438</v>
      </c>
      <c r="B8" s="8" t="s">
        <v>365</v>
      </c>
      <c r="C8" s="10">
        <v>44317</v>
      </c>
      <c r="D8" s="8">
        <v>0</v>
      </c>
      <c r="E8" s="8">
        <v>1200</v>
      </c>
      <c r="F8" s="8">
        <v>600</v>
      </c>
      <c r="G8" s="8">
        <v>600</v>
      </c>
      <c r="I8" s="10">
        <v>44470</v>
      </c>
      <c r="J8" s="8">
        <f t="shared" si="0"/>
        <v>6250</v>
      </c>
      <c r="K8" s="8">
        <f t="shared" si="1"/>
        <v>1200</v>
      </c>
      <c r="L8" s="8">
        <f t="shared" si="2"/>
        <v>3770</v>
      </c>
      <c r="M8" s="8">
        <f t="shared" si="3"/>
        <v>3680</v>
      </c>
      <c r="N8" s="8">
        <f t="shared" si="4"/>
        <v>3045</v>
      </c>
      <c r="O8" s="8">
        <f t="shared" ref="O8:O28" si="12">M8-N8</f>
        <v>635</v>
      </c>
      <c r="P8" s="8">
        <f t="shared" si="6"/>
        <v>-9865</v>
      </c>
      <c r="Q8" s="8">
        <f t="shared" si="8"/>
        <v>19020</v>
      </c>
      <c r="R8" s="8">
        <f t="shared" si="9"/>
        <v>16450</v>
      </c>
      <c r="S8" s="8">
        <f t="shared" si="10"/>
        <v>16880</v>
      </c>
      <c r="T8" s="8">
        <f t="shared" si="11"/>
        <v>17990</v>
      </c>
    </row>
    <row r="9" spans="1:20">
      <c r="A9" s="8" t="s">
        <v>438</v>
      </c>
      <c r="B9" s="8" t="s">
        <v>365</v>
      </c>
      <c r="C9" s="10">
        <v>44317</v>
      </c>
      <c r="D9" s="8">
        <v>0</v>
      </c>
      <c r="E9" s="8">
        <v>1400</v>
      </c>
      <c r="F9" s="8">
        <v>700</v>
      </c>
      <c r="G9" s="8">
        <v>700</v>
      </c>
      <c r="I9" s="10">
        <v>44501</v>
      </c>
      <c r="J9" s="8">
        <f t="shared" si="0"/>
        <v>0</v>
      </c>
      <c r="K9" s="8">
        <f t="shared" si="1"/>
        <v>700</v>
      </c>
      <c r="L9" s="8">
        <f t="shared" si="2"/>
        <v>350</v>
      </c>
      <c r="M9" s="8">
        <f t="shared" si="3"/>
        <v>350</v>
      </c>
      <c r="N9" s="8">
        <f t="shared" si="4"/>
        <v>0</v>
      </c>
      <c r="O9" s="8">
        <f t="shared" si="12"/>
        <v>350</v>
      </c>
      <c r="P9" s="8">
        <f t="shared" ref="P9:P28" si="13">P8+O9</f>
        <v>-9515</v>
      </c>
      <c r="Q9" s="8">
        <f t="shared" si="8"/>
        <v>19020</v>
      </c>
      <c r="R9" s="8">
        <f t="shared" si="9"/>
        <v>17150</v>
      </c>
      <c r="S9" s="8">
        <f t="shared" si="10"/>
        <v>17230</v>
      </c>
      <c r="T9" s="8">
        <f t="shared" si="11"/>
        <v>18340</v>
      </c>
    </row>
    <row r="10" spans="1:20">
      <c r="A10" s="8" t="s">
        <v>438</v>
      </c>
      <c r="B10" s="8" t="s">
        <v>365</v>
      </c>
      <c r="C10" s="10">
        <v>44317</v>
      </c>
      <c r="D10" s="8">
        <v>0</v>
      </c>
      <c r="E10" s="8">
        <v>500</v>
      </c>
      <c r="F10" s="8">
        <v>250</v>
      </c>
      <c r="G10" s="8">
        <v>250</v>
      </c>
      <c r="I10" s="10">
        <v>44531</v>
      </c>
      <c r="J10" s="8">
        <f t="shared" si="0"/>
        <v>1400</v>
      </c>
      <c r="K10" s="8">
        <f t="shared" si="1"/>
        <v>8080</v>
      </c>
      <c r="L10" s="8">
        <f t="shared" si="2"/>
        <v>3440</v>
      </c>
      <c r="M10" s="8">
        <f t="shared" si="3"/>
        <v>5840</v>
      </c>
      <c r="N10" s="8">
        <f t="shared" si="4"/>
        <v>831</v>
      </c>
      <c r="O10" s="8">
        <f t="shared" si="12"/>
        <v>5009</v>
      </c>
      <c r="P10" s="8">
        <f t="shared" si="13"/>
        <v>-4506</v>
      </c>
      <c r="Q10" s="8">
        <f t="shared" si="8"/>
        <v>20420</v>
      </c>
      <c r="R10" s="8">
        <f t="shared" si="9"/>
        <v>25230</v>
      </c>
      <c r="S10" s="8">
        <f t="shared" si="10"/>
        <v>20670</v>
      </c>
      <c r="T10" s="8">
        <f t="shared" si="11"/>
        <v>24180</v>
      </c>
    </row>
    <row r="11" spans="1:20">
      <c r="A11" s="8" t="s">
        <v>45</v>
      </c>
      <c r="B11" s="8" t="s">
        <v>365</v>
      </c>
      <c r="C11" s="10">
        <v>44317</v>
      </c>
      <c r="D11" s="8">
        <v>300</v>
      </c>
      <c r="E11" s="8">
        <v>0</v>
      </c>
      <c r="F11" s="8">
        <v>0</v>
      </c>
      <c r="G11" s="8">
        <v>0</v>
      </c>
      <c r="I11" s="10">
        <v>44562</v>
      </c>
      <c r="J11" s="8">
        <f t="shared" si="0"/>
        <v>200</v>
      </c>
      <c r="K11" s="8">
        <f t="shared" si="1"/>
        <v>1600</v>
      </c>
      <c r="L11" s="8">
        <f t="shared" si="2"/>
        <v>900</v>
      </c>
      <c r="M11" s="8">
        <f t="shared" si="3"/>
        <v>900</v>
      </c>
      <c r="N11" s="8">
        <f t="shared" si="4"/>
        <v>2105</v>
      </c>
      <c r="O11" s="8">
        <f t="shared" si="12"/>
        <v>-1205</v>
      </c>
      <c r="P11" s="8">
        <f t="shared" si="13"/>
        <v>-5711</v>
      </c>
      <c r="Q11" s="8">
        <f t="shared" si="8"/>
        <v>20620</v>
      </c>
      <c r="R11" s="8">
        <f t="shared" si="9"/>
        <v>26830</v>
      </c>
      <c r="S11" s="8">
        <f t="shared" si="10"/>
        <v>21570</v>
      </c>
      <c r="T11" s="8">
        <f t="shared" si="11"/>
        <v>25080</v>
      </c>
    </row>
    <row r="12" spans="1:20">
      <c r="A12" s="8" t="s">
        <v>45</v>
      </c>
      <c r="B12" s="8" t="s">
        <v>365</v>
      </c>
      <c r="C12" s="10">
        <v>44317</v>
      </c>
      <c r="D12" s="8">
        <v>300</v>
      </c>
      <c r="E12" s="8">
        <v>0</v>
      </c>
      <c r="F12" s="8">
        <v>0</v>
      </c>
      <c r="G12" s="8">
        <v>0</v>
      </c>
      <c r="I12" s="10">
        <v>44593</v>
      </c>
      <c r="J12" s="8">
        <f t="shared" si="0"/>
        <v>900</v>
      </c>
      <c r="K12" s="8">
        <f t="shared" si="1"/>
        <v>500</v>
      </c>
      <c r="L12" s="8">
        <f t="shared" si="2"/>
        <v>700</v>
      </c>
      <c r="M12" s="8">
        <f t="shared" si="3"/>
        <v>700</v>
      </c>
      <c r="N12" s="8">
        <f t="shared" si="4"/>
        <v>4000</v>
      </c>
      <c r="O12" s="8">
        <f t="shared" si="12"/>
        <v>-3300</v>
      </c>
      <c r="P12" s="8">
        <f t="shared" si="13"/>
        <v>-9011</v>
      </c>
      <c r="Q12" s="8">
        <f t="shared" si="8"/>
        <v>21520</v>
      </c>
      <c r="R12" s="8">
        <f t="shared" si="9"/>
        <v>27330</v>
      </c>
      <c r="S12" s="8">
        <f t="shared" si="10"/>
        <v>22270</v>
      </c>
      <c r="T12" s="8">
        <f t="shared" si="11"/>
        <v>25780</v>
      </c>
    </row>
    <row r="13" spans="1:20">
      <c r="A13" s="8" t="s">
        <v>361</v>
      </c>
      <c r="B13" s="8" t="s">
        <v>365</v>
      </c>
      <c r="C13" s="10">
        <v>44317</v>
      </c>
      <c r="D13" s="8">
        <v>0</v>
      </c>
      <c r="E13" s="8">
        <v>1500</v>
      </c>
      <c r="F13" s="8">
        <v>750</v>
      </c>
      <c r="G13" s="8">
        <v>750</v>
      </c>
      <c r="I13" s="10">
        <v>44621</v>
      </c>
      <c r="J13" s="8">
        <f t="shared" si="0"/>
        <v>2700</v>
      </c>
      <c r="K13" s="8">
        <f t="shared" si="1"/>
        <v>2200</v>
      </c>
      <c r="L13" s="8">
        <f t="shared" si="2"/>
        <v>2530</v>
      </c>
      <c r="M13" s="8">
        <f t="shared" si="3"/>
        <v>2370</v>
      </c>
      <c r="N13" s="8">
        <f t="shared" si="4"/>
        <v>985</v>
      </c>
      <c r="O13" s="8">
        <f t="shared" si="12"/>
        <v>1385</v>
      </c>
      <c r="P13" s="8">
        <f t="shared" si="13"/>
        <v>-7626</v>
      </c>
      <c r="Q13" s="8">
        <f t="shared" si="8"/>
        <v>24220</v>
      </c>
      <c r="R13" s="8">
        <f t="shared" si="9"/>
        <v>29530</v>
      </c>
      <c r="S13" s="8">
        <f t="shared" si="10"/>
        <v>24800</v>
      </c>
      <c r="T13" s="8">
        <f t="shared" si="11"/>
        <v>28150</v>
      </c>
    </row>
    <row r="14" spans="1:20">
      <c r="A14" s="8" t="s">
        <v>453</v>
      </c>
      <c r="B14" s="8" t="s">
        <v>365</v>
      </c>
      <c r="C14" s="10">
        <v>44348</v>
      </c>
      <c r="D14" s="8">
        <v>0</v>
      </c>
      <c r="E14" s="8">
        <v>1700</v>
      </c>
      <c r="F14" s="8">
        <v>200</v>
      </c>
      <c r="G14" s="8">
        <v>1500</v>
      </c>
      <c r="I14" s="10">
        <v>44652</v>
      </c>
      <c r="J14" s="8">
        <f t="shared" ref="J14:J28" si="14">SUMIFS(E:E,B:B,"=南希",C:C,I14)</f>
        <v>0</v>
      </c>
      <c r="K14" s="8">
        <f t="shared" ref="K14:K28" si="15">SUMIFS(E:E,B:B,"=寶寳",C:C,I14)</f>
        <v>500</v>
      </c>
      <c r="L14" s="8">
        <f t="shared" ref="L14:L28" si="16">SUMIF(C:C,I14,F:F)</f>
        <v>250</v>
      </c>
      <c r="M14" s="8">
        <f t="shared" ref="M14:M28" si="17">SUMIF(C:C,I14,G:G)</f>
        <v>250</v>
      </c>
      <c r="N14" s="8">
        <f t="shared" ref="N14:N28" si="18">SUMIF(C:C,I14,D:D)</f>
        <v>805</v>
      </c>
      <c r="O14" s="8">
        <f t="shared" si="12"/>
        <v>-555</v>
      </c>
      <c r="P14" s="8">
        <f t="shared" si="13"/>
        <v>-8181</v>
      </c>
      <c r="Q14" s="8">
        <f t="shared" si="8"/>
        <v>24220</v>
      </c>
      <c r="R14" s="8">
        <f t="shared" si="9"/>
        <v>30030</v>
      </c>
      <c r="S14" s="8">
        <f t="shared" si="10"/>
        <v>25050</v>
      </c>
      <c r="T14" s="8">
        <f t="shared" si="11"/>
        <v>28400</v>
      </c>
    </row>
    <row r="15" spans="1:20">
      <c r="A15" s="8" t="s">
        <v>501</v>
      </c>
      <c r="B15" s="8" t="s">
        <v>430</v>
      </c>
      <c r="C15" s="10">
        <v>44378</v>
      </c>
      <c r="D15" s="8">
        <v>0</v>
      </c>
      <c r="E15" s="8">
        <v>700</v>
      </c>
      <c r="F15" s="8">
        <v>350</v>
      </c>
      <c r="G15" s="8">
        <v>350</v>
      </c>
      <c r="I15" s="10">
        <v>44682</v>
      </c>
      <c r="J15" s="8">
        <f t="shared" si="14"/>
        <v>2120</v>
      </c>
      <c r="K15" s="8">
        <f t="shared" si="15"/>
        <v>3600</v>
      </c>
      <c r="L15" s="8">
        <f t="shared" si="16"/>
        <v>2860</v>
      </c>
      <c r="M15" s="8">
        <f t="shared" si="17"/>
        <v>2860</v>
      </c>
      <c r="N15" s="8">
        <f t="shared" si="18"/>
        <v>0</v>
      </c>
      <c r="O15" s="8">
        <f t="shared" si="12"/>
        <v>2860</v>
      </c>
      <c r="P15" s="8">
        <f t="shared" si="13"/>
        <v>-5321</v>
      </c>
      <c r="Q15" s="8">
        <f t="shared" si="8"/>
        <v>26340</v>
      </c>
      <c r="R15" s="8">
        <f t="shared" si="9"/>
        <v>33630</v>
      </c>
      <c r="S15" s="8">
        <f t="shared" si="10"/>
        <v>27910</v>
      </c>
      <c r="T15" s="8">
        <f t="shared" si="11"/>
        <v>31260</v>
      </c>
    </row>
    <row r="16" spans="1:20">
      <c r="A16" s="8" t="s">
        <v>503</v>
      </c>
      <c r="B16" s="8" t="s">
        <v>430</v>
      </c>
      <c r="C16" s="10">
        <v>44378</v>
      </c>
      <c r="D16" s="8">
        <v>0</v>
      </c>
      <c r="E16" s="8">
        <v>500</v>
      </c>
      <c r="F16" s="8">
        <v>400</v>
      </c>
      <c r="G16" s="8">
        <v>100</v>
      </c>
      <c r="I16" s="10">
        <v>44713</v>
      </c>
      <c r="J16" s="8">
        <f t="shared" si="14"/>
        <v>1800</v>
      </c>
      <c r="K16" s="8">
        <f t="shared" si="15"/>
        <v>8700</v>
      </c>
      <c r="L16" s="8">
        <f t="shared" si="16"/>
        <v>5250</v>
      </c>
      <c r="M16" s="8">
        <f t="shared" si="17"/>
        <v>5250</v>
      </c>
      <c r="N16" s="8">
        <f t="shared" si="18"/>
        <v>1897</v>
      </c>
      <c r="O16" s="8">
        <f t="shared" si="12"/>
        <v>3353</v>
      </c>
      <c r="P16" s="8">
        <f t="shared" si="13"/>
        <v>-1968</v>
      </c>
      <c r="Q16" s="8">
        <f t="shared" si="8"/>
        <v>28140</v>
      </c>
      <c r="R16" s="8">
        <f t="shared" si="9"/>
        <v>42330</v>
      </c>
      <c r="S16" s="8">
        <f t="shared" si="10"/>
        <v>33160</v>
      </c>
      <c r="T16" s="8">
        <f t="shared" si="11"/>
        <v>36510</v>
      </c>
    </row>
    <row r="17" spans="1:20">
      <c r="A17" s="8" t="s">
        <v>501</v>
      </c>
      <c r="B17" s="8" t="s">
        <v>430</v>
      </c>
      <c r="C17" s="10">
        <v>44378</v>
      </c>
      <c r="D17" s="8">
        <v>0</v>
      </c>
      <c r="E17" s="8">
        <v>200</v>
      </c>
      <c r="F17" s="8">
        <v>100</v>
      </c>
      <c r="G17" s="8">
        <v>100</v>
      </c>
      <c r="I17" s="10">
        <v>44743</v>
      </c>
      <c r="J17" s="8">
        <f t="shared" si="14"/>
        <v>3900</v>
      </c>
      <c r="K17" s="8">
        <f t="shared" si="15"/>
        <v>660</v>
      </c>
      <c r="L17" s="8">
        <f t="shared" si="16"/>
        <v>2280</v>
      </c>
      <c r="M17" s="8">
        <f t="shared" si="17"/>
        <v>2280</v>
      </c>
      <c r="N17" s="8">
        <f t="shared" si="18"/>
        <v>5435</v>
      </c>
      <c r="O17" s="8">
        <f t="shared" si="12"/>
        <v>-3155</v>
      </c>
      <c r="P17" s="8">
        <f t="shared" si="13"/>
        <v>-5123</v>
      </c>
      <c r="Q17" s="8">
        <f t="shared" si="8"/>
        <v>32040</v>
      </c>
      <c r="R17" s="8">
        <f t="shared" si="9"/>
        <v>42990</v>
      </c>
      <c r="S17" s="8">
        <f t="shared" si="10"/>
        <v>35440</v>
      </c>
      <c r="T17" s="8">
        <f t="shared" si="11"/>
        <v>38790</v>
      </c>
    </row>
    <row r="18" spans="1:20">
      <c r="A18" s="8" t="s">
        <v>520</v>
      </c>
      <c r="B18" s="8" t="s">
        <v>430</v>
      </c>
      <c r="C18" s="10">
        <v>44378</v>
      </c>
      <c r="D18" s="8">
        <v>0</v>
      </c>
      <c r="E18" s="8">
        <v>200</v>
      </c>
      <c r="F18" s="8">
        <v>100</v>
      </c>
      <c r="G18" s="8">
        <v>100</v>
      </c>
      <c r="I18" s="10">
        <v>44774</v>
      </c>
      <c r="J18" s="8">
        <f t="shared" si="14"/>
        <v>300</v>
      </c>
      <c r="K18" s="8">
        <f t="shared" si="15"/>
        <v>1500</v>
      </c>
      <c r="L18" s="8">
        <f t="shared" si="16"/>
        <v>921</v>
      </c>
      <c r="M18" s="8">
        <f t="shared" si="17"/>
        <v>879</v>
      </c>
      <c r="N18" s="8">
        <f t="shared" si="18"/>
        <v>1326</v>
      </c>
      <c r="O18" s="8">
        <f t="shared" si="12"/>
        <v>-447</v>
      </c>
      <c r="P18" s="8">
        <f t="shared" si="13"/>
        <v>-5570</v>
      </c>
      <c r="Q18" s="8">
        <f t="shared" si="8"/>
        <v>32340</v>
      </c>
      <c r="R18" s="8">
        <f t="shared" si="9"/>
        <v>44490</v>
      </c>
      <c r="S18" s="8">
        <f t="shared" si="10"/>
        <v>36361</v>
      </c>
      <c r="T18" s="8">
        <f t="shared" si="11"/>
        <v>39669</v>
      </c>
    </row>
    <row r="19" spans="1:20">
      <c r="A19" s="8" t="s">
        <v>520</v>
      </c>
      <c r="B19" s="8" t="s">
        <v>430</v>
      </c>
      <c r="C19" s="10">
        <v>44378</v>
      </c>
      <c r="D19" s="8">
        <v>0</v>
      </c>
      <c r="E19" s="8">
        <v>300</v>
      </c>
      <c r="F19" s="8">
        <v>150</v>
      </c>
      <c r="G19" s="8">
        <v>150</v>
      </c>
      <c r="I19" s="10">
        <v>44805</v>
      </c>
      <c r="J19" s="8">
        <f t="shared" si="14"/>
        <v>0</v>
      </c>
      <c r="K19" s="8">
        <f t="shared" si="15"/>
        <v>300</v>
      </c>
      <c r="L19" s="8">
        <f t="shared" si="16"/>
        <v>150</v>
      </c>
      <c r="M19" s="8">
        <f t="shared" si="17"/>
        <v>150</v>
      </c>
      <c r="N19" s="8">
        <f t="shared" si="18"/>
        <v>0</v>
      </c>
      <c r="O19" s="8">
        <f t="shared" si="12"/>
        <v>150</v>
      </c>
      <c r="P19" s="8">
        <f t="shared" si="13"/>
        <v>-5420</v>
      </c>
      <c r="Q19" s="8">
        <f t="shared" si="8"/>
        <v>32340</v>
      </c>
      <c r="R19" s="8">
        <f t="shared" si="9"/>
        <v>44790</v>
      </c>
      <c r="S19" s="8">
        <f t="shared" si="10"/>
        <v>36511</v>
      </c>
      <c r="T19" s="8">
        <f t="shared" si="11"/>
        <v>39819</v>
      </c>
    </row>
    <row r="20" spans="1:20">
      <c r="A20" s="8" t="s">
        <v>520</v>
      </c>
      <c r="B20" s="8" t="s">
        <v>430</v>
      </c>
      <c r="C20" s="10">
        <v>44378</v>
      </c>
      <c r="D20" s="8">
        <v>0</v>
      </c>
      <c r="E20" s="8">
        <v>200</v>
      </c>
      <c r="F20" s="8">
        <v>100</v>
      </c>
      <c r="G20" s="8">
        <v>100</v>
      </c>
      <c r="I20" s="10">
        <v>44835</v>
      </c>
      <c r="J20" s="8">
        <f t="shared" si="14"/>
        <v>0</v>
      </c>
      <c r="K20" s="8">
        <f t="shared" si="15"/>
        <v>412</v>
      </c>
      <c r="L20" s="8">
        <f t="shared" si="16"/>
        <v>206</v>
      </c>
      <c r="M20" s="8">
        <f t="shared" si="17"/>
        <v>206</v>
      </c>
      <c r="N20" s="8">
        <f t="shared" si="18"/>
        <v>6648</v>
      </c>
      <c r="O20" s="8">
        <f t="shared" si="12"/>
        <v>-6442</v>
      </c>
      <c r="P20" s="8">
        <f t="shared" si="13"/>
        <v>-11862</v>
      </c>
      <c r="Q20" s="8">
        <f t="shared" si="8"/>
        <v>32340</v>
      </c>
      <c r="R20" s="8">
        <f t="shared" si="9"/>
        <v>45202</v>
      </c>
      <c r="S20" s="8">
        <f t="shared" si="10"/>
        <v>36717</v>
      </c>
      <c r="T20" s="8">
        <f t="shared" si="11"/>
        <v>40025</v>
      </c>
    </row>
    <row r="21" spans="1:20">
      <c r="A21" s="8" t="s">
        <v>533</v>
      </c>
      <c r="B21" s="8" t="s">
        <v>365</v>
      </c>
      <c r="C21" s="10">
        <v>44378</v>
      </c>
      <c r="D21" s="8">
        <v>0</v>
      </c>
      <c r="E21" s="8">
        <v>1500</v>
      </c>
      <c r="F21" s="8">
        <v>750</v>
      </c>
      <c r="G21" s="8">
        <v>750</v>
      </c>
      <c r="I21" s="10">
        <v>44866</v>
      </c>
      <c r="J21" s="8">
        <f t="shared" si="14"/>
        <v>0</v>
      </c>
      <c r="K21" s="8">
        <f t="shared" si="15"/>
        <v>0</v>
      </c>
      <c r="L21" s="8">
        <f t="shared" si="16"/>
        <v>0</v>
      </c>
      <c r="M21" s="8">
        <f t="shared" si="17"/>
        <v>0</v>
      </c>
      <c r="N21" s="8">
        <f t="shared" si="18"/>
        <v>1159</v>
      </c>
      <c r="O21" s="8">
        <f t="shared" si="12"/>
        <v>-1159</v>
      </c>
      <c r="P21" s="8">
        <f t="shared" si="13"/>
        <v>-13021</v>
      </c>
      <c r="Q21" s="8">
        <f t="shared" si="8"/>
        <v>32340</v>
      </c>
      <c r="R21" s="8">
        <f t="shared" si="9"/>
        <v>45202</v>
      </c>
      <c r="S21" s="8">
        <f t="shared" si="10"/>
        <v>36717</v>
      </c>
      <c r="T21" s="8">
        <f t="shared" si="11"/>
        <v>40025</v>
      </c>
    </row>
    <row r="22" spans="1:20">
      <c r="A22" s="8" t="s">
        <v>556</v>
      </c>
      <c r="B22" s="8" t="s">
        <v>365</v>
      </c>
      <c r="C22" s="10">
        <v>44409</v>
      </c>
      <c r="D22" s="8">
        <v>0</v>
      </c>
      <c r="E22" s="8">
        <v>400</v>
      </c>
      <c r="F22" s="8">
        <v>200</v>
      </c>
      <c r="G22" s="8">
        <v>200</v>
      </c>
      <c r="I22" s="10">
        <v>44896</v>
      </c>
      <c r="J22" s="8">
        <f t="shared" si="14"/>
        <v>0</v>
      </c>
      <c r="K22" s="8">
        <f t="shared" si="15"/>
        <v>0</v>
      </c>
      <c r="L22" s="8">
        <f t="shared" si="16"/>
        <v>0</v>
      </c>
      <c r="M22" s="8">
        <f t="shared" si="17"/>
        <v>0</v>
      </c>
      <c r="N22" s="8">
        <f t="shared" si="18"/>
        <v>250</v>
      </c>
      <c r="O22" s="8">
        <f t="shared" si="12"/>
        <v>-250</v>
      </c>
      <c r="P22" s="8">
        <f t="shared" si="13"/>
        <v>-13271</v>
      </c>
      <c r="Q22" s="8">
        <f t="shared" si="8"/>
        <v>32340</v>
      </c>
      <c r="R22" s="8">
        <f t="shared" si="9"/>
        <v>45202</v>
      </c>
      <c r="S22" s="8">
        <f t="shared" si="10"/>
        <v>36717</v>
      </c>
      <c r="T22" s="8">
        <f t="shared" si="11"/>
        <v>40025</v>
      </c>
    </row>
    <row r="23" spans="1:20">
      <c r="A23" s="8" t="s">
        <v>556</v>
      </c>
      <c r="B23" s="8" t="s">
        <v>365</v>
      </c>
      <c r="C23" s="10">
        <v>44409</v>
      </c>
      <c r="D23" s="8">
        <v>0</v>
      </c>
      <c r="E23" s="8">
        <v>700</v>
      </c>
      <c r="F23" s="8">
        <v>350</v>
      </c>
      <c r="G23" s="8">
        <v>350</v>
      </c>
      <c r="I23" s="10">
        <v>44927</v>
      </c>
      <c r="J23" s="8">
        <f t="shared" si="14"/>
        <v>0</v>
      </c>
      <c r="K23" s="8">
        <f t="shared" si="15"/>
        <v>900</v>
      </c>
      <c r="L23" s="8">
        <f t="shared" si="16"/>
        <v>500</v>
      </c>
      <c r="M23" s="8">
        <f t="shared" si="17"/>
        <v>400</v>
      </c>
      <c r="N23" s="8">
        <f t="shared" si="18"/>
        <v>2362</v>
      </c>
      <c r="O23" s="8">
        <f t="shared" si="12"/>
        <v>-1962</v>
      </c>
      <c r="P23" s="8">
        <f t="shared" si="13"/>
        <v>-15233</v>
      </c>
      <c r="Q23" s="8">
        <f t="shared" si="8"/>
        <v>32340</v>
      </c>
      <c r="R23" s="8">
        <f t="shared" si="9"/>
        <v>46102</v>
      </c>
      <c r="S23" s="8">
        <f t="shared" si="10"/>
        <v>37217</v>
      </c>
      <c r="T23" s="8">
        <f t="shared" si="11"/>
        <v>40425</v>
      </c>
    </row>
    <row r="24" spans="1:20">
      <c r="A24" s="8" t="s">
        <v>557</v>
      </c>
      <c r="B24" s="8" t="s">
        <v>430</v>
      </c>
      <c r="C24" s="10">
        <v>44409</v>
      </c>
      <c r="D24" s="8">
        <v>0</v>
      </c>
      <c r="E24" s="8">
        <v>1000</v>
      </c>
      <c r="F24" s="8">
        <v>500</v>
      </c>
      <c r="G24" s="8">
        <v>500</v>
      </c>
      <c r="I24" s="10">
        <v>44958</v>
      </c>
      <c r="J24" s="8">
        <f t="shared" si="14"/>
        <v>0</v>
      </c>
      <c r="K24" s="8">
        <f t="shared" si="15"/>
        <v>0</v>
      </c>
      <c r="L24" s="8">
        <f t="shared" si="16"/>
        <v>0</v>
      </c>
      <c r="M24" s="8">
        <f t="shared" si="17"/>
        <v>0</v>
      </c>
      <c r="N24" s="8">
        <f t="shared" si="18"/>
        <v>5100</v>
      </c>
      <c r="O24" s="8">
        <f t="shared" si="12"/>
        <v>-5100</v>
      </c>
      <c r="P24" s="8">
        <f t="shared" si="13"/>
        <v>-20333</v>
      </c>
      <c r="Q24" s="8">
        <f t="shared" si="8"/>
        <v>32340</v>
      </c>
      <c r="R24" s="8">
        <f t="shared" si="9"/>
        <v>46102</v>
      </c>
      <c r="S24" s="8">
        <f t="shared" si="10"/>
        <v>37217</v>
      </c>
      <c r="T24" s="8">
        <f t="shared" si="11"/>
        <v>40425</v>
      </c>
    </row>
    <row r="25" spans="1:20">
      <c r="A25" s="8" t="s">
        <v>561</v>
      </c>
      <c r="B25" s="8" t="s">
        <v>365</v>
      </c>
      <c r="C25" s="10">
        <v>44409</v>
      </c>
      <c r="D25" s="8">
        <v>2410</v>
      </c>
      <c r="E25" s="8">
        <v>0</v>
      </c>
      <c r="F25" s="8">
        <v>0</v>
      </c>
      <c r="G25" s="8">
        <v>0</v>
      </c>
      <c r="I25" s="10">
        <v>44986</v>
      </c>
      <c r="J25" s="8">
        <f t="shared" si="14"/>
        <v>0</v>
      </c>
      <c r="K25" s="8">
        <f t="shared" si="15"/>
        <v>0</v>
      </c>
      <c r="L25" s="8">
        <f t="shared" si="16"/>
        <v>0</v>
      </c>
      <c r="M25" s="8">
        <f t="shared" si="17"/>
        <v>0</v>
      </c>
      <c r="N25" s="8">
        <f t="shared" si="18"/>
        <v>952</v>
      </c>
      <c r="O25" s="8">
        <f t="shared" si="12"/>
        <v>-952</v>
      </c>
      <c r="P25" s="8">
        <f t="shared" si="13"/>
        <v>-21285</v>
      </c>
      <c r="Q25" s="8">
        <f t="shared" si="8"/>
        <v>32340</v>
      </c>
      <c r="R25" s="8">
        <f t="shared" si="9"/>
        <v>46102</v>
      </c>
      <c r="S25" s="8">
        <f t="shared" si="10"/>
        <v>37217</v>
      </c>
      <c r="T25" s="8">
        <f t="shared" si="11"/>
        <v>40425</v>
      </c>
    </row>
    <row r="26" spans="1:20">
      <c r="A26" s="8" t="s">
        <v>562</v>
      </c>
      <c r="B26" s="8" t="s">
        <v>430</v>
      </c>
      <c r="C26" s="10">
        <v>44409</v>
      </c>
      <c r="D26" s="8">
        <v>0</v>
      </c>
      <c r="E26" s="8">
        <v>570</v>
      </c>
      <c r="F26" s="8">
        <v>285</v>
      </c>
      <c r="G26" s="8">
        <v>285</v>
      </c>
      <c r="I26" s="10">
        <v>45017</v>
      </c>
      <c r="J26" s="8">
        <f t="shared" si="14"/>
        <v>0</v>
      </c>
      <c r="K26" s="8">
        <f t="shared" si="15"/>
        <v>0</v>
      </c>
      <c r="L26" s="8">
        <f t="shared" si="16"/>
        <v>0</v>
      </c>
      <c r="M26" s="8">
        <f t="shared" si="17"/>
        <v>0</v>
      </c>
      <c r="N26" s="8">
        <f t="shared" si="18"/>
        <v>0</v>
      </c>
      <c r="O26" s="8">
        <f t="shared" si="12"/>
        <v>0</v>
      </c>
      <c r="P26" s="8">
        <f t="shared" si="13"/>
        <v>-21285</v>
      </c>
      <c r="Q26" s="8">
        <f t="shared" si="8"/>
        <v>32340</v>
      </c>
      <c r="R26" s="8">
        <f t="shared" si="9"/>
        <v>46102</v>
      </c>
      <c r="S26" s="8">
        <f t="shared" si="10"/>
        <v>37217</v>
      </c>
      <c r="T26" s="8">
        <f t="shared" si="11"/>
        <v>40425</v>
      </c>
    </row>
    <row r="27" spans="1:20">
      <c r="A27" s="8" t="s">
        <v>595</v>
      </c>
      <c r="B27" s="8" t="s">
        <v>430</v>
      </c>
      <c r="C27" s="10">
        <v>44409</v>
      </c>
      <c r="D27" s="8">
        <v>0</v>
      </c>
      <c r="E27" s="8">
        <v>600</v>
      </c>
      <c r="F27" s="8">
        <v>300</v>
      </c>
      <c r="G27" s="8">
        <v>300</v>
      </c>
      <c r="I27" s="10">
        <v>45047</v>
      </c>
      <c r="J27" s="8">
        <f t="shared" si="14"/>
        <v>0</v>
      </c>
      <c r="K27" s="8">
        <f t="shared" si="15"/>
        <v>0</v>
      </c>
      <c r="L27" s="8">
        <f t="shared" si="16"/>
        <v>0</v>
      </c>
      <c r="M27" s="8">
        <f t="shared" si="17"/>
        <v>0</v>
      </c>
      <c r="N27" s="8">
        <f t="shared" si="18"/>
        <v>0</v>
      </c>
      <c r="O27" s="8">
        <f t="shared" si="12"/>
        <v>0</v>
      </c>
      <c r="P27" s="8">
        <f t="shared" si="13"/>
        <v>-21285</v>
      </c>
      <c r="Q27" s="8">
        <f t="shared" si="8"/>
        <v>32340</v>
      </c>
      <c r="R27" s="8">
        <f t="shared" si="9"/>
        <v>46102</v>
      </c>
      <c r="S27" s="8">
        <f t="shared" si="10"/>
        <v>37217</v>
      </c>
      <c r="T27" s="8">
        <f t="shared" si="11"/>
        <v>40425</v>
      </c>
    </row>
    <row r="28" spans="1:20">
      <c r="A28" s="8" t="s">
        <v>599</v>
      </c>
      <c r="B28" s="8" t="s">
        <v>365</v>
      </c>
      <c r="C28" s="10">
        <v>44440</v>
      </c>
      <c r="D28" s="8">
        <v>900</v>
      </c>
      <c r="E28" s="8">
        <v>0</v>
      </c>
      <c r="F28" s="8">
        <v>0</v>
      </c>
      <c r="G28" s="8">
        <v>0</v>
      </c>
      <c r="I28" s="10">
        <v>45078</v>
      </c>
      <c r="J28" s="8">
        <f t="shared" si="14"/>
        <v>0</v>
      </c>
      <c r="K28" s="8">
        <f t="shared" si="15"/>
        <v>1800</v>
      </c>
      <c r="L28" s="8">
        <f t="shared" si="16"/>
        <v>1100</v>
      </c>
      <c r="M28" s="8">
        <f t="shared" si="17"/>
        <v>700</v>
      </c>
      <c r="N28" s="8">
        <f t="shared" si="18"/>
        <v>0</v>
      </c>
      <c r="O28" s="8">
        <f t="shared" si="12"/>
        <v>700</v>
      </c>
      <c r="P28" s="8">
        <f t="shared" si="13"/>
        <v>-20585</v>
      </c>
      <c r="Q28" s="8">
        <f t="shared" si="8"/>
        <v>32340</v>
      </c>
      <c r="R28" s="8">
        <f t="shared" si="9"/>
        <v>47902</v>
      </c>
      <c r="S28" s="8">
        <f t="shared" si="10"/>
        <v>38317</v>
      </c>
      <c r="T28" s="8">
        <f t="shared" si="11"/>
        <v>41125</v>
      </c>
    </row>
    <row r="29" spans="1:20">
      <c r="A29" s="8" t="s">
        <v>501</v>
      </c>
      <c r="B29" s="8" t="s">
        <v>430</v>
      </c>
      <c r="C29" s="10">
        <v>44440</v>
      </c>
      <c r="D29" s="8">
        <v>0</v>
      </c>
      <c r="E29" s="8">
        <v>600</v>
      </c>
      <c r="F29" s="8">
        <v>300</v>
      </c>
      <c r="G29" s="8">
        <v>300</v>
      </c>
    </row>
    <row r="30" spans="1:20">
      <c r="A30" s="8" t="s">
        <v>601</v>
      </c>
      <c r="B30" s="8" t="s">
        <v>365</v>
      </c>
      <c r="C30" s="10">
        <v>44440</v>
      </c>
      <c r="D30" s="8">
        <v>0</v>
      </c>
      <c r="E30" s="8">
        <v>700</v>
      </c>
      <c r="F30" s="8">
        <v>350</v>
      </c>
      <c r="G30" s="8">
        <v>350</v>
      </c>
    </row>
    <row r="31" spans="1:20">
      <c r="A31" s="8" t="s">
        <v>557</v>
      </c>
      <c r="B31" s="8" t="s">
        <v>430</v>
      </c>
      <c r="C31" s="10">
        <v>44440</v>
      </c>
      <c r="D31" s="8">
        <v>0</v>
      </c>
      <c r="E31" s="8">
        <v>1000</v>
      </c>
      <c r="F31" s="8">
        <v>500</v>
      </c>
      <c r="G31" s="8">
        <v>500</v>
      </c>
    </row>
    <row r="32" spans="1:20">
      <c r="A32" s="8" t="s">
        <v>501</v>
      </c>
      <c r="B32" s="8" t="s">
        <v>430</v>
      </c>
      <c r="C32" s="10">
        <v>44440</v>
      </c>
      <c r="D32" s="8">
        <v>0</v>
      </c>
      <c r="E32" s="8">
        <v>700</v>
      </c>
      <c r="F32" s="8">
        <v>350</v>
      </c>
      <c r="G32" s="8">
        <v>350</v>
      </c>
    </row>
    <row r="33" spans="1:7">
      <c r="A33" s="8" t="s">
        <v>611</v>
      </c>
      <c r="B33" s="8" t="s">
        <v>365</v>
      </c>
      <c r="C33" s="10">
        <v>44440</v>
      </c>
      <c r="D33" s="8">
        <v>0</v>
      </c>
      <c r="E33" s="8">
        <v>300</v>
      </c>
      <c r="F33" s="8">
        <v>150</v>
      </c>
      <c r="G33" s="8">
        <v>150</v>
      </c>
    </row>
    <row r="34" spans="1:7">
      <c r="A34" s="8" t="s">
        <v>612</v>
      </c>
      <c r="B34" s="8" t="s">
        <v>365</v>
      </c>
      <c r="C34" s="10">
        <v>44440</v>
      </c>
      <c r="D34" s="8">
        <v>0</v>
      </c>
      <c r="E34" s="8">
        <v>750</v>
      </c>
      <c r="F34" s="8">
        <v>375</v>
      </c>
      <c r="G34" s="8">
        <v>375</v>
      </c>
    </row>
    <row r="35" spans="1:7">
      <c r="A35" s="8" t="s">
        <v>558</v>
      </c>
      <c r="B35" s="8" t="s">
        <v>430</v>
      </c>
      <c r="C35" s="10">
        <v>44440</v>
      </c>
      <c r="D35" s="8">
        <v>0</v>
      </c>
      <c r="E35" s="8">
        <v>1700</v>
      </c>
      <c r="F35" s="8">
        <v>850</v>
      </c>
      <c r="G35" s="8">
        <v>850</v>
      </c>
    </row>
    <row r="36" spans="1:7">
      <c r="A36" s="8" t="s">
        <v>409</v>
      </c>
      <c r="B36" s="8" t="s">
        <v>430</v>
      </c>
      <c r="C36" s="10">
        <v>44440</v>
      </c>
      <c r="D36" s="8">
        <v>0</v>
      </c>
      <c r="E36" s="8">
        <v>1000</v>
      </c>
      <c r="F36" s="8">
        <v>500</v>
      </c>
      <c r="G36" s="8">
        <v>500</v>
      </c>
    </row>
    <row r="37" spans="1:7">
      <c r="A37" s="8" t="s">
        <v>409</v>
      </c>
      <c r="B37" s="8" t="s">
        <v>430</v>
      </c>
      <c r="C37" s="10">
        <v>44470</v>
      </c>
      <c r="D37" s="8">
        <v>0</v>
      </c>
      <c r="E37" s="8">
        <v>700</v>
      </c>
      <c r="F37" s="8">
        <v>395</v>
      </c>
      <c r="G37" s="8">
        <v>305</v>
      </c>
    </row>
    <row r="38" spans="1:7">
      <c r="A38" s="8" t="s">
        <v>557</v>
      </c>
      <c r="B38" s="8" t="s">
        <v>430</v>
      </c>
      <c r="C38" s="10">
        <v>44470</v>
      </c>
      <c r="D38" s="8">
        <v>0</v>
      </c>
      <c r="E38" s="8">
        <v>700</v>
      </c>
      <c r="F38" s="8">
        <v>350</v>
      </c>
      <c r="G38" s="8">
        <v>350</v>
      </c>
    </row>
    <row r="39" spans="1:7">
      <c r="A39" s="8" t="s">
        <v>629</v>
      </c>
      <c r="B39" s="8" t="s">
        <v>365</v>
      </c>
      <c r="C39" s="10">
        <v>44470</v>
      </c>
      <c r="D39" s="8">
        <v>0</v>
      </c>
      <c r="E39" s="8">
        <v>800</v>
      </c>
      <c r="F39" s="8">
        <v>400</v>
      </c>
      <c r="G39" s="8">
        <v>400</v>
      </c>
    </row>
    <row r="40" spans="1:7" ht="15.75" thickBot="1">
      <c r="A40" s="8">
        <v>441</v>
      </c>
      <c r="B40" s="8" t="s">
        <v>365</v>
      </c>
      <c r="C40" s="10">
        <v>44470</v>
      </c>
      <c r="D40" s="8">
        <v>540</v>
      </c>
      <c r="E40" s="8">
        <v>0</v>
      </c>
      <c r="F40" s="8">
        <v>0</v>
      </c>
      <c r="G40" s="8">
        <v>0</v>
      </c>
    </row>
    <row r="41" spans="1:7" ht="16.5" thickTop="1" thickBot="1">
      <c r="A41" s="15" t="s">
        <v>631</v>
      </c>
      <c r="B41" s="8" t="s">
        <v>430</v>
      </c>
      <c r="C41" s="10">
        <v>44470</v>
      </c>
      <c r="D41" s="8">
        <v>0</v>
      </c>
      <c r="E41" s="8">
        <v>600</v>
      </c>
      <c r="F41" s="8">
        <v>300</v>
      </c>
      <c r="G41" s="8">
        <v>300</v>
      </c>
    </row>
    <row r="42" spans="1:7" ht="16.5" thickTop="1" thickBot="1">
      <c r="A42" s="15" t="s">
        <v>632</v>
      </c>
      <c r="B42" s="8" t="s">
        <v>430</v>
      </c>
      <c r="C42" s="10">
        <v>44470</v>
      </c>
      <c r="D42" s="8">
        <v>0</v>
      </c>
      <c r="E42" s="8">
        <v>900</v>
      </c>
      <c r="F42" s="8">
        <v>450</v>
      </c>
      <c r="G42" s="8">
        <v>450</v>
      </c>
    </row>
    <row r="43" spans="1:7" ht="16.5" thickTop="1" thickBot="1">
      <c r="A43" s="15" t="s">
        <v>633</v>
      </c>
      <c r="B43" s="8" t="s">
        <v>365</v>
      </c>
      <c r="C43" s="10">
        <v>44470</v>
      </c>
      <c r="D43" s="8">
        <v>0</v>
      </c>
      <c r="E43" s="8">
        <v>400</v>
      </c>
      <c r="F43" s="8">
        <v>200</v>
      </c>
      <c r="G43" s="8">
        <v>200</v>
      </c>
    </row>
    <row r="44" spans="1:7" ht="16.5" thickTop="1" thickBot="1">
      <c r="A44" s="15" t="s">
        <v>501</v>
      </c>
      <c r="B44" s="8" t="s">
        <v>430</v>
      </c>
      <c r="C44" s="10">
        <v>44470</v>
      </c>
      <c r="D44" s="8">
        <v>0</v>
      </c>
      <c r="E44" s="8">
        <v>800</v>
      </c>
      <c r="F44" s="8">
        <v>400</v>
      </c>
      <c r="G44" s="8">
        <v>400</v>
      </c>
    </row>
    <row r="45" spans="1:7" ht="15.75" thickTop="1">
      <c r="A45" s="8" t="s">
        <v>409</v>
      </c>
      <c r="B45" s="8" t="s">
        <v>430</v>
      </c>
      <c r="C45" s="10">
        <v>44470</v>
      </c>
      <c r="D45" s="8">
        <v>0</v>
      </c>
      <c r="E45" s="8">
        <v>550</v>
      </c>
      <c r="F45" s="8">
        <v>275</v>
      </c>
      <c r="G45" s="8">
        <v>275</v>
      </c>
    </row>
    <row r="46" spans="1:7">
      <c r="A46" s="8" t="s">
        <v>409</v>
      </c>
      <c r="B46" s="8" t="s">
        <v>430</v>
      </c>
      <c r="C46" s="10">
        <v>44470</v>
      </c>
      <c r="D46" s="8">
        <v>0</v>
      </c>
      <c r="E46" s="8">
        <v>800</v>
      </c>
      <c r="F46" s="8">
        <v>400</v>
      </c>
      <c r="G46" s="8">
        <v>400</v>
      </c>
    </row>
    <row r="47" spans="1:7">
      <c r="A47" s="8" t="s">
        <v>680</v>
      </c>
      <c r="B47" s="8" t="s">
        <v>365</v>
      </c>
      <c r="C47" s="10">
        <v>44470</v>
      </c>
      <c r="D47" s="8">
        <v>225</v>
      </c>
      <c r="E47" s="8">
        <v>0</v>
      </c>
      <c r="F47" s="8">
        <v>0</v>
      </c>
      <c r="G47" s="8">
        <v>0</v>
      </c>
    </row>
    <row r="48" spans="1:7">
      <c r="A48" s="8">
        <v>441</v>
      </c>
      <c r="B48" s="8" t="s">
        <v>365</v>
      </c>
      <c r="C48" s="10">
        <v>44470</v>
      </c>
      <c r="D48" s="8">
        <v>180</v>
      </c>
      <c r="E48" s="8">
        <v>0</v>
      </c>
      <c r="F48" s="8">
        <v>0</v>
      </c>
      <c r="G48" s="8">
        <v>0</v>
      </c>
    </row>
    <row r="49" spans="1:7">
      <c r="A49" s="8" t="s">
        <v>538</v>
      </c>
      <c r="B49" s="8" t="s">
        <v>365</v>
      </c>
      <c r="C49" s="10">
        <v>44470</v>
      </c>
      <c r="D49" s="8">
        <v>100</v>
      </c>
      <c r="E49" s="8">
        <v>0</v>
      </c>
      <c r="F49" s="8">
        <v>0</v>
      </c>
      <c r="G49" s="8">
        <v>0</v>
      </c>
    </row>
    <row r="50" spans="1:7">
      <c r="A50" s="8" t="s">
        <v>45</v>
      </c>
      <c r="B50" s="8" t="s">
        <v>365</v>
      </c>
      <c r="C50" s="10">
        <v>44470</v>
      </c>
      <c r="D50" s="8">
        <v>1600</v>
      </c>
      <c r="E50" s="8">
        <v>0</v>
      </c>
      <c r="F50" s="8">
        <v>0</v>
      </c>
      <c r="G50" s="8">
        <v>0</v>
      </c>
    </row>
    <row r="51" spans="1:7">
      <c r="A51" s="8" t="s">
        <v>46</v>
      </c>
      <c r="B51" s="8" t="s">
        <v>365</v>
      </c>
      <c r="C51" s="10">
        <v>44470</v>
      </c>
      <c r="D51" s="8">
        <v>400</v>
      </c>
      <c r="E51" s="8">
        <v>0</v>
      </c>
      <c r="F51" s="8">
        <v>0</v>
      </c>
      <c r="G51" s="8">
        <v>0</v>
      </c>
    </row>
    <row r="52" spans="1:7">
      <c r="A52" s="8" t="s">
        <v>557</v>
      </c>
      <c r="B52" s="8" t="s">
        <v>430</v>
      </c>
      <c r="C52" s="10">
        <v>44470</v>
      </c>
      <c r="D52" s="8">
        <v>0</v>
      </c>
      <c r="E52" s="8">
        <v>500</v>
      </c>
      <c r="F52" s="8">
        <v>250</v>
      </c>
      <c r="G52" s="8">
        <v>250</v>
      </c>
    </row>
    <row r="53" spans="1:7">
      <c r="A53" s="8" t="s">
        <v>501</v>
      </c>
      <c r="B53" s="8" t="s">
        <v>430</v>
      </c>
      <c r="C53" s="10">
        <v>44470</v>
      </c>
      <c r="D53" s="8">
        <v>0</v>
      </c>
      <c r="E53" s="8">
        <v>700</v>
      </c>
      <c r="F53" s="8">
        <v>350</v>
      </c>
      <c r="G53" s="8">
        <v>350</v>
      </c>
    </row>
    <row r="54" spans="1:7">
      <c r="A54" s="8" t="s">
        <v>685</v>
      </c>
      <c r="B54" s="8" t="s">
        <v>365</v>
      </c>
      <c r="C54" s="10">
        <v>44501</v>
      </c>
      <c r="D54" s="8">
        <v>0</v>
      </c>
      <c r="E54" s="8">
        <v>700</v>
      </c>
      <c r="F54" s="8">
        <v>350</v>
      </c>
      <c r="G54" s="8">
        <v>350</v>
      </c>
    </row>
    <row r="55" spans="1:7">
      <c r="A55" s="8" t="s">
        <v>501</v>
      </c>
      <c r="B55" s="8" t="s">
        <v>430</v>
      </c>
      <c r="C55" s="10">
        <v>44531</v>
      </c>
      <c r="D55" s="8">
        <v>0</v>
      </c>
      <c r="E55" s="8">
        <v>1400</v>
      </c>
      <c r="F55" s="8">
        <v>700</v>
      </c>
      <c r="G55" s="8">
        <v>700</v>
      </c>
    </row>
    <row r="56" spans="1:7">
      <c r="A56" s="8">
        <v>11</v>
      </c>
      <c r="B56" s="8" t="s">
        <v>365</v>
      </c>
      <c r="C56" s="10">
        <v>44531</v>
      </c>
      <c r="D56" s="8">
        <v>0</v>
      </c>
      <c r="E56" s="8">
        <v>3000</v>
      </c>
      <c r="F56" s="8">
        <v>200</v>
      </c>
      <c r="G56" s="8">
        <v>2800</v>
      </c>
    </row>
    <row r="57" spans="1:7">
      <c r="A57" s="8" t="s">
        <v>45</v>
      </c>
      <c r="B57" s="8" t="s">
        <v>365</v>
      </c>
      <c r="C57" s="10">
        <v>44531</v>
      </c>
      <c r="D57" s="8">
        <v>400</v>
      </c>
      <c r="E57" s="8">
        <v>0</v>
      </c>
      <c r="F57" s="8">
        <v>0</v>
      </c>
      <c r="G57" s="8">
        <v>0</v>
      </c>
    </row>
    <row r="58" spans="1:7">
      <c r="A58" s="8" t="s">
        <v>46</v>
      </c>
      <c r="B58" s="8" t="s">
        <v>365</v>
      </c>
      <c r="C58" s="10">
        <v>44531</v>
      </c>
      <c r="D58" s="8">
        <v>111</v>
      </c>
      <c r="E58" s="8">
        <v>0</v>
      </c>
      <c r="F58" s="8">
        <v>0</v>
      </c>
      <c r="G58" s="8">
        <v>0</v>
      </c>
    </row>
    <row r="59" spans="1:7">
      <c r="A59" s="8" t="s">
        <v>329</v>
      </c>
      <c r="B59" s="8" t="s">
        <v>365</v>
      </c>
      <c r="C59" s="10">
        <v>44531</v>
      </c>
      <c r="D59" s="8">
        <v>100</v>
      </c>
      <c r="E59" s="8">
        <v>0</v>
      </c>
      <c r="F59" s="8">
        <v>0</v>
      </c>
      <c r="G59" s="8">
        <v>0</v>
      </c>
    </row>
    <row r="60" spans="1:7">
      <c r="A60" s="8" t="s">
        <v>716</v>
      </c>
      <c r="B60" s="8" t="s">
        <v>365</v>
      </c>
      <c r="C60" s="10">
        <v>44531</v>
      </c>
      <c r="D60" s="8">
        <v>0</v>
      </c>
      <c r="E60" s="8">
        <v>700</v>
      </c>
      <c r="F60" s="8">
        <v>350</v>
      </c>
      <c r="G60" s="8">
        <v>150</v>
      </c>
    </row>
    <row r="61" spans="1:7">
      <c r="A61" s="8" t="s">
        <v>718</v>
      </c>
      <c r="B61" s="8" t="s">
        <v>365</v>
      </c>
      <c r="C61" s="10">
        <v>44532</v>
      </c>
      <c r="D61" s="8">
        <v>0</v>
      </c>
      <c r="E61" s="8">
        <v>1450</v>
      </c>
      <c r="F61" s="8">
        <v>725</v>
      </c>
      <c r="G61" s="8">
        <v>725</v>
      </c>
    </row>
    <row r="62" spans="1:7">
      <c r="A62" s="8" t="s">
        <v>719</v>
      </c>
      <c r="B62" s="8" t="s">
        <v>365</v>
      </c>
      <c r="C62" s="10">
        <v>44531</v>
      </c>
      <c r="D62" s="8">
        <v>0</v>
      </c>
      <c r="E62" s="8">
        <v>300</v>
      </c>
      <c r="F62" s="8">
        <v>150</v>
      </c>
      <c r="G62" s="8">
        <v>150</v>
      </c>
    </row>
    <row r="63" spans="1:7">
      <c r="A63" s="8" t="s">
        <v>467</v>
      </c>
      <c r="B63" s="8" t="s">
        <v>365</v>
      </c>
      <c r="C63" s="10">
        <v>44531</v>
      </c>
      <c r="D63" s="8">
        <v>0</v>
      </c>
      <c r="E63" s="8">
        <v>400</v>
      </c>
      <c r="F63" s="8">
        <v>200</v>
      </c>
      <c r="G63" s="8">
        <v>200</v>
      </c>
    </row>
    <row r="64" spans="1:7">
      <c r="A64" s="8" t="s">
        <v>721</v>
      </c>
      <c r="B64" s="8" t="s">
        <v>365</v>
      </c>
      <c r="C64" s="10">
        <v>44531</v>
      </c>
      <c r="D64" s="8">
        <v>0</v>
      </c>
      <c r="E64" s="8">
        <v>200</v>
      </c>
      <c r="F64" s="8">
        <v>100</v>
      </c>
      <c r="G64" s="8">
        <v>100</v>
      </c>
    </row>
    <row r="65" spans="1:7">
      <c r="A65" s="8" t="s">
        <v>722</v>
      </c>
      <c r="B65" s="8" t="s">
        <v>365</v>
      </c>
      <c r="C65" s="10">
        <v>44531</v>
      </c>
      <c r="D65" s="8">
        <v>0</v>
      </c>
      <c r="E65" s="8">
        <v>1580</v>
      </c>
      <c r="F65" s="8">
        <v>790</v>
      </c>
      <c r="G65" s="8">
        <v>790</v>
      </c>
    </row>
    <row r="66" spans="1:7">
      <c r="A66" s="8" t="s">
        <v>735</v>
      </c>
      <c r="B66" s="8" t="s">
        <v>365</v>
      </c>
      <c r="C66" s="10">
        <v>44531</v>
      </c>
      <c r="D66" s="8">
        <v>0</v>
      </c>
      <c r="E66" s="8">
        <v>1200</v>
      </c>
      <c r="F66" s="8">
        <v>600</v>
      </c>
      <c r="G66" s="8">
        <v>600</v>
      </c>
    </row>
    <row r="67" spans="1:7">
      <c r="A67" s="8" t="s">
        <v>750</v>
      </c>
      <c r="B67" s="8" t="s">
        <v>365</v>
      </c>
      <c r="C67" s="10">
        <v>44531</v>
      </c>
      <c r="D67" s="8">
        <v>0</v>
      </c>
      <c r="E67" s="8">
        <v>700</v>
      </c>
      <c r="F67" s="8">
        <v>350</v>
      </c>
      <c r="G67" s="8">
        <v>350</v>
      </c>
    </row>
    <row r="68" spans="1:7">
      <c r="A68" s="8" t="s">
        <v>538</v>
      </c>
      <c r="B68" s="8" t="s">
        <v>365</v>
      </c>
      <c r="C68" s="10">
        <v>44531</v>
      </c>
      <c r="D68" s="8">
        <v>100</v>
      </c>
      <c r="E68" s="8">
        <v>0</v>
      </c>
      <c r="F68" s="8">
        <v>0</v>
      </c>
      <c r="G68" s="8">
        <v>0</v>
      </c>
    </row>
    <row r="69" spans="1:7">
      <c r="A69" s="8" t="s">
        <v>495</v>
      </c>
      <c r="B69" s="8" t="s">
        <v>365</v>
      </c>
      <c r="C69" s="10">
        <v>44531</v>
      </c>
      <c r="D69" s="8">
        <v>120</v>
      </c>
      <c r="E69" s="8">
        <v>0</v>
      </c>
      <c r="F69" s="8">
        <v>0</v>
      </c>
      <c r="G69" s="8">
        <v>0</v>
      </c>
    </row>
    <row r="70" spans="1:7">
      <c r="A70" s="8" t="s">
        <v>760</v>
      </c>
      <c r="B70" s="8" t="s">
        <v>365</v>
      </c>
      <c r="C70" s="10">
        <v>44562</v>
      </c>
      <c r="D70" s="8">
        <v>0</v>
      </c>
      <c r="E70" s="8">
        <v>300</v>
      </c>
      <c r="F70" s="8">
        <v>150</v>
      </c>
      <c r="G70" s="8">
        <v>150</v>
      </c>
    </row>
    <row r="71" spans="1:7" ht="15.75" thickBot="1">
      <c r="A71" s="8" t="s">
        <v>760</v>
      </c>
      <c r="B71" s="8" t="s">
        <v>365</v>
      </c>
      <c r="C71" s="10">
        <v>44562</v>
      </c>
      <c r="D71" s="8">
        <v>0</v>
      </c>
      <c r="E71" s="8">
        <v>300</v>
      </c>
      <c r="F71" s="8">
        <v>150</v>
      </c>
      <c r="G71" s="8">
        <v>150</v>
      </c>
    </row>
    <row r="72" spans="1:7" ht="16.5" thickTop="1" thickBot="1">
      <c r="A72" s="18" t="s">
        <v>728</v>
      </c>
      <c r="B72" s="8" t="s">
        <v>365</v>
      </c>
      <c r="C72" s="10">
        <v>44562</v>
      </c>
      <c r="D72" s="18">
        <v>135</v>
      </c>
      <c r="E72" s="8">
        <v>0</v>
      </c>
      <c r="F72" s="8">
        <v>0</v>
      </c>
      <c r="G72" s="8">
        <v>0</v>
      </c>
    </row>
    <row r="73" spans="1:7" ht="16.5" thickTop="1" thickBot="1">
      <c r="A73" s="18" t="s">
        <v>726</v>
      </c>
      <c r="B73" s="8" t="s">
        <v>365</v>
      </c>
      <c r="C73" s="10">
        <v>44562</v>
      </c>
      <c r="D73" s="18">
        <v>380</v>
      </c>
      <c r="E73" s="8">
        <v>0</v>
      </c>
      <c r="F73" s="8">
        <v>0</v>
      </c>
      <c r="G73" s="8">
        <v>0</v>
      </c>
    </row>
    <row r="74" spans="1:7" ht="16.5" thickTop="1" thickBot="1">
      <c r="A74" s="18" t="s">
        <v>727</v>
      </c>
      <c r="B74" s="8" t="s">
        <v>365</v>
      </c>
      <c r="C74" s="10">
        <v>44562</v>
      </c>
      <c r="D74" s="18">
        <v>240</v>
      </c>
      <c r="E74" s="8">
        <v>0</v>
      </c>
      <c r="F74" s="8">
        <v>0</v>
      </c>
      <c r="G74" s="8">
        <v>0</v>
      </c>
    </row>
    <row r="75" spans="1:7" ht="16.5" thickTop="1" thickBot="1">
      <c r="A75" s="18" t="s">
        <v>761</v>
      </c>
      <c r="B75" s="8" t="s">
        <v>365</v>
      </c>
      <c r="C75" s="10">
        <v>44562</v>
      </c>
      <c r="D75" s="18">
        <v>350</v>
      </c>
      <c r="E75" s="8">
        <v>0</v>
      </c>
      <c r="F75" s="8">
        <v>0</v>
      </c>
      <c r="G75" s="8">
        <v>0</v>
      </c>
    </row>
    <row r="76" spans="1:7" ht="15.75" thickTop="1">
      <c r="A76" s="8" t="s">
        <v>767</v>
      </c>
      <c r="B76" s="8" t="s">
        <v>430</v>
      </c>
      <c r="C76" s="10">
        <v>44562</v>
      </c>
      <c r="D76" s="8">
        <v>0</v>
      </c>
      <c r="E76" s="8">
        <v>200</v>
      </c>
      <c r="F76" s="8">
        <v>100</v>
      </c>
      <c r="G76" s="8">
        <v>100</v>
      </c>
    </row>
    <row r="77" spans="1:7">
      <c r="A77" s="8" t="s">
        <v>560</v>
      </c>
      <c r="B77" s="8" t="s">
        <v>365</v>
      </c>
      <c r="C77" s="10">
        <v>44562</v>
      </c>
      <c r="D77" s="8">
        <v>0</v>
      </c>
      <c r="E77" s="8">
        <v>1000</v>
      </c>
      <c r="F77" s="8">
        <v>500</v>
      </c>
      <c r="G77" s="8">
        <v>500</v>
      </c>
    </row>
    <row r="78" spans="1:7">
      <c r="A78" s="8" t="s">
        <v>778</v>
      </c>
      <c r="B78" s="8" t="s">
        <v>365</v>
      </c>
      <c r="C78" s="10">
        <v>44562</v>
      </c>
      <c r="D78" s="8">
        <v>1000</v>
      </c>
      <c r="E78" s="8">
        <v>0</v>
      </c>
      <c r="F78" s="8">
        <v>0</v>
      </c>
      <c r="G78" s="8">
        <v>0</v>
      </c>
    </row>
    <row r="79" spans="1:7">
      <c r="A79" s="8" t="s">
        <v>384</v>
      </c>
      <c r="B79" s="8" t="s">
        <v>365</v>
      </c>
      <c r="C79" s="10">
        <v>44593</v>
      </c>
      <c r="D79" s="8">
        <v>4000</v>
      </c>
      <c r="E79" s="8">
        <v>0</v>
      </c>
      <c r="F79" s="8">
        <v>0</v>
      </c>
      <c r="G79" s="8">
        <v>0</v>
      </c>
    </row>
    <row r="80" spans="1:7">
      <c r="A80" s="8" t="s">
        <v>789</v>
      </c>
      <c r="B80" s="8" t="s">
        <v>365</v>
      </c>
      <c r="C80" s="10">
        <v>44593</v>
      </c>
      <c r="D80" s="8">
        <v>0</v>
      </c>
      <c r="E80" s="8">
        <v>500</v>
      </c>
      <c r="F80" s="8">
        <v>250</v>
      </c>
      <c r="G80" s="8">
        <v>250</v>
      </c>
    </row>
    <row r="81" spans="1:7">
      <c r="A81" s="8" t="s">
        <v>501</v>
      </c>
      <c r="B81" s="8" t="s">
        <v>430</v>
      </c>
      <c r="C81" s="10">
        <v>44593</v>
      </c>
      <c r="D81" s="8">
        <v>0</v>
      </c>
      <c r="E81" s="8">
        <v>300</v>
      </c>
      <c r="F81" s="8">
        <v>150</v>
      </c>
      <c r="G81" s="8">
        <v>150</v>
      </c>
    </row>
    <row r="82" spans="1:7">
      <c r="A82" s="8" t="s">
        <v>501</v>
      </c>
      <c r="B82" s="8" t="s">
        <v>430</v>
      </c>
      <c r="C82" s="10">
        <v>44593</v>
      </c>
      <c r="D82" s="8">
        <v>0</v>
      </c>
      <c r="E82" s="8">
        <v>600</v>
      </c>
      <c r="F82" s="8">
        <v>300</v>
      </c>
      <c r="G82" s="8">
        <v>300</v>
      </c>
    </row>
    <row r="83" spans="1:7">
      <c r="A83" s="8" t="s">
        <v>805</v>
      </c>
      <c r="B83" s="8" t="s">
        <v>430</v>
      </c>
      <c r="C83" s="10">
        <v>44621</v>
      </c>
      <c r="D83" s="8">
        <v>0</v>
      </c>
      <c r="E83" s="8">
        <v>1000</v>
      </c>
      <c r="F83" s="8">
        <v>500</v>
      </c>
      <c r="G83" s="8">
        <v>500</v>
      </c>
    </row>
    <row r="84" spans="1:7">
      <c r="A84" s="8" t="s">
        <v>806</v>
      </c>
      <c r="B84" s="8" t="s">
        <v>430</v>
      </c>
      <c r="C84" s="10">
        <v>44621</v>
      </c>
      <c r="D84" s="8">
        <v>0</v>
      </c>
      <c r="E84" s="8">
        <v>1700</v>
      </c>
      <c r="F84" s="8">
        <v>850</v>
      </c>
      <c r="G84" s="8">
        <v>850</v>
      </c>
    </row>
    <row r="85" spans="1:7" ht="15.75" thickBot="1">
      <c r="A85" s="8" t="s">
        <v>457</v>
      </c>
      <c r="B85" s="8" t="s">
        <v>365</v>
      </c>
      <c r="C85" s="10">
        <v>44621</v>
      </c>
      <c r="D85" s="8">
        <v>0</v>
      </c>
      <c r="E85" s="8">
        <v>400</v>
      </c>
      <c r="F85" s="8">
        <v>200</v>
      </c>
      <c r="G85" s="8">
        <v>200</v>
      </c>
    </row>
    <row r="86" spans="1:7" ht="16.5" thickTop="1" thickBot="1">
      <c r="A86" s="18" t="s">
        <v>820</v>
      </c>
      <c r="B86" s="8" t="s">
        <v>365</v>
      </c>
      <c r="C86" s="10">
        <v>44621</v>
      </c>
      <c r="D86" s="18">
        <v>330</v>
      </c>
      <c r="E86" s="8">
        <v>0</v>
      </c>
      <c r="F86" s="8">
        <v>0</v>
      </c>
      <c r="G86" s="8">
        <v>0</v>
      </c>
    </row>
    <row r="87" spans="1:7" ht="16.5" thickTop="1" thickBot="1">
      <c r="A87" s="18" t="s">
        <v>821</v>
      </c>
      <c r="B87" s="8" t="s">
        <v>365</v>
      </c>
      <c r="C87" s="10">
        <v>44621</v>
      </c>
      <c r="D87" s="18">
        <v>240</v>
      </c>
      <c r="E87" s="8">
        <v>0</v>
      </c>
      <c r="F87" s="8">
        <v>0</v>
      </c>
      <c r="G87" s="8">
        <v>0</v>
      </c>
    </row>
    <row r="88" spans="1:7" ht="16.5" thickTop="1" thickBot="1">
      <c r="A88" s="18" t="s">
        <v>822</v>
      </c>
      <c r="B88" s="8" t="s">
        <v>365</v>
      </c>
      <c r="C88" s="10">
        <v>44621</v>
      </c>
      <c r="D88" s="18">
        <v>70</v>
      </c>
      <c r="E88" s="8">
        <v>0</v>
      </c>
      <c r="F88" s="8">
        <v>0</v>
      </c>
      <c r="G88" s="8">
        <v>0</v>
      </c>
    </row>
    <row r="89" spans="1:7" ht="16.5" thickTop="1" thickBot="1">
      <c r="A89" s="18" t="s">
        <v>823</v>
      </c>
      <c r="B89" s="8" t="s">
        <v>365</v>
      </c>
      <c r="C89" s="10">
        <v>44621</v>
      </c>
      <c r="D89" s="18">
        <v>70</v>
      </c>
      <c r="E89" s="8">
        <v>0</v>
      </c>
      <c r="F89" s="8">
        <v>0</v>
      </c>
      <c r="G89" s="8">
        <v>0</v>
      </c>
    </row>
    <row r="90" spans="1:7" ht="15.75" thickTop="1">
      <c r="A90" s="8" t="s">
        <v>825</v>
      </c>
      <c r="B90" s="8" t="s">
        <v>365</v>
      </c>
      <c r="C90" s="10">
        <v>44621</v>
      </c>
      <c r="D90" s="8">
        <v>0</v>
      </c>
      <c r="E90" s="8">
        <v>900</v>
      </c>
      <c r="F90" s="8">
        <v>480</v>
      </c>
      <c r="G90" s="8">
        <v>420</v>
      </c>
    </row>
    <row r="91" spans="1:7">
      <c r="A91" s="8" t="s">
        <v>849</v>
      </c>
      <c r="B91" s="8" t="s">
        <v>365</v>
      </c>
      <c r="C91" s="10">
        <v>44621</v>
      </c>
      <c r="D91" s="8">
        <v>0</v>
      </c>
      <c r="E91" s="8">
        <v>600</v>
      </c>
      <c r="F91" s="8">
        <v>350</v>
      </c>
      <c r="G91" s="8">
        <v>250</v>
      </c>
    </row>
    <row r="92" spans="1:7">
      <c r="A92" s="8" t="s">
        <v>329</v>
      </c>
      <c r="B92" s="8" t="s">
        <v>365</v>
      </c>
      <c r="C92" s="10">
        <v>44621</v>
      </c>
      <c r="D92" s="8">
        <v>135</v>
      </c>
      <c r="E92" s="8">
        <v>0</v>
      </c>
      <c r="F92" s="8">
        <v>0</v>
      </c>
      <c r="G92" s="8">
        <v>0</v>
      </c>
    </row>
    <row r="93" spans="1:7">
      <c r="A93" s="8" t="s">
        <v>490</v>
      </c>
      <c r="B93" s="8" t="s">
        <v>365</v>
      </c>
      <c r="C93" s="10">
        <v>44621</v>
      </c>
      <c r="D93" s="8">
        <v>140</v>
      </c>
      <c r="E93" s="8">
        <v>0</v>
      </c>
      <c r="F93" s="8">
        <v>0</v>
      </c>
      <c r="G93" s="8">
        <v>0</v>
      </c>
    </row>
    <row r="94" spans="1:7">
      <c r="A94" s="8" t="s">
        <v>789</v>
      </c>
      <c r="B94" s="8" t="s">
        <v>365</v>
      </c>
      <c r="C94" s="10">
        <v>44621</v>
      </c>
      <c r="D94" s="8">
        <v>0</v>
      </c>
      <c r="E94" s="8">
        <v>300</v>
      </c>
      <c r="F94" s="8">
        <v>150</v>
      </c>
      <c r="G94" s="8">
        <v>150</v>
      </c>
    </row>
    <row r="95" spans="1:7">
      <c r="A95" s="8" t="s">
        <v>864</v>
      </c>
      <c r="B95" s="8" t="s">
        <v>365</v>
      </c>
      <c r="C95" s="10">
        <v>44652</v>
      </c>
      <c r="D95" s="8">
        <v>0</v>
      </c>
      <c r="E95" s="8">
        <v>500</v>
      </c>
      <c r="F95" s="8">
        <v>250</v>
      </c>
      <c r="G95" s="8">
        <v>250</v>
      </c>
    </row>
    <row r="96" spans="1:7">
      <c r="A96" s="8" t="s">
        <v>45</v>
      </c>
      <c r="B96" s="8" t="s">
        <v>365</v>
      </c>
      <c r="C96" s="10">
        <v>44652</v>
      </c>
      <c r="D96" s="8">
        <v>655</v>
      </c>
      <c r="E96" s="8">
        <v>0</v>
      </c>
      <c r="F96" s="8">
        <v>0</v>
      </c>
      <c r="G96" s="8">
        <v>0</v>
      </c>
    </row>
    <row r="97" spans="1:7">
      <c r="A97" s="8" t="s">
        <v>46</v>
      </c>
      <c r="B97" s="8" t="s">
        <v>365</v>
      </c>
      <c r="C97" s="10">
        <v>44652</v>
      </c>
      <c r="D97" s="8">
        <v>150</v>
      </c>
      <c r="E97" s="8">
        <v>0</v>
      </c>
      <c r="F97" s="8">
        <v>0</v>
      </c>
      <c r="G97" s="8">
        <v>0</v>
      </c>
    </row>
    <row r="98" spans="1:7">
      <c r="A98" s="8" t="s">
        <v>874</v>
      </c>
      <c r="B98" s="8" t="s">
        <v>365</v>
      </c>
      <c r="C98" s="10">
        <v>44682</v>
      </c>
      <c r="D98" s="8">
        <v>0</v>
      </c>
      <c r="E98" s="8">
        <v>1300</v>
      </c>
      <c r="F98" s="8">
        <v>650</v>
      </c>
      <c r="G98" s="8">
        <v>650</v>
      </c>
    </row>
    <row r="99" spans="1:7">
      <c r="A99" s="8" t="s">
        <v>409</v>
      </c>
      <c r="B99" s="8" t="s">
        <v>430</v>
      </c>
      <c r="C99" s="10">
        <v>44682</v>
      </c>
      <c r="D99" s="8">
        <v>0</v>
      </c>
      <c r="E99" s="8">
        <v>1000</v>
      </c>
      <c r="F99" s="8">
        <v>500</v>
      </c>
      <c r="G99" s="8">
        <v>500</v>
      </c>
    </row>
    <row r="100" spans="1:7">
      <c r="A100" s="8" t="s">
        <v>886</v>
      </c>
      <c r="B100" s="8" t="s">
        <v>365</v>
      </c>
      <c r="C100" s="10">
        <v>44682</v>
      </c>
      <c r="D100" s="8">
        <v>0</v>
      </c>
      <c r="E100" s="8">
        <v>300</v>
      </c>
      <c r="F100" s="8">
        <v>150</v>
      </c>
      <c r="G100" s="8">
        <v>150</v>
      </c>
    </row>
    <row r="101" spans="1:7">
      <c r="A101" s="8" t="s">
        <v>887</v>
      </c>
      <c r="B101" s="8" t="s">
        <v>365</v>
      </c>
      <c r="C101" s="10">
        <v>44682</v>
      </c>
      <c r="D101" s="8">
        <v>0</v>
      </c>
      <c r="E101" s="8">
        <v>2000</v>
      </c>
      <c r="F101" s="8">
        <v>1000</v>
      </c>
      <c r="G101" s="8">
        <v>1000</v>
      </c>
    </row>
    <row r="102" spans="1:7">
      <c r="A102" s="8" t="s">
        <v>501</v>
      </c>
      <c r="B102" s="8" t="s">
        <v>430</v>
      </c>
      <c r="C102" s="10">
        <v>44682</v>
      </c>
      <c r="D102" s="8">
        <v>0</v>
      </c>
      <c r="E102" s="8">
        <v>600</v>
      </c>
      <c r="F102" s="8">
        <v>300</v>
      </c>
      <c r="G102" s="8">
        <v>300</v>
      </c>
    </row>
    <row r="103" spans="1:7">
      <c r="A103" s="8" t="s">
        <v>902</v>
      </c>
      <c r="B103" s="8" t="s">
        <v>430</v>
      </c>
      <c r="C103" s="10">
        <v>44682</v>
      </c>
      <c r="D103" s="8">
        <v>0</v>
      </c>
      <c r="E103" s="8">
        <v>520</v>
      </c>
      <c r="F103" s="8">
        <v>260</v>
      </c>
      <c r="G103" s="8">
        <v>260</v>
      </c>
    </row>
    <row r="104" spans="1:7">
      <c r="A104" s="8" t="s">
        <v>897</v>
      </c>
      <c r="B104" s="8" t="s">
        <v>365</v>
      </c>
      <c r="C104" s="10">
        <v>44713</v>
      </c>
      <c r="D104" s="8">
        <v>0</v>
      </c>
      <c r="E104" s="8">
        <v>800</v>
      </c>
      <c r="F104" s="8">
        <v>400</v>
      </c>
      <c r="G104" s="8">
        <v>400</v>
      </c>
    </row>
    <row r="105" spans="1:7">
      <c r="A105" s="8" t="s">
        <v>906</v>
      </c>
      <c r="B105" s="8" t="s">
        <v>365</v>
      </c>
      <c r="C105" s="10">
        <v>44713</v>
      </c>
      <c r="D105" s="8">
        <v>0</v>
      </c>
      <c r="E105" s="8">
        <v>3200</v>
      </c>
      <c r="F105" s="8">
        <v>1600</v>
      </c>
      <c r="G105" s="8">
        <v>1600</v>
      </c>
    </row>
    <row r="106" spans="1:7">
      <c r="A106" s="8" t="s">
        <v>907</v>
      </c>
      <c r="B106" s="8" t="s">
        <v>365</v>
      </c>
      <c r="C106" s="10">
        <v>44713</v>
      </c>
      <c r="D106" s="8">
        <v>0</v>
      </c>
      <c r="E106" s="8">
        <v>1200</v>
      </c>
      <c r="F106" s="8">
        <v>600</v>
      </c>
      <c r="G106" s="8">
        <v>600</v>
      </c>
    </row>
    <row r="107" spans="1:7">
      <c r="A107" s="8" t="s">
        <v>908</v>
      </c>
      <c r="B107" s="8" t="s">
        <v>365</v>
      </c>
      <c r="C107" s="10">
        <v>44713</v>
      </c>
      <c r="D107" s="8">
        <v>0</v>
      </c>
      <c r="E107" s="8">
        <v>1200</v>
      </c>
      <c r="F107" s="8">
        <v>600</v>
      </c>
      <c r="G107" s="8">
        <v>600</v>
      </c>
    </row>
    <row r="108" spans="1:7">
      <c r="A108" s="8" t="s">
        <v>909</v>
      </c>
      <c r="B108" s="8" t="s">
        <v>430</v>
      </c>
      <c r="C108" s="10">
        <v>44713</v>
      </c>
      <c r="D108" s="8">
        <v>0</v>
      </c>
      <c r="E108" s="8">
        <v>200</v>
      </c>
      <c r="F108" s="8">
        <v>100</v>
      </c>
      <c r="G108" s="8">
        <v>100</v>
      </c>
    </row>
    <row r="109" spans="1:7">
      <c r="A109" s="8" t="s">
        <v>910</v>
      </c>
      <c r="B109" s="8" t="s">
        <v>430</v>
      </c>
      <c r="C109" s="10">
        <v>44713</v>
      </c>
      <c r="D109" s="8">
        <v>0</v>
      </c>
      <c r="E109" s="8">
        <v>100</v>
      </c>
      <c r="F109" s="8">
        <v>50</v>
      </c>
      <c r="G109" s="8">
        <v>50</v>
      </c>
    </row>
    <row r="110" spans="1:7">
      <c r="A110" s="8" t="s">
        <v>50</v>
      </c>
      <c r="B110" s="8" t="s">
        <v>365</v>
      </c>
      <c r="C110" s="10">
        <v>44713</v>
      </c>
      <c r="D110" s="8">
        <v>150</v>
      </c>
      <c r="E110" s="8">
        <v>0</v>
      </c>
      <c r="F110" s="8">
        <v>0</v>
      </c>
      <c r="G110" s="8">
        <v>0</v>
      </c>
    </row>
    <row r="111" spans="1:7">
      <c r="A111" s="8" t="s">
        <v>538</v>
      </c>
      <c r="B111" s="8" t="s">
        <v>365</v>
      </c>
      <c r="C111" s="10">
        <v>44713</v>
      </c>
      <c r="D111" s="8">
        <v>70</v>
      </c>
      <c r="E111" s="8">
        <v>0</v>
      </c>
      <c r="F111" s="8">
        <v>0</v>
      </c>
      <c r="G111" s="8">
        <v>0</v>
      </c>
    </row>
    <row r="112" spans="1:7">
      <c r="A112" s="8" t="s">
        <v>329</v>
      </c>
      <c r="B112" s="8" t="s">
        <v>365</v>
      </c>
      <c r="C112" s="10">
        <v>44713</v>
      </c>
      <c r="D112" s="8">
        <v>90</v>
      </c>
      <c r="E112" s="8">
        <v>0</v>
      </c>
      <c r="F112" s="8">
        <v>0</v>
      </c>
      <c r="G112" s="8">
        <v>0</v>
      </c>
    </row>
    <row r="113" spans="1:7">
      <c r="A113" s="8" t="s">
        <v>918</v>
      </c>
      <c r="B113" s="8" t="s">
        <v>365</v>
      </c>
      <c r="C113" s="10">
        <v>44713</v>
      </c>
      <c r="D113" s="8">
        <v>1497</v>
      </c>
      <c r="E113" s="8">
        <v>0</v>
      </c>
      <c r="F113" s="8">
        <v>0</v>
      </c>
      <c r="G113" s="8">
        <v>0</v>
      </c>
    </row>
    <row r="114" spans="1:7">
      <c r="A114" s="8" t="s">
        <v>919</v>
      </c>
      <c r="B114" s="8" t="s">
        <v>365</v>
      </c>
      <c r="C114" s="10">
        <v>44713</v>
      </c>
      <c r="D114" s="8">
        <v>90</v>
      </c>
      <c r="E114" s="8">
        <v>0</v>
      </c>
      <c r="F114" s="8">
        <v>0</v>
      </c>
      <c r="G114" s="8">
        <v>0</v>
      </c>
    </row>
    <row r="115" spans="1:7">
      <c r="A115" s="8" t="s">
        <v>559</v>
      </c>
      <c r="B115" s="8" t="s">
        <v>365</v>
      </c>
      <c r="C115" s="10">
        <v>44713</v>
      </c>
      <c r="D115" s="8">
        <v>0</v>
      </c>
      <c r="E115" s="8">
        <v>2300</v>
      </c>
      <c r="F115" s="8">
        <v>1150</v>
      </c>
      <c r="G115" s="8">
        <v>1150</v>
      </c>
    </row>
    <row r="116" spans="1:7">
      <c r="A116" s="8" t="s">
        <v>558</v>
      </c>
      <c r="B116" s="8" t="s">
        <v>430</v>
      </c>
      <c r="C116" s="10">
        <v>44713</v>
      </c>
      <c r="D116" s="8">
        <v>0</v>
      </c>
      <c r="E116" s="8">
        <v>1500</v>
      </c>
      <c r="F116" s="8">
        <v>750</v>
      </c>
      <c r="G116" s="8">
        <v>750</v>
      </c>
    </row>
    <row r="117" spans="1:7">
      <c r="A117" s="8" t="s">
        <v>921</v>
      </c>
      <c r="B117" s="8" t="s">
        <v>365</v>
      </c>
      <c r="C117" s="10">
        <v>44743</v>
      </c>
      <c r="D117" s="8">
        <v>5000</v>
      </c>
      <c r="E117" s="8">
        <v>0</v>
      </c>
      <c r="F117" s="8">
        <v>0</v>
      </c>
      <c r="G117" s="8">
        <v>0</v>
      </c>
    </row>
    <row r="118" spans="1:7">
      <c r="A118" s="8" t="s">
        <v>557</v>
      </c>
      <c r="B118" s="8" t="s">
        <v>430</v>
      </c>
      <c r="C118" s="10">
        <v>44743</v>
      </c>
      <c r="D118" s="8">
        <v>0</v>
      </c>
      <c r="E118" s="8">
        <v>1500</v>
      </c>
      <c r="F118" s="8">
        <v>750</v>
      </c>
      <c r="G118" s="8">
        <v>750</v>
      </c>
    </row>
    <row r="119" spans="1:7">
      <c r="A119" s="8" t="s">
        <v>939</v>
      </c>
      <c r="B119" s="8" t="s">
        <v>365</v>
      </c>
      <c r="C119" s="10">
        <v>44743</v>
      </c>
      <c r="D119" s="8">
        <v>0</v>
      </c>
      <c r="E119" s="8">
        <v>600</v>
      </c>
      <c r="F119" s="8">
        <v>300</v>
      </c>
      <c r="G119" s="8">
        <v>300</v>
      </c>
    </row>
    <row r="120" spans="1:7">
      <c r="A120" s="8" t="s">
        <v>935</v>
      </c>
      <c r="B120" s="8" t="s">
        <v>365</v>
      </c>
      <c r="C120" s="10">
        <v>44743</v>
      </c>
      <c r="D120" s="8">
        <v>0</v>
      </c>
      <c r="E120" s="8">
        <v>60</v>
      </c>
      <c r="F120" s="8">
        <v>30</v>
      </c>
      <c r="G120" s="8">
        <v>30</v>
      </c>
    </row>
    <row r="121" spans="1:7">
      <c r="A121" s="8" t="s">
        <v>937</v>
      </c>
      <c r="B121" s="8" t="s">
        <v>430</v>
      </c>
      <c r="C121" s="10">
        <v>44743</v>
      </c>
      <c r="D121" s="8">
        <v>0</v>
      </c>
      <c r="E121" s="8">
        <v>400</v>
      </c>
      <c r="F121" s="8">
        <v>200</v>
      </c>
      <c r="G121" s="8">
        <v>200</v>
      </c>
    </row>
    <row r="122" spans="1:7">
      <c r="A122" s="8" t="s">
        <v>938</v>
      </c>
      <c r="B122" s="8" t="s">
        <v>430</v>
      </c>
      <c r="C122" s="10">
        <v>44743</v>
      </c>
      <c r="D122" s="8">
        <v>0</v>
      </c>
      <c r="E122" s="8">
        <v>2000</v>
      </c>
      <c r="F122" s="8">
        <v>1000</v>
      </c>
      <c r="G122" s="8">
        <v>1000</v>
      </c>
    </row>
    <row r="123" spans="1:7">
      <c r="A123" s="8" t="s">
        <v>711</v>
      </c>
      <c r="B123" s="8" t="s">
        <v>365</v>
      </c>
      <c r="C123" s="10">
        <v>44743</v>
      </c>
      <c r="D123" s="8">
        <v>170</v>
      </c>
      <c r="E123" s="8">
        <v>0</v>
      </c>
      <c r="F123" s="8">
        <v>0</v>
      </c>
      <c r="G123" s="8">
        <v>0</v>
      </c>
    </row>
    <row r="124" spans="1:7">
      <c r="A124" s="8" t="s">
        <v>329</v>
      </c>
      <c r="B124" s="8" t="s">
        <v>365</v>
      </c>
      <c r="C124" s="10">
        <v>44743</v>
      </c>
      <c r="D124" s="8">
        <v>95</v>
      </c>
      <c r="E124" s="8">
        <v>0</v>
      </c>
      <c r="F124" s="8">
        <v>0</v>
      </c>
      <c r="G124" s="8">
        <v>0</v>
      </c>
    </row>
    <row r="125" spans="1:7">
      <c r="A125" s="8" t="s">
        <v>940</v>
      </c>
      <c r="B125" s="8" t="s">
        <v>365</v>
      </c>
      <c r="C125" s="10">
        <v>44743</v>
      </c>
      <c r="D125" s="8">
        <v>170</v>
      </c>
      <c r="E125" s="8">
        <v>0</v>
      </c>
      <c r="F125" s="8">
        <v>0</v>
      </c>
      <c r="G125" s="8">
        <v>0</v>
      </c>
    </row>
    <row r="126" spans="1:7">
      <c r="A126" s="8">
        <v>441</v>
      </c>
      <c r="B126" s="8" t="s">
        <v>365</v>
      </c>
      <c r="C126" s="10">
        <v>44774</v>
      </c>
      <c r="D126" s="8">
        <v>500</v>
      </c>
      <c r="E126" s="8">
        <v>0</v>
      </c>
      <c r="F126" s="8">
        <v>0</v>
      </c>
      <c r="G126" s="8">
        <v>0</v>
      </c>
    </row>
    <row r="127" spans="1:7">
      <c r="A127" s="8" t="s">
        <v>45</v>
      </c>
      <c r="B127" s="8" t="s">
        <v>365</v>
      </c>
      <c r="C127" s="10">
        <v>44774</v>
      </c>
      <c r="D127" s="8">
        <v>600</v>
      </c>
      <c r="E127" s="8">
        <v>0</v>
      </c>
      <c r="F127" s="8">
        <v>0</v>
      </c>
      <c r="G127" s="8">
        <v>0</v>
      </c>
    </row>
    <row r="128" spans="1:7">
      <c r="A128" s="8" t="s">
        <v>46</v>
      </c>
      <c r="B128" s="8" t="s">
        <v>365</v>
      </c>
      <c r="C128" s="10">
        <v>44774</v>
      </c>
      <c r="D128" s="8">
        <v>156</v>
      </c>
      <c r="E128" s="8">
        <v>0</v>
      </c>
      <c r="F128" s="8">
        <v>0</v>
      </c>
      <c r="G128" s="8">
        <v>0</v>
      </c>
    </row>
    <row r="129" spans="1:7" ht="15.75" thickBot="1">
      <c r="A129" s="8" t="s">
        <v>973</v>
      </c>
      <c r="B129" s="8" t="s">
        <v>365</v>
      </c>
      <c r="C129" s="10">
        <v>44774</v>
      </c>
      <c r="D129" s="8">
        <v>70</v>
      </c>
      <c r="E129" s="8">
        <v>0</v>
      </c>
      <c r="F129" s="8">
        <v>0</v>
      </c>
      <c r="G129" s="8">
        <v>0</v>
      </c>
    </row>
    <row r="130" spans="1:7" ht="16.5" thickTop="1" thickBot="1">
      <c r="A130" s="15" t="s">
        <v>980</v>
      </c>
      <c r="B130" s="8" t="s">
        <v>365</v>
      </c>
      <c r="C130" s="10">
        <v>44774</v>
      </c>
      <c r="D130" s="8">
        <v>0</v>
      </c>
      <c r="E130" s="8">
        <v>800</v>
      </c>
      <c r="F130" s="19">
        <v>400</v>
      </c>
      <c r="G130" s="19">
        <v>400</v>
      </c>
    </row>
    <row r="131" spans="1:7" ht="16.5" thickTop="1" thickBot="1">
      <c r="A131" s="15" t="s">
        <v>982</v>
      </c>
      <c r="B131" s="8" t="s">
        <v>430</v>
      </c>
      <c r="C131" s="10">
        <v>44774</v>
      </c>
      <c r="D131" s="8">
        <v>0</v>
      </c>
      <c r="E131" s="8">
        <v>300</v>
      </c>
      <c r="F131" s="19">
        <v>150</v>
      </c>
      <c r="G131" s="19">
        <v>150</v>
      </c>
    </row>
    <row r="132" spans="1:7" ht="16.5" thickTop="1" thickBot="1">
      <c r="A132" s="15" t="s">
        <v>980</v>
      </c>
      <c r="B132" s="8" t="s">
        <v>365</v>
      </c>
      <c r="C132" s="10">
        <v>44774</v>
      </c>
      <c r="D132" s="8">
        <v>0</v>
      </c>
      <c r="E132" s="8">
        <v>300</v>
      </c>
      <c r="F132" s="19">
        <v>150</v>
      </c>
      <c r="G132" s="19">
        <v>150</v>
      </c>
    </row>
    <row r="133" spans="1:7" ht="16.5" thickTop="1" thickBot="1">
      <c r="A133" s="15" t="s">
        <v>980</v>
      </c>
      <c r="B133" s="8" t="s">
        <v>365</v>
      </c>
      <c r="C133" s="10">
        <v>44774</v>
      </c>
      <c r="D133" s="8">
        <v>0</v>
      </c>
      <c r="E133" s="8">
        <v>400</v>
      </c>
      <c r="F133" s="19">
        <v>221</v>
      </c>
      <c r="G133" s="19">
        <v>179</v>
      </c>
    </row>
    <row r="134" spans="1:7" ht="15.75" thickTop="1">
      <c r="A134" s="8" t="s">
        <v>1001</v>
      </c>
      <c r="B134" s="8" t="s">
        <v>365</v>
      </c>
      <c r="C134" s="10">
        <v>44805</v>
      </c>
      <c r="D134" s="8">
        <v>0</v>
      </c>
      <c r="E134" s="8">
        <v>300</v>
      </c>
      <c r="F134" s="8">
        <v>150</v>
      </c>
      <c r="G134" s="8">
        <v>150</v>
      </c>
    </row>
    <row r="135" spans="1:7">
      <c r="A135" s="8" t="s">
        <v>752</v>
      </c>
      <c r="B135" s="8" t="s">
        <v>365</v>
      </c>
      <c r="C135" s="10">
        <v>44835</v>
      </c>
      <c r="D135" s="8">
        <v>120</v>
      </c>
      <c r="E135" s="8">
        <v>0</v>
      </c>
      <c r="F135" s="8">
        <v>0</v>
      </c>
      <c r="G135" s="8">
        <v>0</v>
      </c>
    </row>
    <row r="136" spans="1:7">
      <c r="A136" s="8" t="s">
        <v>45</v>
      </c>
      <c r="B136" s="8" t="s">
        <v>365</v>
      </c>
      <c r="C136" s="10">
        <v>44835</v>
      </c>
      <c r="D136" s="8">
        <v>628</v>
      </c>
      <c r="E136" s="8">
        <v>0</v>
      </c>
      <c r="F136" s="8">
        <v>0</v>
      </c>
      <c r="G136" s="8">
        <v>0</v>
      </c>
    </row>
    <row r="137" spans="1:7">
      <c r="A137" s="8" t="s">
        <v>46</v>
      </c>
      <c r="B137" s="8" t="s">
        <v>365</v>
      </c>
      <c r="C137" s="10">
        <v>44835</v>
      </c>
      <c r="D137" s="8">
        <v>400</v>
      </c>
      <c r="E137" s="8">
        <v>0</v>
      </c>
      <c r="F137" s="8">
        <v>0</v>
      </c>
      <c r="G137" s="8">
        <v>0</v>
      </c>
    </row>
    <row r="138" spans="1:7">
      <c r="A138" s="8" t="s">
        <v>384</v>
      </c>
      <c r="B138" s="8" t="s">
        <v>365</v>
      </c>
      <c r="C138" s="10">
        <v>44835</v>
      </c>
      <c r="D138" s="8">
        <v>5500</v>
      </c>
      <c r="E138" s="8">
        <v>0</v>
      </c>
      <c r="F138" s="8">
        <v>0</v>
      </c>
      <c r="G138" s="8">
        <v>0</v>
      </c>
    </row>
    <row r="139" spans="1:7">
      <c r="A139" s="8" t="s">
        <v>1020</v>
      </c>
      <c r="B139" s="8" t="s">
        <v>365</v>
      </c>
      <c r="C139" s="10">
        <v>44835</v>
      </c>
      <c r="D139" s="8">
        <v>0</v>
      </c>
      <c r="E139" s="8">
        <v>412</v>
      </c>
      <c r="F139" s="8">
        <v>206</v>
      </c>
      <c r="G139" s="8">
        <v>206</v>
      </c>
    </row>
    <row r="140" spans="1:7">
      <c r="A140" s="8" t="s">
        <v>45</v>
      </c>
      <c r="B140" s="8" t="s">
        <v>365</v>
      </c>
      <c r="C140" s="10">
        <v>44866</v>
      </c>
      <c r="D140" s="8">
        <v>600</v>
      </c>
      <c r="E140" s="8">
        <v>0</v>
      </c>
      <c r="F140" s="8">
        <v>0</v>
      </c>
      <c r="G140" s="8">
        <v>0</v>
      </c>
    </row>
    <row r="141" spans="1:7">
      <c r="A141" s="8" t="s">
        <v>46</v>
      </c>
      <c r="B141" s="8" t="s">
        <v>365</v>
      </c>
      <c r="C141" s="10">
        <v>44866</v>
      </c>
      <c r="D141" s="8">
        <v>459</v>
      </c>
      <c r="E141" s="8">
        <v>0</v>
      </c>
      <c r="F141" s="8">
        <v>0</v>
      </c>
      <c r="G141" s="8">
        <v>0</v>
      </c>
    </row>
    <row r="142" spans="1:7">
      <c r="A142" s="8" t="s">
        <v>50</v>
      </c>
      <c r="B142" s="8" t="s">
        <v>365</v>
      </c>
      <c r="C142" s="10">
        <v>44866</v>
      </c>
      <c r="D142" s="8">
        <v>100</v>
      </c>
      <c r="E142" s="8">
        <v>0</v>
      </c>
      <c r="F142" s="8">
        <v>0</v>
      </c>
      <c r="G142" s="8">
        <v>0</v>
      </c>
    </row>
    <row r="143" spans="1:7">
      <c r="A143" s="8" t="s">
        <v>329</v>
      </c>
      <c r="B143" s="8" t="s">
        <v>365</v>
      </c>
      <c r="C143" s="10">
        <v>44896</v>
      </c>
      <c r="D143" s="8">
        <v>250</v>
      </c>
      <c r="E143" s="8">
        <v>0</v>
      </c>
      <c r="F143" s="8">
        <v>0</v>
      </c>
      <c r="G143" s="8">
        <v>0</v>
      </c>
    </row>
    <row r="144" spans="1:7">
      <c r="A144" s="8" t="s">
        <v>329</v>
      </c>
      <c r="B144" s="8" t="s">
        <v>365</v>
      </c>
      <c r="C144" s="10">
        <v>44927</v>
      </c>
      <c r="D144" s="8">
        <v>100</v>
      </c>
      <c r="E144" s="8">
        <v>0</v>
      </c>
      <c r="F144" s="8">
        <v>0</v>
      </c>
      <c r="G144" s="8">
        <v>0</v>
      </c>
    </row>
    <row r="145" spans="1:7">
      <c r="A145" s="8" t="s">
        <v>1066</v>
      </c>
      <c r="B145" s="8" t="s">
        <v>365</v>
      </c>
      <c r="C145" s="10">
        <v>44927</v>
      </c>
      <c r="D145" s="8">
        <v>750</v>
      </c>
      <c r="E145" s="8">
        <v>0</v>
      </c>
      <c r="F145" s="8">
        <v>0</v>
      </c>
      <c r="G145" s="8">
        <v>0</v>
      </c>
    </row>
    <row r="146" spans="1:7">
      <c r="A146" s="8" t="s">
        <v>1072</v>
      </c>
      <c r="B146" s="8" t="s">
        <v>365</v>
      </c>
      <c r="C146" s="10">
        <v>44927</v>
      </c>
      <c r="D146" s="8">
        <v>500</v>
      </c>
      <c r="E146" s="8">
        <v>0</v>
      </c>
      <c r="F146" s="8">
        <v>0</v>
      </c>
      <c r="G146" s="8">
        <v>0</v>
      </c>
    </row>
    <row r="147" spans="1:7">
      <c r="A147" s="8" t="s">
        <v>1073</v>
      </c>
      <c r="B147" s="8" t="s">
        <v>365</v>
      </c>
      <c r="C147" s="10">
        <v>44927</v>
      </c>
      <c r="D147" s="8">
        <v>246</v>
      </c>
      <c r="E147" s="8">
        <v>0</v>
      </c>
      <c r="F147" s="8">
        <v>0</v>
      </c>
      <c r="G147" s="8">
        <v>0</v>
      </c>
    </row>
    <row r="148" spans="1:7">
      <c r="A148" s="8" t="s">
        <v>1074</v>
      </c>
      <c r="B148" s="8" t="s">
        <v>365</v>
      </c>
      <c r="C148" s="10">
        <v>44927</v>
      </c>
      <c r="D148" s="8">
        <v>500</v>
      </c>
      <c r="E148" s="8">
        <v>0</v>
      </c>
      <c r="F148" s="8">
        <v>0</v>
      </c>
      <c r="G148" s="8">
        <v>0</v>
      </c>
    </row>
    <row r="149" spans="1:7">
      <c r="A149" s="8" t="s">
        <v>1075</v>
      </c>
      <c r="B149" s="8" t="s">
        <v>365</v>
      </c>
      <c r="C149" s="10">
        <v>44927</v>
      </c>
      <c r="D149" s="8">
        <v>266</v>
      </c>
      <c r="E149" s="8">
        <v>0</v>
      </c>
      <c r="F149" s="8">
        <v>0</v>
      </c>
      <c r="G149" s="8">
        <v>0</v>
      </c>
    </row>
    <row r="150" spans="1:7">
      <c r="A150" s="8" t="s">
        <v>1076</v>
      </c>
      <c r="B150" s="8" t="s">
        <v>365</v>
      </c>
      <c r="C150" s="10">
        <v>44927</v>
      </c>
      <c r="D150" s="8">
        <v>0</v>
      </c>
      <c r="E150" s="8">
        <v>900</v>
      </c>
      <c r="F150" s="8">
        <v>500</v>
      </c>
      <c r="G150" s="8">
        <v>400</v>
      </c>
    </row>
    <row r="151" spans="1:7">
      <c r="A151" s="8" t="s">
        <v>329</v>
      </c>
      <c r="B151" s="8" t="s">
        <v>365</v>
      </c>
      <c r="C151" s="10">
        <v>44958</v>
      </c>
      <c r="D151" s="8">
        <v>100</v>
      </c>
      <c r="E151" s="8">
        <v>0</v>
      </c>
      <c r="F151" s="8">
        <v>0</v>
      </c>
      <c r="G151" s="8">
        <v>0</v>
      </c>
    </row>
    <row r="152" spans="1:7">
      <c r="A152" s="8" t="s">
        <v>384</v>
      </c>
      <c r="B152" s="8" t="s">
        <v>365</v>
      </c>
      <c r="C152" s="10">
        <v>44958</v>
      </c>
      <c r="D152" s="8">
        <v>5000</v>
      </c>
      <c r="E152" s="8">
        <v>0</v>
      </c>
      <c r="F152" s="8">
        <v>0</v>
      </c>
      <c r="G152" s="8">
        <v>0</v>
      </c>
    </row>
    <row r="153" spans="1:7">
      <c r="A153" s="8" t="s">
        <v>329</v>
      </c>
      <c r="B153" s="8" t="s">
        <v>365</v>
      </c>
      <c r="C153" s="10">
        <v>44986</v>
      </c>
      <c r="D153" s="8">
        <v>100</v>
      </c>
      <c r="E153" s="8">
        <v>0</v>
      </c>
      <c r="F153" s="8">
        <v>0</v>
      </c>
      <c r="G153" s="8">
        <v>0</v>
      </c>
    </row>
    <row r="154" spans="1:7">
      <c r="A154" s="8" t="s">
        <v>726</v>
      </c>
      <c r="B154" s="8" t="s">
        <v>365</v>
      </c>
      <c r="C154" s="10">
        <v>44986</v>
      </c>
      <c r="D154" s="8">
        <v>852</v>
      </c>
      <c r="E154" s="8">
        <v>0</v>
      </c>
      <c r="F154" s="8">
        <v>0</v>
      </c>
      <c r="G154" s="8">
        <v>0</v>
      </c>
    </row>
    <row r="155" spans="1:7">
      <c r="A155" s="8" t="s">
        <v>1118</v>
      </c>
      <c r="B155" s="8" t="s">
        <v>365</v>
      </c>
      <c r="C155" s="10">
        <v>45078</v>
      </c>
      <c r="D155" s="8">
        <v>0</v>
      </c>
      <c r="E155" s="8">
        <v>1800</v>
      </c>
      <c r="F155" s="8">
        <v>1100</v>
      </c>
      <c r="G155" s="8">
        <v>700</v>
      </c>
    </row>
  </sheetData>
  <dataValidations count="1">
    <dataValidation type="list" allowBlank="1" showInputMessage="1" showErrorMessage="1" sqref="B2:B155" xr:uid="{9CE53D3D-FD26-4A9D-9E3E-5B121B2CF8C3}">
      <formula1>"南希,寶寳"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猫统计</vt:lpstr>
      <vt:lpstr>数量统计</vt:lpstr>
      <vt:lpstr>繁育统计</vt:lpstr>
      <vt:lpstr>账单</vt:lpstr>
      <vt:lpstr>卖猫</vt:lpstr>
      <vt:lpstr>2024-10</vt:lpstr>
      <vt:lpstr>2024-09</vt:lpstr>
      <vt:lpstr>2024-08</vt:lpstr>
      <vt:lpstr>2024-07</vt:lpstr>
      <vt:lpstr>2024-06</vt:lpstr>
      <vt:lpstr>2024-05</vt:lpstr>
      <vt:lpstr>2024-04</vt:lpstr>
      <vt:lpstr>2024-03</vt:lpstr>
      <vt:lpstr>2024-02</vt:lpstr>
      <vt:lpstr>2024-01</vt:lpstr>
      <vt:lpstr>2023-12</vt:lpstr>
      <vt:lpstr>2023-11</vt:lpstr>
      <vt:lpstr>2023-10</vt:lpstr>
      <vt:lpstr>2023-09</vt:lpstr>
      <vt:lpstr>2023-08</vt:lpstr>
      <vt:lpstr>2023-07</vt:lpstr>
      <vt:lpstr>2023-06</vt:lpstr>
      <vt:lpstr>2023-05</vt:lpstr>
      <vt:lpstr>2023-04</vt:lpstr>
      <vt:lpstr>2023-03</vt:lpstr>
      <vt:lpstr>2023-02</vt:lpstr>
      <vt:lpstr>2023-01</vt:lpstr>
      <vt:lpstr>2022-12</vt:lpstr>
      <vt:lpstr>2022-11</vt:lpstr>
      <vt:lpstr>2022-10</vt:lpstr>
      <vt:lpstr>2022-09</vt:lpstr>
      <vt:lpstr>2022-08</vt:lpstr>
      <vt:lpstr>2022-07</vt:lpstr>
      <vt:lpstr>2022-06</vt:lpstr>
      <vt:lpstr>2022-05</vt:lpstr>
      <vt:lpstr>2022-04</vt:lpstr>
      <vt:lpstr>2022-03</vt:lpstr>
      <vt:lpstr>2022-02</vt:lpstr>
      <vt:lpstr>2022-01</vt:lpstr>
      <vt:lpstr>2021-12</vt:lpstr>
      <vt:lpstr>2021-11</vt:lpstr>
      <vt:lpstr>2021-10</vt:lpstr>
      <vt:lpstr>2021-09</vt:lpstr>
      <vt:lpstr>2021-08</vt:lpstr>
      <vt:lpstr>2021-07</vt:lpstr>
      <vt:lpstr>2021-06</vt:lpstr>
      <vt:lpstr>2021-05</vt:lpstr>
      <vt:lpstr>2021-04</vt:lpstr>
      <vt:lpstr>2021-03</vt:lpstr>
      <vt:lpstr>2021-02</vt:lpstr>
      <vt:lpstr>2021-01</vt:lpstr>
      <vt:lpstr>2020-12</vt:lpstr>
      <vt:lpstr>2020-11</vt:lpstr>
      <vt:lpstr>2020-10</vt:lpstr>
      <vt:lpstr>2020-09</vt:lpstr>
      <vt:lpstr>2020-08</vt:lpstr>
      <vt:lpstr>2020-07</vt:lpstr>
      <vt:lpstr>南希合作店铺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2024-10-06T14:32:29Z</dcterms:modified>
</cp:coreProperties>
</file>