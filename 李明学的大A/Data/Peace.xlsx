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482" firstSheet="2" activeTab="2"/>
  </bookViews>
  <sheets>
    <sheet name="每日必读" sheetId="9" r:id="rId1"/>
    <sheet name="收益表" sheetId="3" r:id="rId2"/>
    <sheet name="Coin" sheetId="21" r:id="rId3"/>
    <sheet name="二板补涨缩量战法" sheetId="11" r:id="rId4"/>
    <sheet name="二板放量+" sheetId="22" r:id="rId5"/>
    <sheet name="二板补涨放量战法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<sst xmlns="http://schemas.openxmlformats.org/spreadsheetml/2006/main" count="918" uniqueCount="442">
  <si>
    <t>主题</t>
  </si>
  <si>
    <t>悟道</t>
  </si>
  <si>
    <t>系统</t>
  </si>
  <si>
    <t>好的系统一定是适合自己的心态, 对你最大限度的抵抗心态波动, 好的心态是系统第一原则</t>
  </si>
  <si>
    <t>不要想着一口吃胖, 一年中几次重仓必杀, 平时小机会积小成多, 就会让你的账户产生良性的复利, 这会使你的心态变的更加平稳</t>
  </si>
  <si>
    <t>好的系统会让你大盘涨时你涨, 大盘跌时你小跌或不跌, 赚钱会变的很自然, 这都会让你更加自信</t>
  </si>
  <si>
    <t>好的仓位控制会让你在回撤时也不让你难受, 这是一个很不错的心态控制方式(敢于低位空仓, 敢于高位满仓)</t>
  </si>
  <si>
    <t>止损 - 不存在的, 果断卖出不确定就是最好的止损, 止损要简单, 越简单越好, 盈利全交给概率. 克服心理障碍是稳定止损的先决条件, 不要因为被套几个点就犹豫不决.</t>
  </si>
  <si>
    <t>好的系统绝对会反应在你的账户上, 当你的账户出现良性曲线时一定要对自己进行总结</t>
  </si>
  <si>
    <t>情绪</t>
  </si>
  <si>
    <t>时刻思考场内和场外的想法, 而不是抱怨, 要做情绪的追踪者</t>
  </si>
  <si>
    <t>高手要借助市场的贪婪和恐慌反过来指导决策, 着眼点在整个市场</t>
  </si>
  <si>
    <t>连板的增多就会出现追龙头效应</t>
  </si>
  <si>
    <t>抄底反包的增多会出现追抄底效应</t>
  </si>
  <si>
    <t>追热点如果出现赚钱效应, 那么就会出现追热点狂潮</t>
  </si>
  <si>
    <t>主板</t>
  </si>
  <si>
    <t>主板 = 持续热度 + 持续赚钱效应</t>
  </si>
  <si>
    <t>主板龙头是大盘风向标, 一定要时刻盯住</t>
  </si>
  <si>
    <t>主板龙头到顶时, 板块热度尚在, 那么就会出现补涨龙</t>
  </si>
  <si>
    <t>追板要看市场环境, 热点, 成交量, 价格, 当然最重要的是场内和场外人的心理变化</t>
  </si>
  <si>
    <t>周期</t>
  </si>
  <si>
    <t>强势阶段 - 一定要选择最强(买龙头只是手段, 卖龙头才是高手)</t>
  </si>
  <si>
    <t>初期(低吸止损) - 选择做强势股的回调反抽, 或者新热点. 强股形态尚未完全破坏, 市场仍有期待会有新高, 因此可以做回调的反抽</t>
  </si>
  <si>
    <t>中期(低吸崩溃) - 选择做超跌股, 重点在时机, 一般是连续下跌一段后的再度猛跌时, 有部分买盘会推动超跌股进行一定的反弹, 也可以耐心等待不做任何动作</t>
  </si>
  <si>
    <t>末期(追涨强势) - 符合主流热点有爆发力的强势股</t>
  </si>
  <si>
    <t>阶段的判断本身就是一个动态的过程, 可能会有预判错误, 但是需要一定的策略来弥补过错</t>
  </si>
  <si>
    <t>选股</t>
  </si>
  <si>
    <t>买股前, 一定要问自己假如你是空仓, 你会买它吗, 也许这时答案就会在眼前</t>
  </si>
  <si>
    <t>买股一定要问自己能不能看到30%, 如果跌时敢不敢追. 选股一定要机会大于风险</t>
  </si>
  <si>
    <t>大盘不好, 个股没有热点那么就不要买, 要买就买确定性</t>
  </si>
  <si>
    <t>一个股的上涨一定要理解上涨原因, 若无法理解最好就不要碰</t>
  </si>
  <si>
    <t>尾盘买股需要对第二天的预期热点持续性有判断</t>
  </si>
  <si>
    <t>之后会有持续性的热点领导市场上涨, 选择符合主流热点又爆发力的强势股, 也许后市还有低点, 但是随着盘面的出现把筹码放到最有爆发力的个股上是很好的策略</t>
  </si>
  <si>
    <t>月份</t>
  </si>
  <si>
    <t>增量资金</t>
  </si>
  <si>
    <t>倍数1.1</t>
  </si>
  <si>
    <t>金额</t>
  </si>
  <si>
    <t>倍数1.15</t>
  </si>
  <si>
    <t>倍数1.2</t>
  </si>
  <si>
    <t>倍数1.25</t>
  </si>
  <si>
    <t>倍数1.3</t>
  </si>
  <si>
    <t>倍数1.35</t>
  </si>
  <si>
    <t>倍数1.4</t>
  </si>
  <si>
    <t>倍数1.45</t>
  </si>
  <si>
    <t>日期</t>
  </si>
  <si>
    <t>天数</t>
  </si>
  <si>
    <t>Ratio(3.0%)</t>
  </si>
  <si>
    <t>Ratio(2.0%)</t>
  </si>
  <si>
    <t>Ratio (1.5%)</t>
  </si>
  <si>
    <t>Ratio(1.0%)</t>
  </si>
  <si>
    <t>盘前金额</t>
  </si>
  <si>
    <t>盈利</t>
  </si>
  <si>
    <t>实际涨幅</t>
  </si>
  <si>
    <t>盘后金额</t>
  </si>
  <si>
    <t>目标涨幅(1.0%)</t>
  </si>
  <si>
    <t>涨停数</t>
  </si>
  <si>
    <t>跌停数</t>
  </si>
  <si>
    <t>DATE</t>
  </si>
  <si>
    <t>DOLLAR</t>
  </si>
  <si>
    <t>RATIO</t>
  </si>
  <si>
    <t>TARGET DOLLAR</t>
  </si>
  <si>
    <t>二板补涨战法交谊原则</t>
  </si>
  <si>
    <t>交易日</t>
  </si>
  <si>
    <t>亏损</t>
  </si>
  <si>
    <t>涨幅</t>
  </si>
  <si>
    <t>万变不离其宗，一定要观察情绪波动，是最高点释放后的上涨，还是临近最高点</t>
  </si>
  <si>
    <t>D-DAY尾盘炸板</t>
  </si>
  <si>
    <t>不影响第二天的情绪</t>
  </si>
  <si>
    <t>涨跌比超过14%</t>
  </si>
  <si>
    <t>下一天是急剧危险的一天，不进</t>
  </si>
  <si>
    <t>涨跌比下降至1/3</t>
  </si>
  <si>
    <t>强势一天，可进</t>
  </si>
  <si>
    <t>DAY-1主线</t>
  </si>
  <si>
    <t>行情可以继续延申</t>
  </si>
  <si>
    <t>微快速换手板</t>
  </si>
  <si>
    <r>
      <rPr>
        <sz val="12"/>
        <color theme="0"/>
        <rFont val="文悦新青年体 (非商用) W8"/>
        <charset val="134"/>
      </rPr>
      <t>实在没有买入时可以</t>
    </r>
    <r>
      <rPr>
        <sz val="12"/>
        <color rgb="FFFFC000"/>
        <rFont val="文悦新青年体 (非商用) W8"/>
        <charset val="134"/>
      </rPr>
      <t>考虑</t>
    </r>
    <r>
      <rPr>
        <sz val="12"/>
        <color theme="0"/>
        <rFont val="文悦新青年体 (非商用) W8"/>
        <charset val="134"/>
      </rPr>
      <t>买入，但是需要当日出售</t>
    </r>
  </si>
  <si>
    <t>TOTAL</t>
  </si>
  <si>
    <t>名称</t>
  </si>
  <si>
    <t>TYPE</t>
  </si>
  <si>
    <t>D-DAY</t>
  </si>
  <si>
    <t>DAY-1</t>
  </si>
  <si>
    <t>DAY-2</t>
  </si>
  <si>
    <t>DAY-3</t>
  </si>
  <si>
    <t>DAY-4</t>
  </si>
  <si>
    <t>定额交易</t>
  </si>
  <si>
    <t>WIN</t>
  </si>
  <si>
    <t>模式内交易</t>
  </si>
  <si>
    <t>涨跌比</t>
  </si>
  <si>
    <t>异动原因</t>
  </si>
  <si>
    <t>国泰君安</t>
  </si>
  <si>
    <t>连扳一字</t>
  </si>
  <si>
    <t>宝塔实业</t>
  </si>
  <si>
    <t>低预期快速换手板</t>
  </si>
  <si>
    <t>跌停</t>
  </si>
  <si>
    <t xml:space="preserve">东易日盛 </t>
  </si>
  <si>
    <t>T字板</t>
  </si>
  <si>
    <t>涨停</t>
  </si>
  <si>
    <t>行情好时尾盘炸板不影响第二日继续改善</t>
  </si>
  <si>
    <t>亚邦股份</t>
  </si>
  <si>
    <t>岩石股份</t>
  </si>
  <si>
    <t>快速换手板</t>
  </si>
  <si>
    <t>深圳业A</t>
  </si>
  <si>
    <t>一字板</t>
  </si>
  <si>
    <t>7.24%(炸板)</t>
  </si>
  <si>
    <t>怡亚通</t>
  </si>
  <si>
    <t>炸板</t>
  </si>
  <si>
    <t>澳柯玛</t>
  </si>
  <si>
    <t>中科金财</t>
  </si>
  <si>
    <t>放量快速换手</t>
  </si>
  <si>
    <t>汇绿生态</t>
  </si>
  <si>
    <t>江南高纤</t>
  </si>
  <si>
    <t>精伦电子</t>
  </si>
  <si>
    <t>常山北明</t>
  </si>
  <si>
    <t>森特股份</t>
  </si>
  <si>
    <t>剑桥科技</t>
  </si>
  <si>
    <t>五矿资本</t>
  </si>
  <si>
    <t>新力金融</t>
  </si>
  <si>
    <t>中信海直</t>
  </si>
  <si>
    <t>放量T字</t>
  </si>
  <si>
    <t>7.92%(炸板)</t>
  </si>
  <si>
    <t>利君股份</t>
  </si>
  <si>
    <t>4.08%(炸板)</t>
  </si>
  <si>
    <t>炼石航空</t>
  </si>
  <si>
    <t>东方集团</t>
  </si>
  <si>
    <t>东北制药</t>
  </si>
  <si>
    <t>省广集团</t>
  </si>
  <si>
    <t>金鸿顺</t>
  </si>
  <si>
    <t>远达环保</t>
  </si>
  <si>
    <t>中国软件</t>
  </si>
  <si>
    <t>威星智能</t>
  </si>
  <si>
    <t>利源股份</t>
  </si>
  <si>
    <t>爱旭股份</t>
  </si>
  <si>
    <t>大港股份</t>
  </si>
  <si>
    <t>中国卫通</t>
  </si>
  <si>
    <t>百傲化学</t>
  </si>
  <si>
    <t>中电兴发</t>
  </si>
  <si>
    <t>东华软件</t>
  </si>
  <si>
    <t>威领股份</t>
  </si>
  <si>
    <t>缩量T字</t>
  </si>
  <si>
    <t>东风股份</t>
  </si>
  <si>
    <t>世荣兆业</t>
  </si>
  <si>
    <t>中储股份</t>
  </si>
  <si>
    <t>长春一东</t>
  </si>
  <si>
    <t>武汉凡谷</t>
  </si>
  <si>
    <t>柯力传感</t>
  </si>
  <si>
    <t>日出东方</t>
  </si>
  <si>
    <t>6.51%(炸板)</t>
  </si>
  <si>
    <t>7.9%(炸板)</t>
  </si>
  <si>
    <t>三维化学</t>
  </si>
  <si>
    <t>7.79%(炸板)</t>
  </si>
  <si>
    <t>返利科技</t>
  </si>
  <si>
    <t>南京熊猫</t>
  </si>
  <si>
    <t>东港股份</t>
  </si>
  <si>
    <t>柏诚股份</t>
  </si>
  <si>
    <t>星光股份</t>
  </si>
  <si>
    <t>高乐股份</t>
  </si>
  <si>
    <t>龙蟠科技</t>
  </si>
  <si>
    <t>南京商旅</t>
  </si>
  <si>
    <t>淳中科技</t>
  </si>
  <si>
    <t>其它</t>
  </si>
  <si>
    <t>实益达</t>
  </si>
  <si>
    <t xml:space="preserve"> -5.22%(炸板)</t>
  </si>
  <si>
    <t>永辉超市</t>
  </si>
  <si>
    <t>真爱美家</t>
  </si>
  <si>
    <t>快意电梯</t>
  </si>
  <si>
    <t>光华科技</t>
  </si>
  <si>
    <t>海南瑞泽</t>
  </si>
  <si>
    <t>东易日盛</t>
  </si>
  <si>
    <t>欣龙控股</t>
  </si>
  <si>
    <t>宏昌电子</t>
  </si>
  <si>
    <t>亚威股份</t>
  </si>
  <si>
    <t>奋达科技</t>
  </si>
  <si>
    <t>宁波精达</t>
  </si>
  <si>
    <t>统一股份</t>
  </si>
  <si>
    <t>雅博股份</t>
  </si>
  <si>
    <t>中公教育</t>
  </si>
  <si>
    <t>文峰股份</t>
  </si>
  <si>
    <t>多伦科技</t>
  </si>
  <si>
    <t>全筑股份</t>
  </si>
  <si>
    <t>7.07%(炸板)</t>
  </si>
  <si>
    <t>正平股份</t>
  </si>
  <si>
    <t>双塔食品</t>
  </si>
  <si>
    <t>5.17%(炸板)</t>
  </si>
  <si>
    <t>达华智能</t>
  </si>
  <si>
    <t>遥望科技</t>
  </si>
  <si>
    <t>三湘印象</t>
  </si>
  <si>
    <t>博瑞传播</t>
  </si>
  <si>
    <t>大唐电信</t>
  </si>
  <si>
    <t>威尔泰</t>
  </si>
  <si>
    <t>岭南股份</t>
  </si>
  <si>
    <t>元隆雅图</t>
  </si>
  <si>
    <t>潍柴重机</t>
  </si>
  <si>
    <t>中恒电气</t>
  </si>
  <si>
    <t>0.17%(炸板)</t>
  </si>
  <si>
    <t>威奥股份</t>
  </si>
  <si>
    <t>香飘飘</t>
  </si>
  <si>
    <t>5.85%(炸板)</t>
  </si>
  <si>
    <r>
      <rPr>
        <sz val="24"/>
        <color theme="0"/>
        <rFont val="文悦新青年体 (非商用) W8"/>
        <charset val="134"/>
      </rPr>
      <t>弱势前期</t>
    </r>
    <r>
      <rPr>
        <sz val="12"/>
        <color theme="0"/>
        <rFont val="文悦新青年体 (非商用) W8"/>
        <charset val="134"/>
      </rPr>
      <t xml:space="preserve">
大盘一直试图探底
成交量明显萎靡
不适合做高
适合做容量趋势核心股</t>
    </r>
  </si>
  <si>
    <t>锦和商管</t>
  </si>
  <si>
    <t>来伊份</t>
  </si>
  <si>
    <t>山子高科</t>
  </si>
  <si>
    <t>鲁抗医药</t>
  </si>
  <si>
    <t>济高发展</t>
  </si>
  <si>
    <t>力鼎光电</t>
  </si>
  <si>
    <t>五洲新春</t>
  </si>
  <si>
    <t>6.08%(炸板)</t>
  </si>
  <si>
    <t>康盛股份</t>
  </si>
  <si>
    <t>4.92%(炸板)</t>
  </si>
  <si>
    <t>利欧股份</t>
  </si>
  <si>
    <t>金智科技</t>
  </si>
  <si>
    <t>汇源通信</t>
  </si>
  <si>
    <r>
      <rPr>
        <sz val="24"/>
        <color theme="0"/>
        <rFont val="文悦新青年体 (非商用) W8"/>
        <charset val="134"/>
      </rPr>
      <t>趋势段</t>
    </r>
    <r>
      <rPr>
        <sz val="12"/>
        <color theme="0"/>
        <rFont val="文悦新青年体 (非商用) W8"/>
        <charset val="134"/>
      </rPr>
      <t xml:space="preserve">
</t>
    </r>
    <r>
      <rPr>
        <sz val="18"/>
        <color rgb="FFFFC000"/>
        <rFont val="文悦新青年体 (非商用) W8"/>
        <charset val="134"/>
      </rPr>
      <t>会存在强力的趋势股
多做趋势股</t>
    </r>
  </si>
  <si>
    <t>南威软件</t>
  </si>
  <si>
    <t>2.04%(炸板)</t>
  </si>
  <si>
    <t>0.82%(炸板)</t>
  </si>
  <si>
    <t>主板+趋势股，非常适合龙头短板前或负反馈前一直持有</t>
  </si>
  <si>
    <t>竞业达</t>
  </si>
  <si>
    <t>日发精机</t>
  </si>
  <si>
    <t>不是主板，资金参与度不高</t>
  </si>
  <si>
    <r>
      <rPr>
        <sz val="24"/>
        <color theme="0"/>
        <rFont val="文悦新青年体 (非商用) W8"/>
        <charset val="134"/>
      </rPr>
      <t xml:space="preserve">主板转弱初期
</t>
    </r>
    <r>
      <rPr>
        <sz val="18"/>
        <color rgb="FFFFC000"/>
        <rFont val="文悦新青年体 (非商用) W8"/>
        <charset val="134"/>
      </rPr>
      <t xml:space="preserve">反包情绪慢慢滋生
多做MA10突破股
</t>
    </r>
    <r>
      <rPr>
        <sz val="24"/>
        <color theme="0"/>
        <rFont val="文悦新青年体 (非商用) W8"/>
        <charset val="134"/>
      </rPr>
      <t xml:space="preserve">
</t>
    </r>
    <r>
      <rPr>
        <sz val="12"/>
        <color theme="0"/>
        <rFont val="文悦新青年体 (非商用) W8"/>
        <charset val="134"/>
      </rPr>
      <t xml:space="preserve">
</t>
    </r>
  </si>
  <si>
    <t>日海智能</t>
  </si>
  <si>
    <t>主板+趋势股，拓维信息展现反包情绪，主板+趋势股，看好明日红盘</t>
  </si>
  <si>
    <t>美年健康</t>
  </si>
  <si>
    <t>达安基因</t>
  </si>
  <si>
    <t>塞利医疗</t>
  </si>
  <si>
    <t>科华数据</t>
  </si>
  <si>
    <t>广聚能源</t>
  </si>
  <si>
    <t>大晟文化</t>
  </si>
  <si>
    <t>金发科技</t>
  </si>
  <si>
    <t xml:space="preserve"> 福莱新材</t>
  </si>
  <si>
    <t>云赛智联</t>
  </si>
  <si>
    <t>新华传媒</t>
  </si>
  <si>
    <t>福日电子</t>
  </si>
  <si>
    <t>好想你</t>
  </si>
  <si>
    <t>宁波建工</t>
  </si>
  <si>
    <t>晶华新材</t>
  </si>
  <si>
    <t>跃岭股份</t>
  </si>
  <si>
    <t>泰豪科技</t>
  </si>
  <si>
    <t>大位科技</t>
  </si>
  <si>
    <t>三维通信</t>
  </si>
  <si>
    <t>佳都科技</t>
  </si>
  <si>
    <t>南兴股份</t>
  </si>
  <si>
    <t>悦心健康</t>
  </si>
  <si>
    <t>天威视讯</t>
  </si>
  <si>
    <t>皇氏集团</t>
  </si>
  <si>
    <t>奥康国际</t>
  </si>
  <si>
    <t>中毅达</t>
  </si>
  <si>
    <t>赛福天</t>
  </si>
  <si>
    <t>炬申股份</t>
  </si>
  <si>
    <t>标准股份</t>
  </si>
  <si>
    <t>亿利达</t>
  </si>
  <si>
    <t>太和水</t>
  </si>
  <si>
    <t>3.39%(炸板)</t>
  </si>
  <si>
    <t>南宁百货</t>
  </si>
  <si>
    <t>盈方微</t>
  </si>
  <si>
    <t>2.19%(炸板)</t>
  </si>
  <si>
    <t>通达创智</t>
  </si>
  <si>
    <t>天沃科技</t>
  </si>
  <si>
    <t>蓝科高新</t>
  </si>
  <si>
    <t>新宏泽</t>
  </si>
  <si>
    <t>-2.99%(炸板)</t>
  </si>
  <si>
    <t>3.13%(炸板)</t>
  </si>
  <si>
    <t>跨境通</t>
  </si>
  <si>
    <t>8.35%(炸板)</t>
  </si>
  <si>
    <t>中旗新材</t>
  </si>
  <si>
    <t>方正电机</t>
  </si>
  <si>
    <t>西昌电力</t>
  </si>
  <si>
    <t>0.00(炸板)%</t>
  </si>
  <si>
    <t>东珠生态</t>
  </si>
  <si>
    <t>-5.92%(炸板)</t>
  </si>
  <si>
    <t>新华锦</t>
  </si>
  <si>
    <t>-3.51(炸板)%</t>
  </si>
  <si>
    <t>宝馨科技</t>
  </si>
  <si>
    <t>迪生力</t>
  </si>
  <si>
    <t>禾盛新材</t>
  </si>
  <si>
    <t>佳力图</t>
  </si>
  <si>
    <t>中嘉博创</t>
  </si>
  <si>
    <t>-5.11%(炸板)</t>
  </si>
  <si>
    <t>海程邦达</t>
  </si>
  <si>
    <t>华夏幸福</t>
  </si>
  <si>
    <t>安彩高科</t>
  </si>
  <si>
    <t>廊坊发展</t>
  </si>
  <si>
    <t>海森药业</t>
  </si>
  <si>
    <t>2.99%(炸板)</t>
  </si>
  <si>
    <t>新金路</t>
  </si>
  <si>
    <t>启迪环境</t>
  </si>
  <si>
    <t>7.02%(炸板)</t>
  </si>
  <si>
    <t>合锻智能</t>
  </si>
  <si>
    <t>海南海药</t>
  </si>
  <si>
    <t>5.79%(炸板)</t>
  </si>
  <si>
    <t>申科股份</t>
  </si>
  <si>
    <t>乐惠国际</t>
  </si>
  <si>
    <t>6.97%(炸板)</t>
  </si>
  <si>
    <t>合兴股份</t>
  </si>
  <si>
    <t>-5.79%(炸板)</t>
  </si>
  <si>
    <t>楚天龙</t>
  </si>
  <si>
    <t>甬金股份</t>
  </si>
  <si>
    <t>曲江文旅</t>
  </si>
  <si>
    <t>新北洋</t>
  </si>
  <si>
    <t>安妮股份</t>
  </si>
  <si>
    <t>9.96(炸板)%</t>
  </si>
  <si>
    <t>永安药业</t>
  </si>
  <si>
    <t>-7.13%(炸板)</t>
  </si>
  <si>
    <t>萃华珠宝</t>
  </si>
  <si>
    <t>莫高股份</t>
  </si>
  <si>
    <t xml:space="preserve"> 宁波海运</t>
  </si>
  <si>
    <t>天顺股份</t>
  </si>
  <si>
    <t>永安行</t>
  </si>
  <si>
    <t>瑞达期货</t>
  </si>
  <si>
    <t>中光学</t>
  </si>
  <si>
    <t>-4.28%(炸板)</t>
  </si>
  <si>
    <t>渤海汽车</t>
  </si>
  <si>
    <t>创新医疗</t>
  </si>
  <si>
    <t>3.98%(炸板)</t>
  </si>
  <si>
    <t>四创电子</t>
  </si>
  <si>
    <t>昂利康</t>
  </si>
  <si>
    <t>精艺股份</t>
  </si>
  <si>
    <t>韶能股份</t>
  </si>
  <si>
    <t>2.61%(炸板)</t>
  </si>
  <si>
    <t>天元股份</t>
  </si>
  <si>
    <t>大智慧</t>
  </si>
  <si>
    <t>市北高新</t>
  </si>
  <si>
    <t>9.12%(炸板)</t>
  </si>
  <si>
    <t>豫能控股</t>
  </si>
  <si>
    <t>-6..68%</t>
  </si>
  <si>
    <t>中远海科</t>
  </si>
  <si>
    <t>3.05%(炸板)</t>
  </si>
  <si>
    <t>汉商集团</t>
  </si>
  <si>
    <t>中化岩土</t>
  </si>
  <si>
    <t>-1.3%(炸板)</t>
  </si>
  <si>
    <t>西部建设</t>
  </si>
  <si>
    <t>2.74%(炸板)</t>
  </si>
  <si>
    <t>四川金顶</t>
  </si>
  <si>
    <t>-4.21%(炸板)</t>
  </si>
  <si>
    <t>东信和平</t>
  </si>
  <si>
    <t>2.1%(炸板)</t>
  </si>
  <si>
    <t>王力安防</t>
  </si>
  <si>
    <t>英维克</t>
  </si>
  <si>
    <t>宏和科技</t>
  </si>
  <si>
    <t>湖南天雁</t>
  </si>
  <si>
    <t>新联电子</t>
  </si>
  <si>
    <t>苏利股份</t>
  </si>
  <si>
    <t>旭光电子</t>
  </si>
  <si>
    <t>宁波韵升</t>
  </si>
  <si>
    <t>恒宝股份</t>
  </si>
  <si>
    <t>湘财股份</t>
  </si>
  <si>
    <t>建设工业</t>
  </si>
  <si>
    <t>南华期货</t>
  </si>
  <si>
    <t>京北方</t>
  </si>
  <si>
    <t>兄弟科技</t>
  </si>
  <si>
    <t>新亚电子</t>
  </si>
  <si>
    <t>中大力德</t>
  </si>
  <si>
    <t>奥赛康</t>
  </si>
  <si>
    <t>宝泰隆</t>
  </si>
  <si>
    <r>
      <rPr>
        <sz val="24"/>
        <color theme="0"/>
        <rFont val="文悦新青年体 (非商用) W8"/>
        <charset val="134"/>
      </rPr>
      <t>反弹初期</t>
    </r>
    <r>
      <rPr>
        <sz val="12"/>
        <color theme="0"/>
        <rFont val="文悦新青年体 (非商用) W8"/>
        <charset val="134"/>
      </rPr>
      <t xml:space="preserve">
市场风格是高开低走</t>
    </r>
  </si>
  <si>
    <t>仁智股份</t>
  </si>
  <si>
    <t>MA5买入不亏</t>
  </si>
  <si>
    <t>华资实业</t>
  </si>
  <si>
    <t>美邦服饰</t>
  </si>
  <si>
    <t>-1.5%(炸板)</t>
  </si>
  <si>
    <t>益民集团</t>
  </si>
  <si>
    <t>离MA5太远，DAY-1不适合买入</t>
  </si>
  <si>
    <t>永茂泰</t>
  </si>
  <si>
    <t>离MA5有段距离，D-DAY量太大，不适合买入</t>
  </si>
  <si>
    <t>哈药股份</t>
  </si>
  <si>
    <t>MA5线时可买入</t>
  </si>
  <si>
    <t>氯碱化工</t>
  </si>
  <si>
    <t>葫芦娃</t>
  </si>
  <si>
    <t>宝鼎科技</t>
  </si>
  <si>
    <t>柘中股份</t>
  </si>
  <si>
    <t>动力源</t>
  </si>
  <si>
    <t>惠而浦</t>
  </si>
  <si>
    <t>汇洲智能</t>
  </si>
  <si>
    <t>离MA5线时可买入</t>
  </si>
  <si>
    <t>东方智造</t>
  </si>
  <si>
    <t>顺钠股份</t>
  </si>
  <si>
    <t>-6.1%(炸板)</t>
  </si>
  <si>
    <t>炸板不适合买入</t>
  </si>
  <si>
    <t>瑞芯微</t>
  </si>
  <si>
    <t>神雾节能</t>
  </si>
  <si>
    <t>远程股份</t>
  </si>
  <si>
    <t>德力股份</t>
  </si>
  <si>
    <t>郑中设计</t>
  </si>
  <si>
    <t>大连友谊</t>
  </si>
  <si>
    <t>巨轮智能</t>
  </si>
  <si>
    <t>汇鸿集团</t>
  </si>
  <si>
    <t>博通集成</t>
  </si>
  <si>
    <t>好利科技</t>
  </si>
  <si>
    <t>-2.33%(水上)</t>
  </si>
  <si>
    <t>中化装备</t>
  </si>
  <si>
    <t>长华集团</t>
  </si>
  <si>
    <t>友邦吊顶</t>
  </si>
  <si>
    <t xml:space="preserve">涨停 </t>
  </si>
  <si>
    <r>
      <rPr>
        <sz val="12"/>
        <color theme="0"/>
        <rFont val="文悦新青年体 (非商用) W8"/>
        <charset val="134"/>
      </rPr>
      <t xml:space="preserve">
</t>
    </r>
    <r>
      <rPr>
        <sz val="24"/>
        <color theme="0"/>
        <rFont val="文悦新青年体 (非商用) W8"/>
        <charset val="134"/>
      </rPr>
      <t>趋势初期</t>
    </r>
    <r>
      <rPr>
        <sz val="12"/>
        <color theme="0"/>
        <rFont val="文悦新青年体 (非商用) W8"/>
        <charset val="134"/>
      </rPr>
      <t xml:space="preserve">
比起反包做趋势性价比更高
</t>
    </r>
  </si>
  <si>
    <t>金财互联</t>
  </si>
  <si>
    <t>雷柏科技</t>
  </si>
  <si>
    <t>塞力医疗</t>
  </si>
  <si>
    <t>皇庭国际</t>
  </si>
  <si>
    <t>创兴资源</t>
  </si>
  <si>
    <t>金帝股份</t>
  </si>
  <si>
    <t>华数传媒</t>
  </si>
  <si>
    <t>福莱新材</t>
  </si>
  <si>
    <t>浙文互联</t>
  </si>
  <si>
    <t>皓宸医疗</t>
  </si>
  <si>
    <t>盈峰环境</t>
  </si>
  <si>
    <t>京能热力</t>
  </si>
  <si>
    <t>北方国际</t>
  </si>
  <si>
    <t>地铁设计</t>
  </si>
  <si>
    <t>首开股份</t>
  </si>
  <si>
    <t>国际医学</t>
  </si>
  <si>
    <t>福鞍股份</t>
  </si>
  <si>
    <t>川润股份</t>
  </si>
  <si>
    <t>天成自控</t>
  </si>
  <si>
    <t>科森科技</t>
  </si>
  <si>
    <t>东百集团</t>
  </si>
  <si>
    <t>海南椰岛</t>
  </si>
  <si>
    <t>华钰矿业</t>
  </si>
  <si>
    <t>海航科技</t>
  </si>
  <si>
    <t>杭电股份</t>
  </si>
  <si>
    <t>卓翼科技</t>
  </si>
  <si>
    <t>正和生态</t>
  </si>
  <si>
    <t>金瑞矿业</t>
  </si>
  <si>
    <t>光华股份</t>
  </si>
  <si>
    <t>华丰股份</t>
  </si>
  <si>
    <t>鸿远电子</t>
  </si>
  <si>
    <t>中科云网</t>
  </si>
  <si>
    <t>宁波高发</t>
  </si>
  <si>
    <t>莱绅通灵</t>
  </si>
  <si>
    <t>万马股份</t>
  </si>
  <si>
    <t>共达电声</t>
  </si>
  <si>
    <t>联合精密</t>
  </si>
  <si>
    <t>王子新材</t>
  </si>
  <si>
    <t>三房巷</t>
  </si>
  <si>
    <t>河化股份</t>
  </si>
  <si>
    <t>江苏新能</t>
  </si>
  <si>
    <t>润都股份</t>
  </si>
  <si>
    <t>中超控股</t>
  </si>
  <si>
    <t>天和磁材</t>
  </si>
  <si>
    <t>祖名股份</t>
  </si>
  <si>
    <t>敦煌种业</t>
  </si>
  <si>
    <t>宏辉果蔬</t>
  </si>
  <si>
    <t>丰乐种业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</si>
</sst>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  <numFmt numFmtId="178" formatCode="0.00_ "/>
    <numFmt numFmtId="179" formatCode="[$-409]yyyy\-mm\-dd;@"/>
    <numFmt numFmtId="180" formatCode="#,##0.00\ \$\ \ \ \ "/>
    <numFmt numFmtId="181" formatCode="00.00%"/>
    <numFmt numFmtId="182" formatCode="0.000"/>
    <numFmt numFmtId="183" formatCode="_ [$¥-804]* #,##0.00_ ;_ [$¥-804]* \-#,##0.00_ ;_ [$¥-804]* &quot;-&quot;??_ ;_ @_ "/>
    <numFmt numFmtId="184" formatCode="_ [$¥-478]* #,##0.00_ ;_ [$¥-478]* \-#,##0.00_ ;_ [$¥-478]* &quot;-&quot;??_ ;_ @_ "/>
    <numFmt numFmtId="185" formatCode="[$$-1004]#,##0.00"/>
    <numFmt numFmtId="186" formatCode="[$-409]mmm\-yy;@"/>
    <numFmt numFmtId="187" formatCode="&quot;$&quot;#,##0.00"/>
  </numFmts>
  <fonts count="40">
    <font>
      <sz val="11"/>
      <color theme="1"/>
      <name val="等线"/>
      <charset val="134"/>
      <scheme val="minor"/>
    </font>
    <font>
      <sz val="12"/>
      <color theme="0" tint="-0.0499893185216834"/>
      <name val="文悦新青年体 (非商用) W8"/>
      <charset val="134"/>
    </font>
    <font>
      <sz val="12"/>
      <color theme="0"/>
      <name val="文悦新青年体 (非商用) W8"/>
      <charset val="134"/>
    </font>
    <font>
      <sz val="12"/>
      <color rgb="FFFFC000"/>
      <name val="文悦新青年体 (非商用) W8"/>
      <charset val="134"/>
    </font>
    <font>
      <b/>
      <sz val="16"/>
      <name val="文悦新青年体 (非商用) W8"/>
      <charset val="134"/>
    </font>
    <font>
      <b/>
      <sz val="12"/>
      <name val="文悦新青年体 (非商用) W8"/>
      <charset val="134"/>
    </font>
    <font>
      <sz val="6"/>
      <color theme="0"/>
      <name val="文悦新青年体 (非商用) W8"/>
      <charset val="134"/>
    </font>
    <font>
      <sz val="12"/>
      <color theme="1" tint="0.25"/>
      <name val="文悦新青年体 (非商用) W8"/>
      <charset val="134"/>
    </font>
    <font>
      <sz val="12"/>
      <color theme="1"/>
      <name val="文悦新青年体 (非商用) W8"/>
      <charset val="134"/>
    </font>
    <font>
      <sz val="24"/>
      <color theme="0"/>
      <name val="文悦新青年体 (非商用) W8"/>
      <charset val="134"/>
    </font>
    <font>
      <sz val="12"/>
      <color theme="1" tint="0.35"/>
      <name val="文悦新青年体 (非商用) W8"/>
      <charset val="134"/>
    </font>
    <font>
      <sz val="12"/>
      <color rgb="FF00B050"/>
      <name val="文悦新青年体 (非商用) W8"/>
      <charset val="134"/>
    </font>
    <font>
      <sz val="12"/>
      <color theme="1" tint="0.5"/>
      <name val="文悦新青年体 (非商用) W8"/>
      <charset val="134"/>
    </font>
    <font>
      <sz val="12"/>
      <color theme="0" tint="-0.05"/>
      <name val="文悦新青年体 (非商用) W8"/>
      <charset val="134"/>
    </font>
    <font>
      <sz val="10"/>
      <name val="文悦新青年体 (非商用) W8"/>
      <charset val="134"/>
    </font>
    <font>
      <b/>
      <sz val="20"/>
      <color theme="1" tint="0.35"/>
      <name val="文悦新青年体 (非商用) W8"/>
      <charset val="134"/>
    </font>
    <font>
      <sz val="12"/>
      <color theme="1" tint="0.15"/>
      <name val="文悦新青年体 (非商用) W8"/>
      <charset val="134"/>
    </font>
    <font>
      <sz val="12"/>
      <color theme="1" tint="0.499984740745262"/>
      <name val="文悦新青年体 (非商用) W8"/>
      <charset val="134"/>
    </font>
    <font>
      <sz val="10"/>
      <color theme="0"/>
      <name val="文悦新青年体 (非商用) W8"/>
      <charset val="134"/>
    </font>
    <font>
      <sz val="10"/>
      <color theme="1"/>
      <name val="文悦新青年体 (非商用) W8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8"/>
      <color rgb="FFFFC000"/>
      <name val="文悦新青年体 (非商用) W8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727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/>
      <top style="thin">
        <color theme="1" tint="0.5"/>
      </top>
      <bottom style="thin">
        <color theme="1" tint="0.5"/>
      </bottom>
      <diagonal/>
    </border>
    <border>
      <left style="medium">
        <color rgb="FFFFC000"/>
      </left>
      <right style="medium">
        <color rgb="FFFFC000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/>
      <bottom/>
      <diagonal/>
    </border>
    <border>
      <left style="thin">
        <color theme="1" tint="0.5"/>
      </left>
      <right style="thin">
        <color theme="1" tint="0.5"/>
      </right>
      <top/>
      <bottom style="thin">
        <color theme="1" tint="0.5"/>
      </bottom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 style="thin">
        <color theme="1" tint="0.5"/>
      </left>
      <right/>
      <top/>
      <bottom/>
      <diagonal/>
    </border>
    <border>
      <left style="thin">
        <color theme="1" tint="0.5"/>
      </left>
      <right/>
      <top/>
      <bottom style="thin">
        <color theme="1" tint="0.5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/>
      <diagonal/>
    </border>
    <border>
      <left style="thin">
        <color theme="1" tint="0.349986266670736"/>
      </left>
      <right style="thin">
        <color theme="1" tint="0.349986266670736"/>
      </right>
      <top/>
      <bottom/>
      <diagonal/>
    </border>
    <border>
      <left style="thin">
        <color theme="1" tint="0.349986266670736"/>
      </left>
      <right style="thin">
        <color theme="1" tint="0.349986266670736"/>
      </right>
      <top/>
      <bottom style="thin">
        <color theme="1" tint="0.349986266670736"/>
      </bottom>
      <diagonal/>
    </border>
    <border>
      <left/>
      <right/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/>
      <bottom style="thin">
        <color theme="1" tint="0.5"/>
      </bottom>
      <diagonal/>
    </border>
    <border>
      <left style="medium">
        <color rgb="FFFFC000"/>
      </left>
      <right/>
      <top style="thin">
        <color theme="1" tint="0.5"/>
      </top>
      <bottom style="thin">
        <color theme="1" tint="0.5"/>
      </bottom>
      <diagonal/>
    </border>
    <border>
      <left style="medium">
        <color theme="1" tint="0.5"/>
      </left>
      <right style="medium">
        <color theme="1" tint="0.5"/>
      </right>
      <top style="medium">
        <color theme="1" tint="0.5"/>
      </top>
      <bottom style="medium">
        <color theme="1" tint="0.5"/>
      </bottom>
      <diagonal/>
    </border>
    <border>
      <left style="thin">
        <color theme="1" tint="0.35"/>
      </left>
      <right style="thin">
        <color theme="1" tint="0.35"/>
      </right>
      <top style="thin">
        <color theme="1" tint="0.35"/>
      </top>
      <bottom style="thin">
        <color theme="1" tint="0.35"/>
      </bottom>
      <diagonal/>
    </border>
    <border>
      <left/>
      <right style="thin">
        <color rgb="FFFFC000"/>
      </right>
      <top/>
      <bottom/>
      <diagonal/>
    </border>
    <border>
      <left/>
      <right style="medium">
        <color rgb="FFFFC000"/>
      </right>
      <top style="thin">
        <color theme="1" tint="0.5"/>
      </top>
      <bottom style="thin">
        <color theme="1" tint="0.5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 style="thin">
        <color rgb="FFFFC000"/>
      </left>
      <right style="thin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 style="thin">
        <color theme="1" tint="0.5"/>
      </top>
      <bottom style="thin">
        <color theme="1" tint="0.5"/>
      </bottom>
      <diagonal/>
    </border>
    <border>
      <left style="thin">
        <color rgb="FFFFC000"/>
      </left>
      <right style="thin">
        <color rgb="FFFFC000"/>
      </right>
      <top style="thin">
        <color theme="1" tint="0.5"/>
      </top>
      <bottom style="thin">
        <color theme="1" tint="0.5"/>
      </bottom>
      <diagonal/>
    </border>
    <border>
      <left/>
      <right style="thick">
        <color rgb="FFFFC000"/>
      </right>
      <top style="thin">
        <color theme="1" tint="0.5"/>
      </top>
      <bottom style="thin">
        <color theme="1" tint="0.5"/>
      </bottom>
      <diagonal/>
    </border>
    <border>
      <left style="thick">
        <color rgb="FFFFC000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ck">
        <color rgb="FFFFC000"/>
      </right>
      <top style="thin">
        <color theme="1" tint="0.5"/>
      </top>
      <bottom style="thin">
        <color theme="1" tint="0.5"/>
      </bottom>
      <diagonal/>
    </border>
    <border>
      <left style="thick">
        <color rgb="FFFFC000"/>
      </left>
      <right style="thin">
        <color theme="1" tint="0.5"/>
      </right>
      <top style="thin">
        <color theme="1" tint="0.5"/>
      </top>
      <bottom/>
      <diagonal/>
    </border>
    <border>
      <left style="thin">
        <color rgb="FFFFC000"/>
      </left>
      <right style="thin">
        <color rgb="FFFFC000"/>
      </right>
      <top style="thin">
        <color theme="1" tint="0.5"/>
      </top>
      <bottom/>
      <diagonal/>
    </border>
    <border>
      <left/>
      <right/>
      <top style="thin">
        <color theme="1" tint="0.5"/>
      </top>
      <bottom/>
      <diagonal/>
    </border>
    <border>
      <left/>
      <right style="thick">
        <color rgb="FFFFC000"/>
      </right>
      <top style="thin">
        <color theme="1" tint="0.5"/>
      </top>
      <bottom/>
      <diagonal/>
    </border>
    <border>
      <left style="thick">
        <color rgb="FFFFC000"/>
      </left>
      <right style="thin">
        <color theme="1" tint="0.5"/>
      </right>
      <top style="thin">
        <color theme="1" tint="0.5"/>
      </top>
      <bottom style="thick">
        <color rgb="FFFFC000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ck">
        <color rgb="FFFFC000"/>
      </bottom>
      <diagonal/>
    </border>
    <border>
      <left style="thin">
        <color theme="1" tint="0.5"/>
      </left>
      <right/>
      <top style="thin">
        <color theme="1" tint="0.5"/>
      </top>
      <bottom style="thick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theme="1" tint="0.5"/>
      </top>
      <bottom style="thick">
        <color rgb="FFFFC000"/>
      </bottom>
      <diagonal/>
    </border>
    <border>
      <left/>
      <right/>
      <top style="thin">
        <color theme="1" tint="0.5"/>
      </top>
      <bottom style="thick">
        <color rgb="FFFFC000"/>
      </bottom>
      <diagonal/>
    </border>
    <border>
      <left/>
      <right style="thick">
        <color rgb="FFFFC000"/>
      </right>
      <top style="thin">
        <color theme="1" tint="0.5"/>
      </top>
      <bottom style="thick">
        <color rgb="FFFFC000"/>
      </bottom>
      <diagonal/>
    </border>
    <border>
      <left style="thin">
        <color theme="2" tint="-0.5"/>
      </left>
      <right style="thin">
        <color theme="2" tint="-0.5"/>
      </right>
      <top/>
      <bottom style="thin">
        <color theme="2" tint="-0.5"/>
      </bottom>
      <diagonal/>
    </border>
    <border>
      <left style="thin">
        <color theme="1" tint="0.5"/>
      </left>
      <right/>
      <top/>
      <bottom style="thin">
        <color theme="2" tint="-0.5"/>
      </bottom>
      <diagonal/>
    </border>
    <border>
      <left/>
      <right/>
      <top/>
      <bottom style="thin">
        <color theme="2" tint="-0.5"/>
      </bottom>
      <diagonal/>
    </border>
    <border>
      <left/>
      <right style="thin">
        <color theme="2" tint="-0.5"/>
      </right>
      <top/>
      <bottom style="thin">
        <color theme="2" tint="-0.5"/>
      </bottom>
      <diagonal/>
    </border>
    <border>
      <left style="thin">
        <color theme="2" tint="-0.5"/>
      </left>
      <right style="thin">
        <color theme="2" tint="-0.5"/>
      </right>
      <top style="thin">
        <color theme="2" tint="-0.5"/>
      </top>
      <bottom style="thin">
        <color theme="2" tint="-0.5"/>
      </bottom>
      <diagonal/>
    </border>
    <border>
      <left style="thin">
        <color theme="1" tint="0.5"/>
      </left>
      <right/>
      <top style="thin">
        <color theme="2" tint="-0.5"/>
      </top>
      <bottom style="thin">
        <color theme="2" tint="-0.5"/>
      </bottom>
      <diagonal/>
    </border>
    <border>
      <left/>
      <right/>
      <top style="thin">
        <color theme="2" tint="-0.5"/>
      </top>
      <bottom style="thin">
        <color theme="2" tint="-0.5"/>
      </bottom>
      <diagonal/>
    </border>
    <border>
      <left/>
      <right style="thin">
        <color theme="2" tint="-0.5"/>
      </right>
      <top style="thin">
        <color theme="2" tint="-0.5"/>
      </top>
      <bottom style="thin">
        <color theme="2" tint="-0.5"/>
      </bottom>
      <diagonal/>
    </border>
    <border>
      <left style="thin">
        <color theme="2" tint="-0.5"/>
      </left>
      <right style="thin">
        <color theme="2" tint="-0.5"/>
      </right>
      <top style="thin">
        <color theme="2" tint="-0.5"/>
      </top>
      <bottom/>
      <diagonal/>
    </border>
    <border>
      <left style="thin">
        <color theme="2" tint="-0.5"/>
      </left>
      <right style="thin">
        <color theme="2" tint="-0.5"/>
      </right>
      <top/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/>
      <right style="thick">
        <color rgb="FF00B050"/>
      </right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6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6" applyNumberFormat="0" applyFill="0" applyAlignment="0" applyProtection="0">
      <alignment vertical="center"/>
    </xf>
    <xf numFmtId="0" fontId="26" fillId="0" borderId="66" applyNumberFormat="0" applyFill="0" applyAlignment="0" applyProtection="0">
      <alignment vertical="center"/>
    </xf>
    <xf numFmtId="0" fontId="27" fillId="0" borderId="6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68" applyNumberFormat="0" applyAlignment="0" applyProtection="0">
      <alignment vertical="center"/>
    </xf>
    <xf numFmtId="0" fontId="29" fillId="11" borderId="69" applyNumberFormat="0" applyAlignment="0" applyProtection="0">
      <alignment vertical="center"/>
    </xf>
    <xf numFmtId="0" fontId="30" fillId="11" borderId="68" applyNumberFormat="0" applyAlignment="0" applyProtection="0">
      <alignment vertical="center"/>
    </xf>
    <xf numFmtId="0" fontId="31" fillId="12" borderId="70" applyNumberFormat="0" applyAlignment="0" applyProtection="0">
      <alignment vertical="center"/>
    </xf>
    <xf numFmtId="0" fontId="32" fillId="0" borderId="71" applyNumberFormat="0" applyFill="0" applyAlignment="0" applyProtection="0">
      <alignment vertical="center"/>
    </xf>
    <xf numFmtId="0" fontId="33" fillId="0" borderId="72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347">
    <xf numFmtId="0" fontId="0" fillId="0" borderId="0" xfId="0"/>
    <xf numFmtId="0" fontId="1" fillId="2" borderId="0" xfId="0" applyFont="1" applyFill="1"/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10" fontId="2" fillId="2" borderId="0" xfId="0" applyNumberFormat="1" applyFont="1" applyFill="1" applyBorder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" fontId="3" fillId="2" borderId="4" xfId="0" applyNumberFormat="1" applyFont="1" applyFill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2" xfId="0" applyFont="1" applyFill="1" applyBorder="1"/>
    <xf numFmtId="177" fontId="1" fillId="2" borderId="2" xfId="0" applyNumberFormat="1" applyFont="1" applyFill="1" applyBorder="1"/>
    <xf numFmtId="177" fontId="3" fillId="2" borderId="5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vertical="center"/>
    </xf>
    <xf numFmtId="176" fontId="2" fillId="2" borderId="2" xfId="0" applyNumberFormat="1" applyFont="1" applyFill="1" applyBorder="1" applyAlignment="1">
      <alignment horizontal="center" vertical="center"/>
    </xf>
    <xf numFmtId="10" fontId="2" fillId="2" borderId="6" xfId="0" applyNumberFormat="1" applyFont="1" applyFill="1" applyBorder="1" applyAlignment="1">
      <alignment horizontal="center" vertical="center"/>
    </xf>
    <xf numFmtId="10" fontId="2" fillId="2" borderId="7" xfId="0" applyNumberFormat="1" applyFont="1" applyFill="1" applyBorder="1" applyAlignment="1">
      <alignment horizontal="center" vertical="center"/>
    </xf>
    <xf numFmtId="10" fontId="2" fillId="2" borderId="3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0" fontId="8" fillId="3" borderId="6" xfId="0" applyNumberFormat="1" applyFont="1" applyFill="1" applyBorder="1" applyAlignment="1">
      <alignment horizontal="center" vertical="center"/>
    </xf>
    <xf numFmtId="10" fontId="8" fillId="3" borderId="7" xfId="0" applyNumberFormat="1" applyFont="1" applyFill="1" applyBorder="1" applyAlignment="1">
      <alignment horizontal="center" vertical="center"/>
    </xf>
    <xf numFmtId="10" fontId="3" fillId="2" borderId="3" xfId="0" applyNumberFormat="1" applyFont="1" applyFill="1" applyBorder="1" applyAlignment="1">
      <alignment horizontal="center" vertical="center"/>
    </xf>
    <xf numFmtId="10" fontId="3" fillId="2" borderId="6" xfId="0" applyNumberFormat="1" applyFont="1" applyFill="1" applyBorder="1" applyAlignment="1">
      <alignment horizontal="center" vertical="center"/>
    </xf>
    <xf numFmtId="10" fontId="9" fillId="4" borderId="0" xfId="0" applyNumberFormat="1" applyFont="1" applyFill="1" applyAlignment="1">
      <alignment horizontal="center" vertical="center" wrapText="1"/>
    </xf>
    <xf numFmtId="176" fontId="2" fillId="2" borderId="8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0" fontId="8" fillId="4" borderId="6" xfId="0" applyNumberFormat="1" applyFont="1" applyFill="1" applyBorder="1" applyAlignment="1">
      <alignment horizontal="center" vertical="center"/>
    </xf>
    <xf numFmtId="10" fontId="8" fillId="4" borderId="7" xfId="0" applyNumberFormat="1" applyFont="1" applyFill="1" applyBorder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76" fontId="2" fillId="2" borderId="9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0" fontId="2" fillId="2" borderId="4" xfId="0" applyNumberFormat="1" applyFont="1" applyFill="1" applyBorder="1" applyAlignment="1">
      <alignment horizontal="center" vertical="center"/>
    </xf>
    <xf numFmtId="10" fontId="2" fillId="2" borderId="10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10" fillId="2" borderId="9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0" fontId="3" fillId="2" borderId="7" xfId="0" applyNumberFormat="1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10" fontId="3" fillId="2" borderId="10" xfId="0" applyNumberFormat="1" applyFont="1" applyFill="1" applyBorder="1" applyAlignment="1">
      <alignment horizontal="center" vertical="center"/>
    </xf>
    <xf numFmtId="10" fontId="3" fillId="2" borderId="8" xfId="0" applyNumberFormat="1" applyFont="1" applyFill="1" applyBorder="1" applyAlignment="1">
      <alignment horizontal="center" vertical="center"/>
    </xf>
    <xf numFmtId="10" fontId="3" fillId="2" borderId="11" xfId="0" applyNumberFormat="1" applyFont="1" applyFill="1" applyBorder="1" applyAlignment="1">
      <alignment horizontal="center" vertical="center"/>
    </xf>
    <xf numFmtId="10" fontId="11" fillId="2" borderId="3" xfId="0" applyNumberFormat="1" applyFont="1" applyFill="1" applyBorder="1" applyAlignment="1">
      <alignment horizontal="center" vertical="center"/>
    </xf>
    <xf numFmtId="10" fontId="3" fillId="2" borderId="9" xfId="0" applyNumberFormat="1" applyFont="1" applyFill="1" applyBorder="1" applyAlignment="1">
      <alignment horizontal="center" vertical="center"/>
    </xf>
    <xf numFmtId="10" fontId="3" fillId="2" borderId="1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0" fontId="11" fillId="2" borderId="6" xfId="0" applyNumberFormat="1" applyFont="1" applyFill="1" applyBorder="1" applyAlignment="1">
      <alignment horizontal="center" vertical="center"/>
    </xf>
    <xf numFmtId="10" fontId="11" fillId="2" borderId="7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10" fontId="2" fillId="2" borderId="9" xfId="0" applyNumberFormat="1" applyFont="1" applyFill="1" applyBorder="1" applyAlignment="1">
      <alignment horizontal="center" vertical="center"/>
    </xf>
    <xf numFmtId="10" fontId="2" fillId="2" borderId="12" xfId="0" applyNumberFormat="1" applyFont="1" applyFill="1" applyBorder="1" applyAlignment="1">
      <alignment horizontal="center" vertical="center"/>
    </xf>
    <xf numFmtId="176" fontId="10" fillId="5" borderId="13" xfId="0" applyNumberFormat="1" applyFont="1" applyFill="1" applyBorder="1" applyAlignment="1">
      <alignment horizontal="center" vertical="center"/>
    </xf>
    <xf numFmtId="10" fontId="2" fillId="6" borderId="0" xfId="0" applyNumberFormat="1" applyFont="1" applyFill="1" applyAlignment="1">
      <alignment horizontal="center" vertical="center" wrapText="1"/>
    </xf>
    <xf numFmtId="176" fontId="2" fillId="5" borderId="13" xfId="0" applyNumberFormat="1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176" fontId="10" fillId="5" borderId="15" xfId="0" applyNumberFormat="1" applyFont="1" applyFill="1" applyBorder="1" applyAlignment="1">
      <alignment horizontal="center" vertical="center"/>
    </xf>
    <xf numFmtId="176" fontId="10" fillId="5" borderId="16" xfId="0" applyNumberFormat="1" applyFont="1" applyFill="1" applyBorder="1" applyAlignment="1">
      <alignment horizontal="center" vertical="center"/>
    </xf>
    <xf numFmtId="10" fontId="2" fillId="6" borderId="0" xfId="0" applyNumberFormat="1" applyFont="1" applyFill="1" applyAlignment="1">
      <alignment vertical="center" wrapText="1"/>
    </xf>
    <xf numFmtId="10" fontId="1" fillId="2" borderId="2" xfId="0" applyNumberFormat="1" applyFont="1" applyFill="1" applyBorder="1"/>
    <xf numFmtId="10" fontId="2" fillId="2" borderId="0" xfId="0" applyNumberFormat="1" applyFont="1" applyFill="1" applyBorder="1" applyAlignment="1">
      <alignment vertical="center"/>
    </xf>
    <xf numFmtId="177" fontId="3" fillId="2" borderId="0" xfId="0" applyNumberFormat="1" applyFont="1" applyFill="1" applyBorder="1" applyAlignment="1">
      <alignment vertical="center"/>
    </xf>
    <xf numFmtId="10" fontId="3" fillId="2" borderId="0" xfId="0" applyNumberFormat="1" applyFont="1" applyFill="1" applyBorder="1" applyAlignment="1">
      <alignment vertical="center"/>
    </xf>
    <xf numFmtId="178" fontId="3" fillId="2" borderId="0" xfId="0" applyNumberFormat="1" applyFont="1" applyFill="1" applyBorder="1" applyAlignment="1">
      <alignment vertical="center"/>
    </xf>
    <xf numFmtId="10" fontId="2" fillId="5" borderId="13" xfId="0" applyNumberFormat="1" applyFont="1" applyFill="1" applyBorder="1" applyAlignment="1">
      <alignment horizontal="center" vertical="center"/>
    </xf>
    <xf numFmtId="177" fontId="2" fillId="5" borderId="13" xfId="0" applyNumberFormat="1" applyFont="1" applyFill="1" applyBorder="1" applyAlignment="1">
      <alignment horizontal="center" vertical="center"/>
    </xf>
    <xf numFmtId="178" fontId="2" fillId="2" borderId="4" xfId="0" applyNumberFormat="1" applyFont="1" applyFill="1" applyBorder="1" applyAlignment="1">
      <alignment horizontal="center" vertical="center"/>
    </xf>
    <xf numFmtId="178" fontId="2" fillId="5" borderId="2" xfId="0" applyNumberFormat="1" applyFont="1" applyFill="1" applyBorder="1" applyAlignment="1">
      <alignment horizontal="center" vertical="center"/>
    </xf>
    <xf numFmtId="10" fontId="11" fillId="2" borderId="6" xfId="0" applyNumberFormat="1" applyFont="1" applyFill="1" applyBorder="1" applyAlignment="1">
      <alignment horizontal="left" vertical="center"/>
    </xf>
    <xf numFmtId="10" fontId="11" fillId="2" borderId="17" xfId="0" applyNumberFormat="1" applyFont="1" applyFill="1" applyBorder="1" applyAlignment="1">
      <alignment horizontal="left" vertical="center"/>
    </xf>
    <xf numFmtId="10" fontId="11" fillId="2" borderId="3" xfId="0" applyNumberFormat="1" applyFont="1" applyFill="1" applyBorder="1" applyAlignment="1">
      <alignment horizontal="left" vertical="center"/>
    </xf>
    <xf numFmtId="10" fontId="3" fillId="2" borderId="6" xfId="0" applyNumberFormat="1" applyFont="1" applyFill="1" applyBorder="1" applyAlignment="1">
      <alignment horizontal="left" vertical="center"/>
    </xf>
    <xf numFmtId="10" fontId="3" fillId="2" borderId="17" xfId="0" applyNumberFormat="1" applyFont="1" applyFill="1" applyBorder="1" applyAlignment="1">
      <alignment horizontal="left" vertical="center"/>
    </xf>
    <xf numFmtId="10" fontId="3" fillId="2" borderId="3" xfId="0" applyNumberFormat="1" applyFont="1" applyFill="1" applyBorder="1" applyAlignment="1">
      <alignment horizontal="left" vertical="center"/>
    </xf>
    <xf numFmtId="10" fontId="3" fillId="2" borderId="18" xfId="0" applyNumberFormat="1" applyFont="1" applyFill="1" applyBorder="1" applyAlignment="1">
      <alignment horizontal="center" vertical="center"/>
    </xf>
    <xf numFmtId="10" fontId="11" fillId="2" borderId="5" xfId="0" applyNumberFormat="1" applyFont="1" applyFill="1" applyBorder="1" applyAlignment="1">
      <alignment horizontal="center" vertical="center"/>
    </xf>
    <xf numFmtId="10" fontId="11" fillId="2" borderId="18" xfId="0" applyNumberFormat="1" applyFont="1" applyFill="1" applyBorder="1" applyAlignment="1">
      <alignment horizontal="center" vertical="center"/>
    </xf>
    <xf numFmtId="10" fontId="11" fillId="2" borderId="2" xfId="0" applyNumberFormat="1" applyFont="1" applyFill="1" applyBorder="1" applyAlignment="1">
      <alignment horizontal="center" vertical="center"/>
    </xf>
    <xf numFmtId="176" fontId="2" fillId="5" borderId="14" xfId="0" applyNumberFormat="1" applyFont="1" applyFill="1" applyBorder="1" applyAlignment="1">
      <alignment horizontal="center" vertical="center"/>
    </xf>
    <xf numFmtId="176" fontId="2" fillId="5" borderId="15" xfId="0" applyNumberFormat="1" applyFont="1" applyFill="1" applyBorder="1" applyAlignment="1">
      <alignment horizontal="center" vertical="center"/>
    </xf>
    <xf numFmtId="10" fontId="2" fillId="2" borderId="5" xfId="0" applyNumberFormat="1" applyFont="1" applyFill="1" applyBorder="1" applyAlignment="1">
      <alignment horizontal="center" vertical="center"/>
    </xf>
    <xf numFmtId="176" fontId="2" fillId="5" borderId="16" xfId="0" applyNumberFormat="1" applyFont="1" applyFill="1" applyBorder="1" applyAlignment="1">
      <alignment horizontal="center" vertical="center"/>
    </xf>
    <xf numFmtId="176" fontId="3" fillId="5" borderId="14" xfId="0" applyNumberFormat="1" applyFont="1" applyFill="1" applyBorder="1" applyAlignment="1">
      <alignment horizontal="center" vertical="center"/>
    </xf>
    <xf numFmtId="176" fontId="3" fillId="5" borderId="15" xfId="0" applyNumberFormat="1" applyFont="1" applyFill="1" applyBorder="1" applyAlignment="1">
      <alignment horizontal="center" vertical="center"/>
    </xf>
    <xf numFmtId="10" fontId="11" fillId="2" borderId="19" xfId="0" applyNumberFormat="1" applyFont="1" applyFill="1" applyBorder="1" applyAlignment="1">
      <alignment horizontal="center" vertical="center"/>
    </xf>
    <xf numFmtId="10" fontId="3" fillId="2" borderId="5" xfId="0" applyNumberFormat="1" applyFont="1" applyFill="1" applyBorder="1" applyAlignment="1">
      <alignment horizontal="center" vertical="center"/>
    </xf>
    <xf numFmtId="10" fontId="3" fillId="2" borderId="20" xfId="0" applyNumberFormat="1" applyFont="1" applyFill="1" applyBorder="1" applyAlignment="1">
      <alignment horizontal="center" vertical="center"/>
    </xf>
    <xf numFmtId="10" fontId="3" fillId="2" borderId="19" xfId="0" applyNumberFormat="1" applyFont="1" applyFill="1" applyBorder="1" applyAlignment="1">
      <alignment horizontal="center" vertical="center"/>
    </xf>
    <xf numFmtId="10" fontId="11" fillId="2" borderId="20" xfId="0" applyNumberFormat="1" applyFont="1" applyFill="1" applyBorder="1" applyAlignment="1">
      <alignment horizontal="center" vertical="center"/>
    </xf>
    <xf numFmtId="10" fontId="2" fillId="2" borderId="19" xfId="0" applyNumberFormat="1" applyFont="1" applyFill="1" applyBorder="1" applyAlignment="1">
      <alignment horizontal="center" vertical="center"/>
    </xf>
    <xf numFmtId="10" fontId="2" fillId="2" borderId="18" xfId="0" applyNumberFormat="1" applyFont="1" applyFill="1" applyBorder="1" applyAlignment="1">
      <alignment horizontal="center" vertical="center"/>
    </xf>
    <xf numFmtId="176" fontId="12" fillId="5" borderId="13" xfId="0" applyNumberFormat="1" applyFont="1" applyFill="1" applyBorder="1" applyAlignment="1">
      <alignment horizontal="center" vertical="center"/>
    </xf>
    <xf numFmtId="176" fontId="12" fillId="5" borderId="14" xfId="0" applyNumberFormat="1" applyFont="1" applyFill="1" applyBorder="1" applyAlignment="1">
      <alignment horizontal="center" vertical="center"/>
    </xf>
    <xf numFmtId="176" fontId="12" fillId="5" borderId="16" xfId="0" applyNumberFormat="1" applyFont="1" applyFill="1" applyBorder="1" applyAlignment="1">
      <alignment horizontal="center" vertical="center"/>
    </xf>
    <xf numFmtId="176" fontId="3" fillId="5" borderId="13" xfId="0" applyNumberFormat="1" applyFont="1" applyFill="1" applyBorder="1" applyAlignment="1">
      <alignment horizontal="center" vertical="center"/>
    </xf>
    <xf numFmtId="176" fontId="3" fillId="5" borderId="16" xfId="0" applyNumberFormat="1" applyFont="1" applyFill="1" applyBorder="1" applyAlignment="1">
      <alignment horizontal="center" vertical="center"/>
    </xf>
    <xf numFmtId="176" fontId="13" fillId="5" borderId="13" xfId="0" applyNumberFormat="1" applyFont="1" applyFill="1" applyBorder="1" applyAlignment="1">
      <alignment horizontal="center" vertical="center"/>
    </xf>
    <xf numFmtId="10" fontId="11" fillId="2" borderId="4" xfId="0" applyNumberFormat="1" applyFont="1" applyFill="1" applyBorder="1" applyAlignment="1">
      <alignment horizontal="center" vertical="center"/>
    </xf>
    <xf numFmtId="10" fontId="11" fillId="2" borderId="9" xfId="0" applyNumberFormat="1" applyFont="1" applyFill="1" applyBorder="1" applyAlignment="1">
      <alignment horizontal="center" vertical="center"/>
    </xf>
    <xf numFmtId="177" fontId="11" fillId="2" borderId="2" xfId="0" applyNumberFormat="1" applyFont="1" applyFill="1" applyBorder="1" applyAlignment="1">
      <alignment horizontal="center" vertical="center"/>
    </xf>
    <xf numFmtId="10" fontId="11" fillId="2" borderId="17" xfId="0" applyNumberFormat="1" applyFont="1" applyFill="1" applyBorder="1" applyAlignment="1">
      <alignment horizontal="center" vertical="center"/>
    </xf>
    <xf numFmtId="10" fontId="2" fillId="2" borderId="21" xfId="0" applyNumberFormat="1" applyFont="1" applyFill="1" applyBorder="1" applyAlignment="1">
      <alignment horizontal="center" vertical="center"/>
    </xf>
    <xf numFmtId="10" fontId="2" fillId="2" borderId="22" xfId="0" applyNumberFormat="1" applyFont="1" applyFill="1" applyBorder="1" applyAlignment="1">
      <alignment horizontal="center" vertical="center"/>
    </xf>
    <xf numFmtId="10" fontId="2" fillId="2" borderId="23" xfId="0" applyNumberFormat="1" applyFont="1" applyFill="1" applyBorder="1" applyAlignment="1">
      <alignment horizontal="center" vertical="center"/>
    </xf>
    <xf numFmtId="176" fontId="7" fillId="5" borderId="1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6" fontId="7" fillId="5" borderId="14" xfId="0" applyNumberFormat="1" applyFont="1" applyFill="1" applyBorder="1" applyAlignment="1">
      <alignment horizontal="center" vertical="center"/>
    </xf>
    <xf numFmtId="176" fontId="7" fillId="5" borderId="15" xfId="0" applyNumberFormat="1" applyFont="1" applyFill="1" applyBorder="1" applyAlignment="1">
      <alignment horizontal="center" vertical="center"/>
    </xf>
    <xf numFmtId="0" fontId="8" fillId="2" borderId="0" xfId="0" applyFont="1" applyFill="1"/>
    <xf numFmtId="0" fontId="11" fillId="2" borderId="0" xfId="0" applyFont="1" applyFill="1"/>
    <xf numFmtId="0" fontId="3" fillId="2" borderId="0" xfId="0" applyFont="1" applyFill="1"/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2" borderId="0" xfId="0" applyFont="1" applyFill="1" applyBorder="1" applyAlignment="1">
      <alignment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2" fillId="2" borderId="31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34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0" fontId="7" fillId="2" borderId="6" xfId="0" applyNumberFormat="1" applyFont="1" applyFill="1" applyBorder="1" applyAlignment="1">
      <alignment horizontal="center" vertical="center"/>
    </xf>
    <xf numFmtId="10" fontId="7" fillId="2" borderId="31" xfId="0" applyNumberFormat="1" applyFont="1" applyFill="1" applyBorder="1" applyAlignment="1">
      <alignment horizontal="center" vertical="center"/>
    </xf>
    <xf numFmtId="10" fontId="7" fillId="2" borderId="3" xfId="0" applyNumberFormat="1" applyFont="1" applyFill="1" applyBorder="1" applyAlignment="1">
      <alignment horizontal="center" vertical="center"/>
    </xf>
    <xf numFmtId="10" fontId="7" fillId="2" borderId="2" xfId="0" applyNumberFormat="1" applyFont="1" applyFill="1" applyBorder="1" applyAlignment="1">
      <alignment horizontal="center" vertical="center"/>
    </xf>
    <xf numFmtId="10" fontId="7" fillId="4" borderId="31" xfId="0" applyNumberFormat="1" applyFont="1" applyFill="1" applyBorder="1" applyAlignment="1">
      <alignment horizontal="center" vertical="center"/>
    </xf>
    <xf numFmtId="10" fontId="7" fillId="3" borderId="31" xfId="0" applyNumberFormat="1" applyFont="1" applyFill="1" applyBorder="1" applyAlignment="1">
      <alignment horizontal="center" vertical="center"/>
    </xf>
    <xf numFmtId="10" fontId="7" fillId="3" borderId="3" xfId="0" applyNumberFormat="1" applyFont="1" applyFill="1" applyBorder="1" applyAlignment="1">
      <alignment horizontal="center" vertical="center"/>
    </xf>
    <xf numFmtId="10" fontId="7" fillId="3" borderId="2" xfId="0" applyNumberFormat="1" applyFont="1" applyFill="1" applyBorder="1" applyAlignment="1">
      <alignment horizontal="center" vertical="center"/>
    </xf>
    <xf numFmtId="176" fontId="16" fillId="2" borderId="2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0" fontId="2" fillId="2" borderId="17" xfId="0" applyNumberFormat="1" applyFont="1" applyFill="1" applyBorder="1" applyAlignment="1">
      <alignment horizontal="center" vertical="center"/>
    </xf>
    <xf numFmtId="10" fontId="11" fillId="2" borderId="0" xfId="0" applyNumberFormat="1" applyFont="1" applyFill="1" applyBorder="1" applyAlignment="1">
      <alignment horizontal="center" vertical="center"/>
    </xf>
    <xf numFmtId="178" fontId="2" fillId="5" borderId="10" xfId="0" applyNumberFormat="1" applyFont="1" applyFill="1" applyBorder="1" applyAlignment="1">
      <alignment horizontal="center" vertical="center"/>
    </xf>
    <xf numFmtId="178" fontId="2" fillId="5" borderId="37" xfId="0" applyNumberFormat="1" applyFont="1" applyFill="1" applyBorder="1" applyAlignment="1">
      <alignment horizontal="center" vertical="center"/>
    </xf>
    <xf numFmtId="178" fontId="2" fillId="5" borderId="5" xfId="0" applyNumberFormat="1" applyFont="1" applyFill="1" applyBorder="1" applyAlignment="1">
      <alignment horizontal="center" vertical="center"/>
    </xf>
    <xf numFmtId="10" fontId="2" fillId="2" borderId="45" xfId="0" applyNumberFormat="1" applyFont="1" applyFill="1" applyBorder="1" applyAlignment="1">
      <alignment horizontal="center" vertical="center"/>
    </xf>
    <xf numFmtId="177" fontId="3" fillId="2" borderId="45" xfId="0" applyNumberFormat="1" applyFont="1" applyFill="1" applyBorder="1" applyAlignment="1">
      <alignment horizontal="center" vertical="center"/>
    </xf>
    <xf numFmtId="10" fontId="3" fillId="2" borderId="46" xfId="0" applyNumberFormat="1" applyFont="1" applyFill="1" applyBorder="1" applyAlignment="1">
      <alignment horizontal="center" vertical="center"/>
    </xf>
    <xf numFmtId="10" fontId="3" fillId="2" borderId="47" xfId="0" applyNumberFormat="1" applyFont="1" applyFill="1" applyBorder="1" applyAlignment="1">
      <alignment horizontal="center" vertical="center"/>
    </xf>
    <xf numFmtId="10" fontId="3" fillId="2" borderId="48" xfId="0" applyNumberFormat="1" applyFont="1" applyFill="1" applyBorder="1" applyAlignment="1">
      <alignment horizontal="center" vertical="center"/>
    </xf>
    <xf numFmtId="10" fontId="2" fillId="2" borderId="49" xfId="0" applyNumberFormat="1" applyFont="1" applyFill="1" applyBorder="1" applyAlignment="1">
      <alignment horizontal="center" vertical="center"/>
    </xf>
    <xf numFmtId="177" fontId="3" fillId="2" borderId="49" xfId="0" applyNumberFormat="1" applyFont="1" applyFill="1" applyBorder="1" applyAlignment="1">
      <alignment horizontal="center" vertical="center"/>
    </xf>
    <xf numFmtId="10" fontId="3" fillId="2" borderId="49" xfId="0" applyNumberFormat="1" applyFont="1" applyFill="1" applyBorder="1" applyAlignment="1">
      <alignment horizontal="center" vertical="center"/>
    </xf>
    <xf numFmtId="178" fontId="3" fillId="2" borderId="50" xfId="0" applyNumberFormat="1" applyFont="1" applyFill="1" applyBorder="1" applyAlignment="1">
      <alignment horizontal="left" vertical="center" indent="1"/>
    </xf>
    <xf numFmtId="178" fontId="3" fillId="2" borderId="51" xfId="0" applyNumberFormat="1" applyFont="1" applyFill="1" applyBorder="1" applyAlignment="1">
      <alignment horizontal="left" vertical="center" indent="1"/>
    </xf>
    <xf numFmtId="178" fontId="3" fillId="2" borderId="52" xfId="0" applyNumberFormat="1" applyFont="1" applyFill="1" applyBorder="1" applyAlignment="1">
      <alignment horizontal="left" vertical="center" indent="1"/>
    </xf>
    <xf numFmtId="10" fontId="3" fillId="2" borderId="53" xfId="0" applyNumberFormat="1" applyFont="1" applyFill="1" applyBorder="1" applyAlignment="1">
      <alignment horizontal="center" vertical="center"/>
    </xf>
    <xf numFmtId="177" fontId="3" fillId="2" borderId="53" xfId="0" applyNumberFormat="1" applyFont="1" applyFill="1" applyBorder="1" applyAlignment="1">
      <alignment horizontal="center" vertical="center"/>
    </xf>
    <xf numFmtId="10" fontId="3" fillId="2" borderId="45" xfId="0" applyNumberFormat="1" applyFont="1" applyFill="1" applyBorder="1" applyAlignment="1">
      <alignment horizontal="center" vertical="center"/>
    </xf>
    <xf numFmtId="10" fontId="11" fillId="2" borderId="53" xfId="0" applyNumberFormat="1" applyFont="1" applyFill="1" applyBorder="1" applyAlignment="1">
      <alignment horizontal="center" vertical="center"/>
    </xf>
    <xf numFmtId="10" fontId="11" fillId="2" borderId="54" xfId="0" applyNumberFormat="1" applyFont="1" applyFill="1" applyBorder="1" applyAlignment="1">
      <alignment horizontal="center" vertical="center"/>
    </xf>
    <xf numFmtId="177" fontId="3" fillId="2" borderId="54" xfId="0" applyNumberFormat="1" applyFont="1" applyFill="1" applyBorder="1" applyAlignment="1">
      <alignment horizontal="center" vertical="center"/>
    </xf>
    <xf numFmtId="10" fontId="11" fillId="2" borderId="45" xfId="0" applyNumberFormat="1" applyFont="1" applyFill="1" applyBorder="1" applyAlignment="1">
      <alignment horizontal="center" vertical="center"/>
    </xf>
    <xf numFmtId="10" fontId="3" fillId="2" borderId="54" xfId="0" applyNumberFormat="1" applyFont="1" applyFill="1" applyBorder="1" applyAlignment="1">
      <alignment horizontal="center" vertical="center"/>
    </xf>
    <xf numFmtId="10" fontId="11" fillId="2" borderId="49" xfId="0" applyNumberFormat="1" applyFont="1" applyFill="1" applyBorder="1" applyAlignment="1">
      <alignment horizontal="center" vertical="center"/>
    </xf>
    <xf numFmtId="10" fontId="7" fillId="2" borderId="10" xfId="0" applyNumberFormat="1" applyFont="1" applyFill="1" applyBorder="1" applyAlignment="1">
      <alignment horizontal="center" vertical="center"/>
    </xf>
    <xf numFmtId="10" fontId="7" fillId="2" borderId="1" xfId="0" applyNumberFormat="1" applyFont="1" applyFill="1" applyBorder="1" applyAlignment="1">
      <alignment horizontal="center" vertical="center"/>
    </xf>
    <xf numFmtId="10" fontId="7" fillId="2" borderId="5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2" borderId="9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0" fontId="3" fillId="2" borderId="2" xfId="0" applyNumberFormat="1" applyFont="1" applyFill="1" applyBorder="1" applyAlignment="1" applyProtection="1">
      <alignment horizontal="center" vertical="center"/>
    </xf>
    <xf numFmtId="10" fontId="9" fillId="2" borderId="55" xfId="0" applyNumberFormat="1" applyFont="1" applyFill="1" applyBorder="1" applyAlignment="1">
      <alignment horizontal="center" vertical="center" wrapText="1"/>
    </xf>
    <xf numFmtId="10" fontId="2" fillId="2" borderId="56" xfId="0" applyNumberFormat="1" applyFont="1" applyFill="1" applyBorder="1" applyAlignment="1">
      <alignment horizontal="center" vertical="center"/>
    </xf>
    <xf numFmtId="10" fontId="2" fillId="2" borderId="57" xfId="0" applyNumberFormat="1" applyFont="1" applyFill="1" applyBorder="1" applyAlignment="1">
      <alignment horizontal="center" vertical="center"/>
    </xf>
    <xf numFmtId="10" fontId="7" fillId="3" borderId="4" xfId="0" applyNumberFormat="1" applyFont="1" applyFill="1" applyBorder="1" applyAlignment="1">
      <alignment horizontal="center" vertical="center"/>
    </xf>
    <xf numFmtId="10" fontId="7" fillId="3" borderId="9" xfId="0" applyNumberFormat="1" applyFont="1" applyFill="1" applyBorder="1" applyAlignment="1">
      <alignment horizontal="center" vertical="center"/>
    </xf>
    <xf numFmtId="10" fontId="2" fillId="2" borderId="58" xfId="0" applyNumberFormat="1" applyFont="1" applyFill="1" applyBorder="1" applyAlignment="1">
      <alignment horizontal="center" vertical="center"/>
    </xf>
    <xf numFmtId="10" fontId="2" fillId="2" borderId="59" xfId="0" applyNumberFormat="1" applyFont="1" applyFill="1" applyBorder="1" applyAlignment="1">
      <alignment horizontal="center" vertical="center"/>
    </xf>
    <xf numFmtId="10" fontId="7" fillId="2" borderId="6" xfId="0" applyNumberFormat="1" applyFont="1" applyFill="1" applyBorder="1" applyAlignment="1" applyProtection="1">
      <alignment horizontal="center" vertical="center"/>
    </xf>
    <xf numFmtId="0" fontId="7" fillId="2" borderId="2" xfId="0" applyNumberFormat="1" applyFont="1" applyFill="1" applyBorder="1" applyAlignment="1" applyProtection="1">
      <alignment horizontal="center" vertical="center"/>
    </xf>
    <xf numFmtId="176" fontId="13" fillId="5" borderId="14" xfId="0" applyNumberFormat="1" applyFont="1" applyFill="1" applyBorder="1" applyAlignment="1">
      <alignment horizontal="center" vertical="center"/>
    </xf>
    <xf numFmtId="176" fontId="13" fillId="5" borderId="1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0" fontId="7" fillId="2" borderId="9" xfId="0" applyNumberFormat="1" applyFont="1" applyFill="1" applyBorder="1" applyAlignment="1">
      <alignment horizontal="center" vertical="center"/>
    </xf>
    <xf numFmtId="10" fontId="7" fillId="2" borderId="4" xfId="0" applyNumberFormat="1" applyFont="1" applyFill="1" applyBorder="1" applyAlignment="1">
      <alignment horizontal="center" vertical="center"/>
    </xf>
    <xf numFmtId="10" fontId="9" fillId="2" borderId="24" xfId="0" applyNumberFormat="1" applyFont="1" applyFill="1" applyBorder="1" applyAlignment="1">
      <alignment horizontal="center" vertical="center" wrapText="1"/>
    </xf>
    <xf numFmtId="10" fontId="2" fillId="2" borderId="25" xfId="0" applyNumberFormat="1" applyFont="1" applyFill="1" applyBorder="1" applyAlignment="1">
      <alignment horizontal="center" vertical="center"/>
    </xf>
    <xf numFmtId="10" fontId="2" fillId="2" borderId="28" xfId="0" applyNumberFormat="1" applyFont="1" applyFill="1" applyBorder="1" applyAlignment="1">
      <alignment horizontal="center" vertical="center"/>
    </xf>
    <xf numFmtId="10" fontId="7" fillId="2" borderId="8" xfId="0" applyNumberFormat="1" applyFont="1" applyFill="1" applyBorder="1" applyAlignment="1">
      <alignment horizontal="center" vertical="center"/>
    </xf>
    <xf numFmtId="10" fontId="2" fillId="2" borderId="8" xfId="0" applyNumberFormat="1" applyFont="1" applyFill="1" applyBorder="1" applyAlignment="1">
      <alignment horizontal="center" vertical="center"/>
    </xf>
    <xf numFmtId="10" fontId="2" fillId="2" borderId="11" xfId="0" applyNumberFormat="1" applyFont="1" applyFill="1" applyBorder="1" applyAlignment="1">
      <alignment horizontal="center" vertical="center"/>
    </xf>
    <xf numFmtId="10" fontId="11" fillId="2" borderId="10" xfId="0" applyNumberFormat="1" applyFont="1" applyFill="1" applyBorder="1" applyAlignment="1">
      <alignment horizontal="center" vertical="center"/>
    </xf>
    <xf numFmtId="10" fontId="11" fillId="2" borderId="12" xfId="0" applyNumberFormat="1" applyFont="1" applyFill="1" applyBorder="1" applyAlignment="1">
      <alignment horizontal="center" vertical="center"/>
    </xf>
    <xf numFmtId="10" fontId="2" fillId="2" borderId="60" xfId="0" applyNumberFormat="1" applyFont="1" applyFill="1" applyBorder="1" applyAlignment="1">
      <alignment horizontal="center" vertical="center"/>
    </xf>
    <xf numFmtId="10" fontId="2" fillId="2" borderId="61" xfId="0" applyNumberFormat="1" applyFont="1" applyFill="1" applyBorder="1" applyAlignment="1">
      <alignment horizontal="center" vertical="center"/>
    </xf>
    <xf numFmtId="10" fontId="11" fillId="2" borderId="8" xfId="0" applyNumberFormat="1" applyFont="1" applyFill="1" applyBorder="1" applyAlignment="1">
      <alignment horizontal="center" vertical="center"/>
    </xf>
    <xf numFmtId="10" fontId="2" fillId="2" borderId="27" xfId="0" applyNumberFormat="1" applyFont="1" applyFill="1" applyBorder="1" applyAlignment="1">
      <alignment horizontal="center" vertical="center"/>
    </xf>
    <xf numFmtId="10" fontId="3" fillId="2" borderId="46" xfId="0" applyNumberFormat="1" applyFont="1" applyFill="1" applyBorder="1" applyAlignment="1">
      <alignment horizontal="left" vertical="center" indent="1"/>
    </xf>
    <xf numFmtId="10" fontId="3" fillId="2" borderId="47" xfId="0" applyNumberFormat="1" applyFont="1" applyFill="1" applyBorder="1" applyAlignment="1">
      <alignment horizontal="left" vertical="center" indent="1"/>
    </xf>
    <xf numFmtId="10" fontId="3" fillId="2" borderId="48" xfId="0" applyNumberFormat="1" applyFont="1" applyFill="1" applyBorder="1" applyAlignment="1">
      <alignment horizontal="left" vertical="center" indent="1"/>
    </xf>
    <xf numFmtId="10" fontId="2" fillId="2" borderId="29" xfId="0" applyNumberFormat="1" applyFont="1" applyFill="1" applyBorder="1" applyAlignment="1">
      <alignment horizontal="center" vertical="center"/>
    </xf>
    <xf numFmtId="10" fontId="3" fillId="2" borderId="50" xfId="0" applyNumberFormat="1" applyFont="1" applyFill="1" applyBorder="1" applyAlignment="1">
      <alignment horizontal="left" vertical="center" indent="1"/>
    </xf>
    <xf numFmtId="10" fontId="3" fillId="2" borderId="51" xfId="0" applyNumberFormat="1" applyFont="1" applyFill="1" applyBorder="1" applyAlignment="1">
      <alignment horizontal="left" vertical="center" indent="1"/>
    </xf>
    <xf numFmtId="10" fontId="3" fillId="2" borderId="52" xfId="0" applyNumberFormat="1" applyFont="1" applyFill="1" applyBorder="1" applyAlignment="1">
      <alignment horizontal="left" vertical="center" indent="1"/>
    </xf>
    <xf numFmtId="178" fontId="11" fillId="2" borderId="6" xfId="0" applyNumberFormat="1" applyFont="1" applyFill="1" applyBorder="1" applyAlignment="1">
      <alignment horizontal="left" vertical="center" indent="1"/>
    </xf>
    <xf numFmtId="178" fontId="11" fillId="2" borderId="17" xfId="0" applyNumberFormat="1" applyFont="1" applyFill="1" applyBorder="1" applyAlignment="1">
      <alignment horizontal="left" vertical="center" indent="1"/>
    </xf>
    <xf numFmtId="178" fontId="11" fillId="2" borderId="3" xfId="0" applyNumberFormat="1" applyFont="1" applyFill="1" applyBorder="1" applyAlignment="1">
      <alignment horizontal="left" vertical="center" indent="1"/>
    </xf>
    <xf numFmtId="178" fontId="3" fillId="2" borderId="6" xfId="0" applyNumberFormat="1" applyFont="1" applyFill="1" applyBorder="1" applyAlignment="1">
      <alignment horizontal="left" vertical="center" indent="1"/>
    </xf>
    <xf numFmtId="178" fontId="3" fillId="2" borderId="17" xfId="0" applyNumberFormat="1" applyFont="1" applyFill="1" applyBorder="1" applyAlignment="1">
      <alignment horizontal="left" vertical="center" indent="1"/>
    </xf>
    <xf numFmtId="178" fontId="3" fillId="2" borderId="3" xfId="0" applyNumberFormat="1" applyFont="1" applyFill="1" applyBorder="1" applyAlignment="1">
      <alignment horizontal="left" vertical="center" indent="1"/>
    </xf>
    <xf numFmtId="10" fontId="2" fillId="2" borderId="62" xfId="0" applyNumberFormat="1" applyFont="1" applyFill="1" applyBorder="1" applyAlignment="1">
      <alignment horizontal="center" vertical="center"/>
    </xf>
    <xf numFmtId="10" fontId="7" fillId="2" borderId="3" xfId="0" applyNumberFormat="1" applyFont="1" applyFill="1" applyBorder="1" applyAlignment="1" applyProtection="1">
      <alignment horizontal="center" vertical="center"/>
    </xf>
    <xf numFmtId="10" fontId="7" fillId="2" borderId="31" xfId="0" applyNumberFormat="1" applyFont="1" applyFill="1" applyBorder="1" applyAlignment="1" applyProtection="1">
      <alignment horizontal="center" vertical="center"/>
    </xf>
    <xf numFmtId="10" fontId="7" fillId="2" borderId="2" xfId="0" applyNumberFormat="1" applyFont="1" applyFill="1" applyBorder="1" applyAlignment="1" applyProtection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176" fontId="7" fillId="2" borderId="13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 applyProtection="1">
      <alignment horizontal="center" vertical="center"/>
    </xf>
    <xf numFmtId="10" fontId="3" fillId="2" borderId="50" xfId="0" applyNumberFormat="1" applyFont="1" applyFill="1" applyBorder="1" applyAlignment="1">
      <alignment horizontal="center" vertical="center"/>
    </xf>
    <xf numFmtId="10" fontId="3" fillId="2" borderId="51" xfId="0" applyNumberFormat="1" applyFont="1" applyFill="1" applyBorder="1" applyAlignment="1">
      <alignment horizontal="center" vertical="center"/>
    </xf>
    <xf numFmtId="10" fontId="3" fillId="2" borderId="52" xfId="0" applyNumberFormat="1" applyFont="1" applyFill="1" applyBorder="1" applyAlignment="1">
      <alignment horizontal="center" vertical="center"/>
    </xf>
    <xf numFmtId="177" fontId="3" fillId="2" borderId="9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/>
    </xf>
    <xf numFmtId="179" fontId="13" fillId="7" borderId="0" xfId="0" applyNumberFormat="1" applyFont="1" applyFill="1" applyAlignment="1">
      <alignment horizontal="center" vertical="center"/>
    </xf>
    <xf numFmtId="180" fontId="13" fillId="7" borderId="0" xfId="0" applyNumberFormat="1" applyFont="1" applyFill="1" applyAlignment="1">
      <alignment horizontal="center" vertical="center"/>
    </xf>
    <xf numFmtId="181" fontId="13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0" xfId="0" applyFont="1" applyFill="1"/>
    <xf numFmtId="180" fontId="3" fillId="7" borderId="0" xfId="0" applyNumberFormat="1" applyFont="1" applyFill="1" applyAlignment="1">
      <alignment horizontal="right" vertical="center"/>
    </xf>
    <xf numFmtId="181" fontId="3" fillId="7" borderId="0" xfId="0" applyNumberFormat="1" applyFont="1" applyFill="1" applyAlignment="1">
      <alignment horizontal="center" vertical="center"/>
    </xf>
    <xf numFmtId="180" fontId="13" fillId="7" borderId="0" xfId="0" applyNumberFormat="1" applyFont="1" applyFill="1" applyAlignment="1">
      <alignment horizontal="right" vertical="center"/>
    </xf>
    <xf numFmtId="180" fontId="11" fillId="7" borderId="0" xfId="0" applyNumberFormat="1" applyFont="1" applyFill="1" applyAlignment="1">
      <alignment horizontal="right" vertical="center"/>
    </xf>
    <xf numFmtId="181" fontId="11" fillId="7" borderId="0" xfId="0" applyNumberFormat="1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82" fontId="2" fillId="5" borderId="0" xfId="0" applyNumberFormat="1" applyFont="1" applyFill="1" applyAlignment="1">
      <alignment horizontal="center" vertical="center"/>
    </xf>
    <xf numFmtId="183" fontId="2" fillId="5" borderId="0" xfId="0" applyNumberFormat="1" applyFont="1" applyFill="1" applyAlignment="1">
      <alignment horizontal="center" vertical="center"/>
    </xf>
    <xf numFmtId="184" fontId="2" fillId="5" borderId="0" xfId="0" applyNumberFormat="1" applyFont="1" applyFill="1" applyAlignment="1">
      <alignment horizontal="center" vertical="center"/>
    </xf>
    <xf numFmtId="183" fontId="2" fillId="5" borderId="63" xfId="0" applyNumberFormat="1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10" fontId="2" fillId="5" borderId="0" xfId="0" applyNumberFormat="1" applyFont="1" applyFill="1" applyAlignment="1">
      <alignment horizontal="center" vertical="center"/>
    </xf>
    <xf numFmtId="185" fontId="2" fillId="5" borderId="63" xfId="0" applyNumberFormat="1" applyFont="1" applyFill="1" applyBorder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83" fontId="2" fillId="5" borderId="2" xfId="0" applyNumberFormat="1" applyFont="1" applyFill="1" applyBorder="1" applyAlignment="1">
      <alignment horizontal="center" vertical="center"/>
    </xf>
    <xf numFmtId="182" fontId="2" fillId="5" borderId="2" xfId="0" applyNumberFormat="1" applyFont="1" applyFill="1" applyBorder="1" applyAlignment="1">
      <alignment horizontal="center" vertical="center"/>
    </xf>
    <xf numFmtId="186" fontId="3" fillId="5" borderId="2" xfId="0" applyNumberFormat="1" applyFont="1" applyFill="1" applyBorder="1" applyAlignment="1">
      <alignment horizontal="center" vertical="center"/>
    </xf>
    <xf numFmtId="182" fontId="3" fillId="5" borderId="2" xfId="0" applyNumberFormat="1" applyFont="1" applyFill="1" applyBorder="1" applyAlignment="1">
      <alignment horizontal="center" vertical="center"/>
    </xf>
    <xf numFmtId="183" fontId="3" fillId="5" borderId="2" xfId="0" applyNumberFormat="1" applyFont="1" applyFill="1" applyBorder="1" applyAlignment="1">
      <alignment horizontal="center" vertical="center"/>
    </xf>
    <xf numFmtId="183" fontId="13" fillId="5" borderId="2" xfId="0" applyNumberFormat="1" applyFont="1" applyFill="1" applyBorder="1" applyAlignment="1">
      <alignment horizontal="center" vertical="center"/>
    </xf>
    <xf numFmtId="186" fontId="3" fillId="5" borderId="64" xfId="0" applyNumberFormat="1" applyFont="1" applyFill="1" applyBorder="1" applyAlignment="1">
      <alignment horizontal="center" vertical="center"/>
    </xf>
    <xf numFmtId="183" fontId="2" fillId="5" borderId="64" xfId="0" applyNumberFormat="1" applyFont="1" applyFill="1" applyBorder="1" applyAlignment="1">
      <alignment horizontal="center" vertical="center"/>
    </xf>
    <xf numFmtId="182" fontId="2" fillId="5" borderId="64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82" fontId="2" fillId="5" borderId="13" xfId="0" applyNumberFormat="1" applyFont="1" applyFill="1" applyBorder="1" applyAlignment="1">
      <alignment horizontal="center" vertical="center"/>
    </xf>
    <xf numFmtId="183" fontId="2" fillId="5" borderId="13" xfId="0" applyNumberFormat="1" applyFont="1" applyFill="1" applyBorder="1" applyAlignment="1">
      <alignment horizontal="center" vertical="center"/>
    </xf>
    <xf numFmtId="184" fontId="2" fillId="5" borderId="13" xfId="0" applyNumberFormat="1" applyFont="1" applyFill="1" applyBorder="1" applyAlignment="1">
      <alignment horizontal="center" vertical="center"/>
    </xf>
    <xf numFmtId="183" fontId="3" fillId="5" borderId="13" xfId="0" applyNumberFormat="1" applyFont="1" applyFill="1" applyBorder="1" applyAlignment="1">
      <alignment horizontal="center" vertical="center"/>
    </xf>
    <xf numFmtId="184" fontId="3" fillId="5" borderId="13" xfId="0" applyNumberFormat="1" applyFont="1" applyFill="1" applyBorder="1" applyAlignment="1">
      <alignment horizontal="center" vertical="center"/>
    </xf>
    <xf numFmtId="185" fontId="2" fillId="5" borderId="13" xfId="0" applyNumberFormat="1" applyFont="1" applyFill="1" applyBorder="1" applyAlignment="1">
      <alignment horizontal="center" vertical="center"/>
    </xf>
    <xf numFmtId="10" fontId="3" fillId="5" borderId="13" xfId="0" applyNumberFormat="1" applyFont="1" applyFill="1" applyBorder="1" applyAlignment="1">
      <alignment horizontal="center" vertical="center"/>
    </xf>
    <xf numFmtId="185" fontId="3" fillId="5" borderId="13" xfId="0" applyNumberFormat="1" applyFont="1" applyFill="1" applyBorder="1" applyAlignment="1">
      <alignment horizontal="center" vertical="center"/>
    </xf>
    <xf numFmtId="10" fontId="3" fillId="5" borderId="13" xfId="0" applyNumberFormat="1" applyFont="1" applyFill="1" applyBorder="1" applyAlignment="1">
      <alignment horizontal="center"/>
    </xf>
    <xf numFmtId="183" fontId="11" fillId="5" borderId="13" xfId="0" applyNumberFormat="1" applyFont="1" applyFill="1" applyBorder="1" applyAlignment="1">
      <alignment horizontal="center" vertical="center"/>
    </xf>
    <xf numFmtId="10" fontId="11" fillId="5" borderId="13" xfId="0" applyNumberFormat="1" applyFont="1" applyFill="1" applyBorder="1" applyAlignment="1">
      <alignment horizontal="center"/>
    </xf>
    <xf numFmtId="10" fontId="11" fillId="5" borderId="13" xfId="0" applyNumberFormat="1" applyFont="1" applyFill="1" applyBorder="1" applyAlignment="1">
      <alignment horizontal="center" vertical="center"/>
    </xf>
    <xf numFmtId="185" fontId="11" fillId="5" borderId="13" xfId="0" applyNumberFormat="1" applyFont="1" applyFill="1" applyBorder="1" applyAlignment="1">
      <alignment horizontal="center" vertical="center"/>
    </xf>
    <xf numFmtId="183" fontId="17" fillId="5" borderId="13" xfId="0" applyNumberFormat="1" applyFont="1" applyFill="1" applyBorder="1" applyAlignment="1">
      <alignment horizontal="center" vertical="center"/>
    </xf>
    <xf numFmtId="10" fontId="17" fillId="5" borderId="13" xfId="0" applyNumberFormat="1" applyFont="1" applyFill="1" applyBorder="1" applyAlignment="1">
      <alignment horizontal="center" vertical="center"/>
    </xf>
    <xf numFmtId="185" fontId="17" fillId="5" borderId="13" xfId="0" applyNumberFormat="1" applyFont="1" applyFill="1" applyBorder="1" applyAlignment="1">
      <alignment horizontal="center" vertical="center"/>
    </xf>
    <xf numFmtId="187" fontId="11" fillId="5" borderId="13" xfId="0" applyNumberFormat="1" applyFont="1" applyFill="1" applyBorder="1" applyAlignment="1">
      <alignment horizontal="center" vertical="center"/>
    </xf>
    <xf numFmtId="178" fontId="2" fillId="5" borderId="13" xfId="0" applyNumberFormat="1" applyFont="1" applyFill="1" applyBorder="1" applyAlignment="1">
      <alignment horizontal="center" vertical="center"/>
    </xf>
    <xf numFmtId="178" fontId="3" fillId="5" borderId="13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186" fontId="2" fillId="5" borderId="0" xfId="0" applyNumberFormat="1" applyFont="1" applyFill="1" applyAlignment="1">
      <alignment horizontal="center" vertical="center"/>
    </xf>
    <xf numFmtId="178" fontId="11" fillId="5" borderId="13" xfId="0" applyNumberFormat="1" applyFont="1" applyFill="1" applyBorder="1" applyAlignment="1">
      <alignment horizontal="center" vertical="center"/>
    </xf>
    <xf numFmtId="183" fontId="2" fillId="5" borderId="0" xfId="0" applyNumberFormat="1" applyFont="1" applyFill="1" applyBorder="1" applyAlignment="1">
      <alignment horizontal="center" vertical="center"/>
    </xf>
    <xf numFmtId="186" fontId="3" fillId="5" borderId="0" xfId="0" applyNumberFormat="1" applyFont="1" applyFill="1" applyBorder="1" applyAlignment="1">
      <alignment horizontal="center" vertical="center"/>
    </xf>
    <xf numFmtId="186" fontId="2" fillId="5" borderId="0" xfId="0" applyNumberFormat="1" applyFont="1" applyFill="1" applyBorder="1" applyAlignment="1">
      <alignment horizontal="center" vertical="center"/>
    </xf>
    <xf numFmtId="185" fontId="3" fillId="5" borderId="0" xfId="0" applyNumberFormat="1" applyFont="1" applyFill="1" applyAlignment="1">
      <alignment horizontal="center" vertical="center"/>
    </xf>
    <xf numFmtId="183" fontId="3" fillId="5" borderId="0" xfId="0" applyNumberFormat="1" applyFont="1" applyFill="1" applyAlignment="1">
      <alignment horizontal="center" vertical="center"/>
    </xf>
    <xf numFmtId="182" fontId="2" fillId="5" borderId="0" xfId="0" applyNumberFormat="1" applyFont="1" applyFill="1" applyBorder="1" applyAlignment="1">
      <alignment horizontal="center" vertical="center"/>
    </xf>
    <xf numFmtId="182" fontId="3" fillId="5" borderId="0" xfId="0" applyNumberFormat="1" applyFont="1" applyFill="1" applyBorder="1" applyAlignment="1">
      <alignment horizontal="center" vertical="center"/>
    </xf>
    <xf numFmtId="183" fontId="3" fillId="5" borderId="0" xfId="0" applyNumberFormat="1" applyFont="1" applyFill="1" applyBorder="1" applyAlignment="1">
      <alignment horizontal="center" vertical="center"/>
    </xf>
    <xf numFmtId="183" fontId="12" fillId="5" borderId="13" xfId="0" applyNumberFormat="1" applyFont="1" applyFill="1" applyBorder="1" applyAlignment="1">
      <alignment horizontal="center" vertical="center"/>
    </xf>
    <xf numFmtId="10" fontId="12" fillId="5" borderId="13" xfId="0" applyNumberFormat="1" applyFont="1" applyFill="1" applyBorder="1" applyAlignment="1">
      <alignment horizontal="center" vertical="center"/>
    </xf>
    <xf numFmtId="185" fontId="12" fillId="5" borderId="13" xfId="0" applyNumberFormat="1" applyFont="1" applyFill="1" applyBorder="1" applyAlignment="1">
      <alignment horizontal="center" vertical="center"/>
    </xf>
    <xf numFmtId="10" fontId="11" fillId="5" borderId="13" xfId="0" applyNumberFormat="1" applyFont="1" applyFill="1" applyBorder="1" applyAlignment="1" applyProtection="1">
      <alignment horizontal="center" vertical="center"/>
    </xf>
    <xf numFmtId="185" fontId="2" fillId="5" borderId="0" xfId="0" applyNumberFormat="1" applyFont="1" applyFill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8" fillId="8" borderId="0" xfId="0" applyFont="1" applyFill="1"/>
    <xf numFmtId="0" fontId="18" fillId="8" borderId="0" xfId="0" applyFont="1" applyFill="1" applyAlignment="1">
      <alignment horizontal="center"/>
    </xf>
    <xf numFmtId="0" fontId="19" fillId="8" borderId="0" xfId="0" applyFont="1" applyFill="1" applyAlignment="1">
      <alignment horizontal="left"/>
    </xf>
    <xf numFmtId="0" fontId="19" fillId="8" borderId="0" xfId="0" applyFont="1" applyFill="1"/>
    <xf numFmtId="0" fontId="18" fillId="8" borderId="1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left" vertical="center"/>
    </xf>
    <xf numFmtId="0" fontId="18" fillId="8" borderId="15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left"/>
    </xf>
    <xf numFmtId="0" fontId="18" fillId="8" borderId="13" xfId="0" applyFont="1" applyFill="1" applyBorder="1" applyAlignment="1">
      <alignment horizontal="left" wrapText="1"/>
    </xf>
    <xf numFmtId="0" fontId="18" fillId="8" borderId="16" xfId="0" applyFont="1" applyFill="1" applyBorder="1" applyAlignment="1">
      <alignment horizontal="center" vertical="center"/>
    </xf>
    <xf numFmtId="0" fontId="18" fillId="8" borderId="13" xfId="0" applyFont="1" applyFill="1" applyBorder="1"/>
    <xf numFmtId="0" fontId="18" fillId="8" borderId="0" xfId="0" applyFont="1" applyFill="1" applyAlignment="1">
      <alignment horizontal="left"/>
    </xf>
    <xf numFmtId="10" fontId="7" fillId="2" borderId="6" xfId="0" applyNumberFormat="1" applyFont="1" applyFill="1" applyBorder="1" applyAlignment="1" quotePrefix="1">
      <alignment horizontal="center" vertical="center"/>
    </xf>
    <xf numFmtId="10" fontId="7" fillId="2" borderId="2" xfId="0" applyNumberFormat="1" applyFont="1" applyFill="1" applyBorder="1" applyAlignment="1" quotePrefix="1">
      <alignment horizontal="center" vertical="center"/>
    </xf>
    <xf numFmtId="10" fontId="7" fillId="2" borderId="31" xfId="0" applyNumberFormat="1" applyFont="1" applyFill="1" applyBorder="1" applyAlignment="1" quotePrefix="1">
      <alignment horizontal="center" vertical="center"/>
    </xf>
    <xf numFmtId="10" fontId="7" fillId="2" borderId="3" xfId="0" applyNumberFormat="1" applyFont="1" applyFill="1" applyBorder="1" applyAlignment="1" quotePrefix="1">
      <alignment horizontal="center" vertical="center"/>
    </xf>
    <xf numFmtId="10" fontId="3" fillId="2" borderId="3" xfId="0" applyNumberFormat="1" applyFont="1" applyFill="1" applyBorder="1" applyAlignment="1" quotePrefix="1">
      <alignment horizontal="center" vertical="center"/>
    </xf>
    <xf numFmtId="10" fontId="8" fillId="3" borderId="6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rgb="FFFFC000"/>
      </font>
    </dxf>
    <dxf>
      <font>
        <color theme="0"/>
      </font>
    </dxf>
    <dxf>
      <font>
        <color rgb="FF00B050"/>
      </font>
      <fill>
        <patternFill patternType="solid">
          <bgColor theme="1"/>
        </patternFill>
      </fill>
    </dxf>
    <dxf>
      <font>
        <color rgb="FFFFC00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00CC00CC"/>
      <color rgb="006666FF"/>
      <color rgb="00CC66FF"/>
      <color rgb="00131313"/>
      <color rgb="00272727"/>
      <color rgb="009966FF"/>
      <color rgb="00FF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blipFill>
                  <a:blip r:embed="rId1"/>
                  <a:tile tx="0" ty="0" sx="100000" sy="100000" flip="none" algn="tl"/>
                </a:blip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/>
              <a:t>涨幅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44939045981081"/>
          <c:y val="0.0923919242614349"/>
          <c:w val="0.9284941069351"/>
          <c:h val="0.781726930534961"/>
        </c:manualLayout>
      </c:layout>
      <c:lineChart>
        <c:grouping val="standard"/>
        <c:varyColors val="0"/>
        <c:ser>
          <c:idx val="1"/>
          <c:order val="0"/>
          <c:tx>
            <c:strRef>
              <c:f>收益表!$I$15</c:f>
              <c:strCache>
                <c:ptCount val="1"/>
                <c:pt idx="0">
                  <c:v>Ratio(1.0%)</c:v>
                </c:pt>
              </c:strCache>
            </c:strRef>
          </c:tx>
          <c:spPr>
            <a:ln w="349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收益表!$A$16:$A$116</c:f>
              <c:numCache>
                <c:formatCode>yyyy\-mm\-dd;@</c:formatCode>
                <c:ptCount val="101"/>
                <c:pt idx="0" c:formatCode="yyyy\-mm\-dd;@">
                  <c:v>45586</c:v>
                </c:pt>
                <c:pt idx="1" c:formatCode="yyyy\-mm\-dd;@">
                  <c:v>45587</c:v>
                </c:pt>
                <c:pt idx="2" c:formatCode="yyyy\-mm\-dd;@">
                  <c:v>45588</c:v>
                </c:pt>
                <c:pt idx="3" c:formatCode="yyyy\-mm\-dd;@">
                  <c:v>45589</c:v>
                </c:pt>
                <c:pt idx="4" c:formatCode="yyyy\-mm\-dd;@">
                  <c:v>45590</c:v>
                </c:pt>
                <c:pt idx="5" c:formatCode="yyyy\-mm\-dd;@">
                  <c:v>45593</c:v>
                </c:pt>
                <c:pt idx="6" c:formatCode="yyyy\-mm\-dd;@">
                  <c:v>45594</c:v>
                </c:pt>
                <c:pt idx="7" c:formatCode="yyyy\-mm\-dd;@">
                  <c:v>45595</c:v>
                </c:pt>
                <c:pt idx="8" c:formatCode="yyyy\-mm\-dd;@">
                  <c:v>45596</c:v>
                </c:pt>
                <c:pt idx="9" c:formatCode="yyyy\-mm\-dd;@">
                  <c:v>45597</c:v>
                </c:pt>
                <c:pt idx="10" c:formatCode="yyyy\-mm\-dd;@">
                  <c:v>45600</c:v>
                </c:pt>
                <c:pt idx="11" c:formatCode="yyyy\-mm\-dd;@">
                  <c:v>45601</c:v>
                </c:pt>
                <c:pt idx="12" c:formatCode="yyyy\-mm\-dd;@">
                  <c:v>45602</c:v>
                </c:pt>
                <c:pt idx="13" c:formatCode="yyyy\-mm\-dd;@">
                  <c:v>45603</c:v>
                </c:pt>
                <c:pt idx="14" c:formatCode="yyyy\-mm\-dd;@">
                  <c:v>45604</c:v>
                </c:pt>
                <c:pt idx="15" c:formatCode="yyyy\-mm\-dd;@">
                  <c:v>45607</c:v>
                </c:pt>
                <c:pt idx="16" c:formatCode="yyyy\-mm\-dd;@">
                  <c:v>45608</c:v>
                </c:pt>
                <c:pt idx="17" c:formatCode="yyyy\-mm\-dd;@">
                  <c:v>45609</c:v>
                </c:pt>
                <c:pt idx="18" c:formatCode="yyyy\-mm\-dd;@">
                  <c:v>45610</c:v>
                </c:pt>
                <c:pt idx="19" c:formatCode="yyyy\-mm\-dd;@">
                  <c:v>45611</c:v>
                </c:pt>
                <c:pt idx="20" c:formatCode="yyyy\-mm\-dd;@">
                  <c:v>45614</c:v>
                </c:pt>
                <c:pt idx="21" c:formatCode="yyyy\-mm\-dd;@">
                  <c:v>45615</c:v>
                </c:pt>
                <c:pt idx="22" c:formatCode="yyyy\-mm\-dd;@">
                  <c:v>45616</c:v>
                </c:pt>
                <c:pt idx="23" c:formatCode="yyyy\-mm\-dd;@">
                  <c:v>45617</c:v>
                </c:pt>
                <c:pt idx="24" c:formatCode="yyyy\-mm\-dd;@">
                  <c:v>45618</c:v>
                </c:pt>
                <c:pt idx="25" c:formatCode="yyyy\-mm\-dd;@">
                  <c:v>45621</c:v>
                </c:pt>
                <c:pt idx="26" c:formatCode="yyyy\-mm\-dd;@">
                  <c:v>45622</c:v>
                </c:pt>
                <c:pt idx="27" c:formatCode="yyyy\-mm\-dd;@">
                  <c:v>45623</c:v>
                </c:pt>
                <c:pt idx="28" c:formatCode="yyyy\-mm\-dd;@">
                  <c:v>45624</c:v>
                </c:pt>
                <c:pt idx="29" c:formatCode="yyyy\-mm\-dd;@">
                  <c:v>45625</c:v>
                </c:pt>
                <c:pt idx="30" c:formatCode="yyyy\-mm\-dd;@">
                  <c:v>45628</c:v>
                </c:pt>
                <c:pt idx="31" c:formatCode="yyyy\-mm\-dd;@">
                  <c:v>45629</c:v>
                </c:pt>
                <c:pt idx="32" c:formatCode="yyyy\-mm\-dd;@">
                  <c:v>45630</c:v>
                </c:pt>
                <c:pt idx="33" c:formatCode="yyyy\-mm\-dd;@">
                  <c:v>45631</c:v>
                </c:pt>
                <c:pt idx="34" c:formatCode="yyyy\-mm\-dd;@">
                  <c:v>45632</c:v>
                </c:pt>
                <c:pt idx="35" c:formatCode="yyyy\-mm\-dd;@">
                  <c:v>45635</c:v>
                </c:pt>
                <c:pt idx="36" c:formatCode="yyyy\-mm\-dd;@">
                  <c:v>45636</c:v>
                </c:pt>
                <c:pt idx="37" c:formatCode="yyyy\-mm\-dd;@">
                  <c:v>45637</c:v>
                </c:pt>
                <c:pt idx="38" c:formatCode="yyyy\-mm\-dd;@">
                  <c:v>45638</c:v>
                </c:pt>
                <c:pt idx="39" c:formatCode="yyyy\-mm\-dd;@">
                  <c:v>45639</c:v>
                </c:pt>
                <c:pt idx="40" c:formatCode="yyyy\-mm\-dd;@">
                  <c:v>45642</c:v>
                </c:pt>
                <c:pt idx="41" c:formatCode="yyyy\-mm\-dd;@">
                  <c:v>45643</c:v>
                </c:pt>
                <c:pt idx="42" c:formatCode="yyyy\-mm\-dd;@">
                  <c:v>45644</c:v>
                </c:pt>
                <c:pt idx="43" c:formatCode="yyyy\-mm\-dd;@">
                  <c:v>45645</c:v>
                </c:pt>
                <c:pt idx="44" c:formatCode="yyyy\-mm\-dd;@">
                  <c:v>45646</c:v>
                </c:pt>
                <c:pt idx="45" c:formatCode="yyyy\-mm\-dd;@">
                  <c:v>45649</c:v>
                </c:pt>
                <c:pt idx="46" c:formatCode="yyyy\-mm\-dd;@">
                  <c:v>45650</c:v>
                </c:pt>
                <c:pt idx="47" c:formatCode="yyyy\-mm\-dd;@">
                  <c:v>45651</c:v>
                </c:pt>
                <c:pt idx="48" c:formatCode="yyyy\-mm\-dd;@">
                  <c:v>45652</c:v>
                </c:pt>
                <c:pt idx="49" c:formatCode="yyyy\-mm\-dd;@">
                  <c:v>45653</c:v>
                </c:pt>
                <c:pt idx="50" c:formatCode="yyyy\-mm\-dd;@">
                  <c:v>45656</c:v>
                </c:pt>
                <c:pt idx="51" c:formatCode="yyyy\-mm\-dd;@">
                  <c:v>45657</c:v>
                </c:pt>
                <c:pt idx="52" c:formatCode="yyyy\-mm\-dd;@">
                  <c:v>45659</c:v>
                </c:pt>
                <c:pt idx="53" c:formatCode="yyyy\-mm\-dd;@">
                  <c:v>45660</c:v>
                </c:pt>
                <c:pt idx="54" c:formatCode="yyyy\-mm\-dd;@">
                  <c:v>45663</c:v>
                </c:pt>
                <c:pt idx="55" c:formatCode="yyyy\-mm\-dd;@">
                  <c:v>45664</c:v>
                </c:pt>
                <c:pt idx="56" c:formatCode="yyyy\-mm\-dd;@">
                  <c:v>45665</c:v>
                </c:pt>
                <c:pt idx="57" c:formatCode="yyyy\-mm\-dd;@">
                  <c:v>45666</c:v>
                </c:pt>
                <c:pt idx="58" c:formatCode="yyyy\-mm\-dd;@">
                  <c:v>45667</c:v>
                </c:pt>
                <c:pt idx="59" c:formatCode="yyyy\-mm\-dd;@">
                  <c:v>45670</c:v>
                </c:pt>
                <c:pt idx="60" c:formatCode="yyyy\-mm\-dd;@">
                  <c:v>45671</c:v>
                </c:pt>
                <c:pt idx="61" c:formatCode="yyyy\-mm\-dd;@">
                  <c:v>45672</c:v>
                </c:pt>
                <c:pt idx="62" c:formatCode="yyyy\-mm\-dd;@">
                  <c:v>45673</c:v>
                </c:pt>
                <c:pt idx="63" c:formatCode="yyyy\-mm\-dd;@">
                  <c:v>45674</c:v>
                </c:pt>
                <c:pt idx="64" c:formatCode="yyyy\-mm\-dd;@">
                  <c:v>45677</c:v>
                </c:pt>
                <c:pt idx="65" c:formatCode="yyyy\-mm\-dd;@">
                  <c:v>45678</c:v>
                </c:pt>
                <c:pt idx="66" c:formatCode="yyyy\-mm\-dd;@">
                  <c:v>45679</c:v>
                </c:pt>
                <c:pt idx="67" c:formatCode="yyyy\-mm\-dd;@">
                  <c:v>45680</c:v>
                </c:pt>
                <c:pt idx="68" c:formatCode="yyyy\-mm\-dd;@">
                  <c:v>45681</c:v>
                </c:pt>
                <c:pt idx="69" c:formatCode="yyyy\-mm\-dd;@">
                  <c:v>45684</c:v>
                </c:pt>
                <c:pt idx="70" c:formatCode="yyyy\-mm\-dd;@">
                  <c:v>45693</c:v>
                </c:pt>
                <c:pt idx="71" c:formatCode="yyyy\-mm\-dd;@">
                  <c:v>45694</c:v>
                </c:pt>
                <c:pt idx="72" c:formatCode="yyyy\-mm\-dd;@">
                  <c:v>45695</c:v>
                </c:pt>
                <c:pt idx="73" c:formatCode="yyyy\-mm\-dd;@">
                  <c:v>45698</c:v>
                </c:pt>
                <c:pt idx="74" c:formatCode="yyyy\-mm\-dd;@">
                  <c:v>45699</c:v>
                </c:pt>
                <c:pt idx="75" c:formatCode="yyyy\-mm\-dd;@">
                  <c:v>45700</c:v>
                </c:pt>
                <c:pt idx="76" c:formatCode="yyyy\-mm\-dd;@">
                  <c:v>45701</c:v>
                </c:pt>
                <c:pt idx="77" c:formatCode="yyyy\-mm\-dd;@">
                  <c:v>45702</c:v>
                </c:pt>
                <c:pt idx="78" c:formatCode="yyyy\-mm\-dd;@">
                  <c:v>45705</c:v>
                </c:pt>
                <c:pt idx="79" c:formatCode="yyyy\-mm\-dd;@">
                  <c:v>45706</c:v>
                </c:pt>
                <c:pt idx="80" c:formatCode="yyyy\-mm\-dd;@">
                  <c:v>45707</c:v>
                </c:pt>
                <c:pt idx="81" c:formatCode="yyyy\-mm\-dd;@">
                  <c:v>45708</c:v>
                </c:pt>
                <c:pt idx="82" c:formatCode="yyyy\-mm\-dd;@">
                  <c:v>45709</c:v>
                </c:pt>
                <c:pt idx="83" c:formatCode="yyyy\-mm\-dd;@">
                  <c:v>45712</c:v>
                </c:pt>
                <c:pt idx="84" c:formatCode="yyyy\-mm\-dd;@">
                  <c:v>45713</c:v>
                </c:pt>
                <c:pt idx="85" c:formatCode="yyyy\-mm\-dd;@">
                  <c:v>45714</c:v>
                </c:pt>
                <c:pt idx="86" c:formatCode="yyyy\-mm\-dd;@">
                  <c:v>45715</c:v>
                </c:pt>
                <c:pt idx="87" c:formatCode="yyyy\-mm\-dd;@">
                  <c:v>45716</c:v>
                </c:pt>
                <c:pt idx="88" c:formatCode="yyyy\-mm\-dd;@">
                  <c:v>45719</c:v>
                </c:pt>
                <c:pt idx="89" c:formatCode="yyyy\-mm\-dd;@">
                  <c:v>45720</c:v>
                </c:pt>
                <c:pt idx="90" c:formatCode="yyyy\-mm\-dd;@">
                  <c:v>45721</c:v>
                </c:pt>
                <c:pt idx="91" c:formatCode="yyyy\-mm\-dd;@">
                  <c:v>45722</c:v>
                </c:pt>
                <c:pt idx="92" c:formatCode="yyyy\-mm\-dd;@">
                  <c:v>45723</c:v>
                </c:pt>
                <c:pt idx="93" c:formatCode="yyyy\-mm\-dd;@">
                  <c:v>45726</c:v>
                </c:pt>
                <c:pt idx="94" c:formatCode="yyyy\-mm\-dd;@">
                  <c:v>45727</c:v>
                </c:pt>
                <c:pt idx="95" c:formatCode="yyyy\-mm\-dd;@">
                  <c:v>45728</c:v>
                </c:pt>
                <c:pt idx="96" c:formatCode="yyyy\-mm\-dd;@">
                  <c:v>45729</c:v>
                </c:pt>
                <c:pt idx="97" c:formatCode="yyyy\-mm\-dd;@">
                  <c:v>45730</c:v>
                </c:pt>
                <c:pt idx="98" c:formatCode="yyyy\-mm\-dd;@">
                  <c:v>45733</c:v>
                </c:pt>
                <c:pt idx="99" c:formatCode="yyyy\-mm\-dd;@">
                  <c:v>45734</c:v>
                </c:pt>
                <c:pt idx="100" c:formatCode="yyyy\-mm\-dd;@">
                  <c:v>45735</c:v>
                </c:pt>
              </c:numCache>
            </c:numRef>
          </c:cat>
          <c:val>
            <c:numRef>
              <c:f>收益表!$P$16:$P$116</c:f>
              <c:numCache>
                <c:formatCode>0.00%</c:formatCode>
                <c:ptCount val="101"/>
                <c:pt idx="70">
                  <c:v>0</c:v>
                </c:pt>
                <c:pt idx="71">
                  <c:v>0.01</c:v>
                </c:pt>
                <c:pt idx="72">
                  <c:v>0.0201</c:v>
                </c:pt>
                <c:pt idx="73">
                  <c:v>0.0303010000000001</c:v>
                </c:pt>
                <c:pt idx="74">
                  <c:v>0.04060401</c:v>
                </c:pt>
                <c:pt idx="75">
                  <c:v>0.0510100501000001</c:v>
                </c:pt>
                <c:pt idx="76">
                  <c:v>0.0615201506010001</c:v>
                </c:pt>
                <c:pt idx="77">
                  <c:v>0.0721353521070101</c:v>
                </c:pt>
                <c:pt idx="78">
                  <c:v>0.0828567056280802</c:v>
                </c:pt>
                <c:pt idx="79">
                  <c:v>0.0936852726843609</c:v>
                </c:pt>
                <c:pt idx="80">
                  <c:v>0.104622125411205</c:v>
                </c:pt>
                <c:pt idx="81">
                  <c:v>0.115668346665317</c:v>
                </c:pt>
                <c:pt idx="82">
                  <c:v>0.12682503013197</c:v>
                </c:pt>
                <c:pt idx="83">
                  <c:v>0.13809328043329</c:v>
                </c:pt>
                <c:pt idx="84">
                  <c:v>0.149474213237623</c:v>
                </c:pt>
                <c:pt idx="85">
                  <c:v>0.160968955369999</c:v>
                </c:pt>
                <c:pt idx="86">
                  <c:v>0.172578644923699</c:v>
                </c:pt>
                <c:pt idx="87">
                  <c:v>0.184304431372936</c:v>
                </c:pt>
                <c:pt idx="88">
                  <c:v>0.19614747568667</c:v>
                </c:pt>
                <c:pt idx="89">
                  <c:v>0.20810895044353</c:v>
                </c:pt>
                <c:pt idx="90">
                  <c:v>0.22019003994797</c:v>
                </c:pt>
                <c:pt idx="91">
                  <c:v>0.23239194034745</c:v>
                </c:pt>
                <c:pt idx="92">
                  <c:v>0.24471585975092</c:v>
                </c:pt>
                <c:pt idx="93">
                  <c:v>0.25716301834843</c:v>
                </c:pt>
                <c:pt idx="94">
                  <c:v>0.26973464853191</c:v>
                </c:pt>
                <c:pt idx="95">
                  <c:v>0.28243199501723</c:v>
                </c:pt>
                <c:pt idx="96">
                  <c:v>0.29525631496741</c:v>
                </c:pt>
                <c:pt idx="97">
                  <c:v>0.30820887811708</c:v>
                </c:pt>
                <c:pt idx="98">
                  <c:v>0.32129096689825</c:v>
                </c:pt>
                <c:pt idx="99">
                  <c:v>0.33450387656723</c:v>
                </c:pt>
                <c:pt idx="100">
                  <c:v>0.34784891533291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收益表!$S$15</c:f>
              <c:strCache>
                <c:ptCount val="1"/>
                <c:pt idx="0">
                  <c:v/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收益表!$A$16:$A$116</c:f>
              <c:numCache>
                <c:formatCode>yyyy\-mm\-dd;@</c:formatCode>
                <c:ptCount val="101"/>
                <c:pt idx="0" c:formatCode="yyyy\-mm\-dd;@">
                  <c:v>45586</c:v>
                </c:pt>
                <c:pt idx="1" c:formatCode="yyyy\-mm\-dd;@">
                  <c:v>45587</c:v>
                </c:pt>
                <c:pt idx="2" c:formatCode="yyyy\-mm\-dd;@">
                  <c:v>45588</c:v>
                </c:pt>
                <c:pt idx="3" c:formatCode="yyyy\-mm\-dd;@">
                  <c:v>45589</c:v>
                </c:pt>
                <c:pt idx="4" c:formatCode="yyyy\-mm\-dd;@">
                  <c:v>45590</c:v>
                </c:pt>
                <c:pt idx="5" c:formatCode="yyyy\-mm\-dd;@">
                  <c:v>45593</c:v>
                </c:pt>
                <c:pt idx="6" c:formatCode="yyyy\-mm\-dd;@">
                  <c:v>45594</c:v>
                </c:pt>
                <c:pt idx="7" c:formatCode="yyyy\-mm\-dd;@">
                  <c:v>45595</c:v>
                </c:pt>
                <c:pt idx="8" c:formatCode="yyyy\-mm\-dd;@">
                  <c:v>45596</c:v>
                </c:pt>
                <c:pt idx="9" c:formatCode="yyyy\-mm\-dd;@">
                  <c:v>45597</c:v>
                </c:pt>
                <c:pt idx="10" c:formatCode="yyyy\-mm\-dd;@">
                  <c:v>45600</c:v>
                </c:pt>
                <c:pt idx="11" c:formatCode="yyyy\-mm\-dd;@">
                  <c:v>45601</c:v>
                </c:pt>
                <c:pt idx="12" c:formatCode="yyyy\-mm\-dd;@">
                  <c:v>45602</c:v>
                </c:pt>
                <c:pt idx="13" c:formatCode="yyyy\-mm\-dd;@">
                  <c:v>45603</c:v>
                </c:pt>
                <c:pt idx="14" c:formatCode="yyyy\-mm\-dd;@">
                  <c:v>45604</c:v>
                </c:pt>
                <c:pt idx="15" c:formatCode="yyyy\-mm\-dd;@">
                  <c:v>45607</c:v>
                </c:pt>
                <c:pt idx="16" c:formatCode="yyyy\-mm\-dd;@">
                  <c:v>45608</c:v>
                </c:pt>
                <c:pt idx="17" c:formatCode="yyyy\-mm\-dd;@">
                  <c:v>45609</c:v>
                </c:pt>
                <c:pt idx="18" c:formatCode="yyyy\-mm\-dd;@">
                  <c:v>45610</c:v>
                </c:pt>
                <c:pt idx="19" c:formatCode="yyyy\-mm\-dd;@">
                  <c:v>45611</c:v>
                </c:pt>
                <c:pt idx="20" c:formatCode="yyyy\-mm\-dd;@">
                  <c:v>45614</c:v>
                </c:pt>
                <c:pt idx="21" c:formatCode="yyyy\-mm\-dd;@">
                  <c:v>45615</c:v>
                </c:pt>
                <c:pt idx="22" c:formatCode="yyyy\-mm\-dd;@">
                  <c:v>45616</c:v>
                </c:pt>
                <c:pt idx="23" c:formatCode="yyyy\-mm\-dd;@">
                  <c:v>45617</c:v>
                </c:pt>
                <c:pt idx="24" c:formatCode="yyyy\-mm\-dd;@">
                  <c:v>45618</c:v>
                </c:pt>
                <c:pt idx="25" c:formatCode="yyyy\-mm\-dd;@">
                  <c:v>45621</c:v>
                </c:pt>
                <c:pt idx="26" c:formatCode="yyyy\-mm\-dd;@">
                  <c:v>45622</c:v>
                </c:pt>
                <c:pt idx="27" c:formatCode="yyyy\-mm\-dd;@">
                  <c:v>45623</c:v>
                </c:pt>
                <c:pt idx="28" c:formatCode="yyyy\-mm\-dd;@">
                  <c:v>45624</c:v>
                </c:pt>
                <c:pt idx="29" c:formatCode="yyyy\-mm\-dd;@">
                  <c:v>45625</c:v>
                </c:pt>
                <c:pt idx="30" c:formatCode="yyyy\-mm\-dd;@">
                  <c:v>45628</c:v>
                </c:pt>
                <c:pt idx="31" c:formatCode="yyyy\-mm\-dd;@">
                  <c:v>45629</c:v>
                </c:pt>
                <c:pt idx="32" c:formatCode="yyyy\-mm\-dd;@">
                  <c:v>45630</c:v>
                </c:pt>
                <c:pt idx="33" c:formatCode="yyyy\-mm\-dd;@">
                  <c:v>45631</c:v>
                </c:pt>
                <c:pt idx="34" c:formatCode="yyyy\-mm\-dd;@">
                  <c:v>45632</c:v>
                </c:pt>
                <c:pt idx="35" c:formatCode="yyyy\-mm\-dd;@">
                  <c:v>45635</c:v>
                </c:pt>
                <c:pt idx="36" c:formatCode="yyyy\-mm\-dd;@">
                  <c:v>45636</c:v>
                </c:pt>
                <c:pt idx="37" c:formatCode="yyyy\-mm\-dd;@">
                  <c:v>45637</c:v>
                </c:pt>
                <c:pt idx="38" c:formatCode="yyyy\-mm\-dd;@">
                  <c:v>45638</c:v>
                </c:pt>
                <c:pt idx="39" c:formatCode="yyyy\-mm\-dd;@">
                  <c:v>45639</c:v>
                </c:pt>
                <c:pt idx="40" c:formatCode="yyyy\-mm\-dd;@">
                  <c:v>45642</c:v>
                </c:pt>
                <c:pt idx="41" c:formatCode="yyyy\-mm\-dd;@">
                  <c:v>45643</c:v>
                </c:pt>
                <c:pt idx="42" c:formatCode="yyyy\-mm\-dd;@">
                  <c:v>45644</c:v>
                </c:pt>
                <c:pt idx="43" c:formatCode="yyyy\-mm\-dd;@">
                  <c:v>45645</c:v>
                </c:pt>
                <c:pt idx="44" c:formatCode="yyyy\-mm\-dd;@">
                  <c:v>45646</c:v>
                </c:pt>
                <c:pt idx="45" c:formatCode="yyyy\-mm\-dd;@">
                  <c:v>45649</c:v>
                </c:pt>
                <c:pt idx="46" c:formatCode="yyyy\-mm\-dd;@">
                  <c:v>45650</c:v>
                </c:pt>
                <c:pt idx="47" c:formatCode="yyyy\-mm\-dd;@">
                  <c:v>45651</c:v>
                </c:pt>
                <c:pt idx="48" c:formatCode="yyyy\-mm\-dd;@">
                  <c:v>45652</c:v>
                </c:pt>
                <c:pt idx="49" c:formatCode="yyyy\-mm\-dd;@">
                  <c:v>45653</c:v>
                </c:pt>
                <c:pt idx="50" c:formatCode="yyyy\-mm\-dd;@">
                  <c:v>45656</c:v>
                </c:pt>
                <c:pt idx="51" c:formatCode="yyyy\-mm\-dd;@">
                  <c:v>45657</c:v>
                </c:pt>
                <c:pt idx="52" c:formatCode="yyyy\-mm\-dd;@">
                  <c:v>45659</c:v>
                </c:pt>
                <c:pt idx="53" c:formatCode="yyyy\-mm\-dd;@">
                  <c:v>45660</c:v>
                </c:pt>
                <c:pt idx="54" c:formatCode="yyyy\-mm\-dd;@">
                  <c:v>45663</c:v>
                </c:pt>
                <c:pt idx="55" c:formatCode="yyyy\-mm\-dd;@">
                  <c:v>45664</c:v>
                </c:pt>
                <c:pt idx="56" c:formatCode="yyyy\-mm\-dd;@">
                  <c:v>45665</c:v>
                </c:pt>
                <c:pt idx="57" c:formatCode="yyyy\-mm\-dd;@">
                  <c:v>45666</c:v>
                </c:pt>
                <c:pt idx="58" c:formatCode="yyyy\-mm\-dd;@">
                  <c:v>45667</c:v>
                </c:pt>
                <c:pt idx="59" c:formatCode="yyyy\-mm\-dd;@">
                  <c:v>45670</c:v>
                </c:pt>
                <c:pt idx="60" c:formatCode="yyyy\-mm\-dd;@">
                  <c:v>45671</c:v>
                </c:pt>
                <c:pt idx="61" c:formatCode="yyyy\-mm\-dd;@">
                  <c:v>45672</c:v>
                </c:pt>
                <c:pt idx="62" c:formatCode="yyyy\-mm\-dd;@">
                  <c:v>45673</c:v>
                </c:pt>
                <c:pt idx="63" c:formatCode="yyyy\-mm\-dd;@">
                  <c:v>45674</c:v>
                </c:pt>
                <c:pt idx="64" c:formatCode="yyyy\-mm\-dd;@">
                  <c:v>45677</c:v>
                </c:pt>
                <c:pt idx="65" c:formatCode="yyyy\-mm\-dd;@">
                  <c:v>45678</c:v>
                </c:pt>
                <c:pt idx="66" c:formatCode="yyyy\-mm\-dd;@">
                  <c:v>45679</c:v>
                </c:pt>
                <c:pt idx="67" c:formatCode="yyyy\-mm\-dd;@">
                  <c:v>45680</c:v>
                </c:pt>
                <c:pt idx="68" c:formatCode="yyyy\-mm\-dd;@">
                  <c:v>45681</c:v>
                </c:pt>
                <c:pt idx="69" c:formatCode="yyyy\-mm\-dd;@">
                  <c:v>45684</c:v>
                </c:pt>
                <c:pt idx="70" c:formatCode="yyyy\-mm\-dd;@">
                  <c:v>45693</c:v>
                </c:pt>
                <c:pt idx="71" c:formatCode="yyyy\-mm\-dd;@">
                  <c:v>45694</c:v>
                </c:pt>
                <c:pt idx="72" c:formatCode="yyyy\-mm\-dd;@">
                  <c:v>45695</c:v>
                </c:pt>
                <c:pt idx="73" c:formatCode="yyyy\-mm\-dd;@">
                  <c:v>45698</c:v>
                </c:pt>
                <c:pt idx="74" c:formatCode="yyyy\-mm\-dd;@">
                  <c:v>45699</c:v>
                </c:pt>
                <c:pt idx="75" c:formatCode="yyyy\-mm\-dd;@">
                  <c:v>45700</c:v>
                </c:pt>
                <c:pt idx="76" c:formatCode="yyyy\-mm\-dd;@">
                  <c:v>45701</c:v>
                </c:pt>
                <c:pt idx="77" c:formatCode="yyyy\-mm\-dd;@">
                  <c:v>45702</c:v>
                </c:pt>
                <c:pt idx="78" c:formatCode="yyyy\-mm\-dd;@">
                  <c:v>45705</c:v>
                </c:pt>
                <c:pt idx="79" c:formatCode="yyyy\-mm\-dd;@">
                  <c:v>45706</c:v>
                </c:pt>
                <c:pt idx="80" c:formatCode="yyyy\-mm\-dd;@">
                  <c:v>45707</c:v>
                </c:pt>
                <c:pt idx="81" c:formatCode="yyyy\-mm\-dd;@">
                  <c:v>45708</c:v>
                </c:pt>
                <c:pt idx="82" c:formatCode="yyyy\-mm\-dd;@">
                  <c:v>45709</c:v>
                </c:pt>
                <c:pt idx="83" c:formatCode="yyyy\-mm\-dd;@">
                  <c:v>45712</c:v>
                </c:pt>
                <c:pt idx="84" c:formatCode="yyyy\-mm\-dd;@">
                  <c:v>45713</c:v>
                </c:pt>
                <c:pt idx="85" c:formatCode="yyyy\-mm\-dd;@">
                  <c:v>45714</c:v>
                </c:pt>
                <c:pt idx="86" c:formatCode="yyyy\-mm\-dd;@">
                  <c:v>45715</c:v>
                </c:pt>
                <c:pt idx="87" c:formatCode="yyyy\-mm\-dd;@">
                  <c:v>45716</c:v>
                </c:pt>
                <c:pt idx="88" c:formatCode="yyyy\-mm\-dd;@">
                  <c:v>45719</c:v>
                </c:pt>
                <c:pt idx="89" c:formatCode="yyyy\-mm\-dd;@">
                  <c:v>45720</c:v>
                </c:pt>
                <c:pt idx="90" c:formatCode="yyyy\-mm\-dd;@">
                  <c:v>45721</c:v>
                </c:pt>
                <c:pt idx="91" c:formatCode="yyyy\-mm\-dd;@">
                  <c:v>45722</c:v>
                </c:pt>
                <c:pt idx="92" c:formatCode="yyyy\-mm\-dd;@">
                  <c:v>45723</c:v>
                </c:pt>
                <c:pt idx="93" c:formatCode="yyyy\-mm\-dd;@">
                  <c:v>45726</c:v>
                </c:pt>
                <c:pt idx="94" c:formatCode="yyyy\-mm\-dd;@">
                  <c:v>45727</c:v>
                </c:pt>
                <c:pt idx="95" c:formatCode="yyyy\-mm\-dd;@">
                  <c:v>45728</c:v>
                </c:pt>
                <c:pt idx="96" c:formatCode="yyyy\-mm\-dd;@">
                  <c:v>45729</c:v>
                </c:pt>
                <c:pt idx="97" c:formatCode="yyyy\-mm\-dd;@">
                  <c:v>45730</c:v>
                </c:pt>
                <c:pt idx="98" c:formatCode="yyyy\-mm\-dd;@">
                  <c:v>45733</c:v>
                </c:pt>
                <c:pt idx="99" c:formatCode="yyyy\-mm\-dd;@">
                  <c:v>45734</c:v>
                </c:pt>
                <c:pt idx="100" c:formatCode="yyyy\-mm\-dd;@">
                  <c:v>45735</c:v>
                </c:pt>
              </c:numCache>
            </c:numRef>
          </c:cat>
          <c:val>
            <c:numRef>
              <c:f>收益表!$S$16:$S$102</c:f>
              <c:numCache>
                <c:formatCode>0.00%</c:formatCode>
                <c:ptCount val="87"/>
              </c:numCache>
            </c:numRef>
          </c:val>
          <c:smooth val="0"/>
        </c:ser>
        <c:ser>
          <c:idx val="0"/>
          <c:order val="2"/>
          <c:tx>
            <c:strRef>
              <c:f>收益表!$N$15</c:f>
              <c:strCache>
                <c:ptCount val="1"/>
                <c:pt idx="0">
                  <c:v>实际涨幅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numRef>
              <c:f>收益表!$A$16:$A$116</c:f>
              <c:numCache>
                <c:formatCode>yyyy\-mm\-dd;@</c:formatCode>
                <c:ptCount val="101"/>
                <c:pt idx="0" c:formatCode="yyyy\-mm\-dd;@">
                  <c:v>45586</c:v>
                </c:pt>
                <c:pt idx="1" c:formatCode="yyyy\-mm\-dd;@">
                  <c:v>45587</c:v>
                </c:pt>
                <c:pt idx="2" c:formatCode="yyyy\-mm\-dd;@">
                  <c:v>45588</c:v>
                </c:pt>
                <c:pt idx="3" c:formatCode="yyyy\-mm\-dd;@">
                  <c:v>45589</c:v>
                </c:pt>
                <c:pt idx="4" c:formatCode="yyyy\-mm\-dd;@">
                  <c:v>45590</c:v>
                </c:pt>
                <c:pt idx="5" c:formatCode="yyyy\-mm\-dd;@">
                  <c:v>45593</c:v>
                </c:pt>
                <c:pt idx="6" c:formatCode="yyyy\-mm\-dd;@">
                  <c:v>45594</c:v>
                </c:pt>
                <c:pt idx="7" c:formatCode="yyyy\-mm\-dd;@">
                  <c:v>45595</c:v>
                </c:pt>
                <c:pt idx="8" c:formatCode="yyyy\-mm\-dd;@">
                  <c:v>45596</c:v>
                </c:pt>
                <c:pt idx="9" c:formatCode="yyyy\-mm\-dd;@">
                  <c:v>45597</c:v>
                </c:pt>
                <c:pt idx="10" c:formatCode="yyyy\-mm\-dd;@">
                  <c:v>45600</c:v>
                </c:pt>
                <c:pt idx="11" c:formatCode="yyyy\-mm\-dd;@">
                  <c:v>45601</c:v>
                </c:pt>
                <c:pt idx="12" c:formatCode="yyyy\-mm\-dd;@">
                  <c:v>45602</c:v>
                </c:pt>
                <c:pt idx="13" c:formatCode="yyyy\-mm\-dd;@">
                  <c:v>45603</c:v>
                </c:pt>
                <c:pt idx="14" c:formatCode="yyyy\-mm\-dd;@">
                  <c:v>45604</c:v>
                </c:pt>
                <c:pt idx="15" c:formatCode="yyyy\-mm\-dd;@">
                  <c:v>45607</c:v>
                </c:pt>
                <c:pt idx="16" c:formatCode="yyyy\-mm\-dd;@">
                  <c:v>45608</c:v>
                </c:pt>
                <c:pt idx="17" c:formatCode="yyyy\-mm\-dd;@">
                  <c:v>45609</c:v>
                </c:pt>
                <c:pt idx="18" c:formatCode="yyyy\-mm\-dd;@">
                  <c:v>45610</c:v>
                </c:pt>
                <c:pt idx="19" c:formatCode="yyyy\-mm\-dd;@">
                  <c:v>45611</c:v>
                </c:pt>
                <c:pt idx="20" c:formatCode="yyyy\-mm\-dd;@">
                  <c:v>45614</c:v>
                </c:pt>
                <c:pt idx="21" c:formatCode="yyyy\-mm\-dd;@">
                  <c:v>45615</c:v>
                </c:pt>
                <c:pt idx="22" c:formatCode="yyyy\-mm\-dd;@">
                  <c:v>45616</c:v>
                </c:pt>
                <c:pt idx="23" c:formatCode="yyyy\-mm\-dd;@">
                  <c:v>45617</c:v>
                </c:pt>
                <c:pt idx="24" c:formatCode="yyyy\-mm\-dd;@">
                  <c:v>45618</c:v>
                </c:pt>
                <c:pt idx="25" c:formatCode="yyyy\-mm\-dd;@">
                  <c:v>45621</c:v>
                </c:pt>
                <c:pt idx="26" c:formatCode="yyyy\-mm\-dd;@">
                  <c:v>45622</c:v>
                </c:pt>
                <c:pt idx="27" c:formatCode="yyyy\-mm\-dd;@">
                  <c:v>45623</c:v>
                </c:pt>
                <c:pt idx="28" c:formatCode="yyyy\-mm\-dd;@">
                  <c:v>45624</c:v>
                </c:pt>
                <c:pt idx="29" c:formatCode="yyyy\-mm\-dd;@">
                  <c:v>45625</c:v>
                </c:pt>
                <c:pt idx="30" c:formatCode="yyyy\-mm\-dd;@">
                  <c:v>45628</c:v>
                </c:pt>
                <c:pt idx="31" c:formatCode="yyyy\-mm\-dd;@">
                  <c:v>45629</c:v>
                </c:pt>
                <c:pt idx="32" c:formatCode="yyyy\-mm\-dd;@">
                  <c:v>45630</c:v>
                </c:pt>
                <c:pt idx="33" c:formatCode="yyyy\-mm\-dd;@">
                  <c:v>45631</c:v>
                </c:pt>
                <c:pt idx="34" c:formatCode="yyyy\-mm\-dd;@">
                  <c:v>45632</c:v>
                </c:pt>
                <c:pt idx="35" c:formatCode="yyyy\-mm\-dd;@">
                  <c:v>45635</c:v>
                </c:pt>
                <c:pt idx="36" c:formatCode="yyyy\-mm\-dd;@">
                  <c:v>45636</c:v>
                </c:pt>
                <c:pt idx="37" c:formatCode="yyyy\-mm\-dd;@">
                  <c:v>45637</c:v>
                </c:pt>
                <c:pt idx="38" c:formatCode="yyyy\-mm\-dd;@">
                  <c:v>45638</c:v>
                </c:pt>
                <c:pt idx="39" c:formatCode="yyyy\-mm\-dd;@">
                  <c:v>45639</c:v>
                </c:pt>
                <c:pt idx="40" c:formatCode="yyyy\-mm\-dd;@">
                  <c:v>45642</c:v>
                </c:pt>
                <c:pt idx="41" c:formatCode="yyyy\-mm\-dd;@">
                  <c:v>45643</c:v>
                </c:pt>
                <c:pt idx="42" c:formatCode="yyyy\-mm\-dd;@">
                  <c:v>45644</c:v>
                </c:pt>
                <c:pt idx="43" c:formatCode="yyyy\-mm\-dd;@">
                  <c:v>45645</c:v>
                </c:pt>
                <c:pt idx="44" c:formatCode="yyyy\-mm\-dd;@">
                  <c:v>45646</c:v>
                </c:pt>
                <c:pt idx="45" c:formatCode="yyyy\-mm\-dd;@">
                  <c:v>45649</c:v>
                </c:pt>
                <c:pt idx="46" c:formatCode="yyyy\-mm\-dd;@">
                  <c:v>45650</c:v>
                </c:pt>
                <c:pt idx="47" c:formatCode="yyyy\-mm\-dd;@">
                  <c:v>45651</c:v>
                </c:pt>
                <c:pt idx="48" c:formatCode="yyyy\-mm\-dd;@">
                  <c:v>45652</c:v>
                </c:pt>
                <c:pt idx="49" c:formatCode="yyyy\-mm\-dd;@">
                  <c:v>45653</c:v>
                </c:pt>
                <c:pt idx="50" c:formatCode="yyyy\-mm\-dd;@">
                  <c:v>45656</c:v>
                </c:pt>
                <c:pt idx="51" c:formatCode="yyyy\-mm\-dd;@">
                  <c:v>45657</c:v>
                </c:pt>
                <c:pt idx="52" c:formatCode="yyyy\-mm\-dd;@">
                  <c:v>45659</c:v>
                </c:pt>
                <c:pt idx="53" c:formatCode="yyyy\-mm\-dd;@">
                  <c:v>45660</c:v>
                </c:pt>
                <c:pt idx="54" c:formatCode="yyyy\-mm\-dd;@">
                  <c:v>45663</c:v>
                </c:pt>
                <c:pt idx="55" c:formatCode="yyyy\-mm\-dd;@">
                  <c:v>45664</c:v>
                </c:pt>
                <c:pt idx="56" c:formatCode="yyyy\-mm\-dd;@">
                  <c:v>45665</c:v>
                </c:pt>
                <c:pt idx="57" c:formatCode="yyyy\-mm\-dd;@">
                  <c:v>45666</c:v>
                </c:pt>
                <c:pt idx="58" c:formatCode="yyyy\-mm\-dd;@">
                  <c:v>45667</c:v>
                </c:pt>
                <c:pt idx="59" c:formatCode="yyyy\-mm\-dd;@">
                  <c:v>45670</c:v>
                </c:pt>
                <c:pt idx="60" c:formatCode="yyyy\-mm\-dd;@">
                  <c:v>45671</c:v>
                </c:pt>
                <c:pt idx="61" c:formatCode="yyyy\-mm\-dd;@">
                  <c:v>45672</c:v>
                </c:pt>
                <c:pt idx="62" c:formatCode="yyyy\-mm\-dd;@">
                  <c:v>45673</c:v>
                </c:pt>
                <c:pt idx="63" c:formatCode="yyyy\-mm\-dd;@">
                  <c:v>45674</c:v>
                </c:pt>
                <c:pt idx="64" c:formatCode="yyyy\-mm\-dd;@">
                  <c:v>45677</c:v>
                </c:pt>
                <c:pt idx="65" c:formatCode="yyyy\-mm\-dd;@">
                  <c:v>45678</c:v>
                </c:pt>
                <c:pt idx="66" c:formatCode="yyyy\-mm\-dd;@">
                  <c:v>45679</c:v>
                </c:pt>
                <c:pt idx="67" c:formatCode="yyyy\-mm\-dd;@">
                  <c:v>45680</c:v>
                </c:pt>
                <c:pt idx="68" c:formatCode="yyyy\-mm\-dd;@">
                  <c:v>45681</c:v>
                </c:pt>
                <c:pt idx="69" c:formatCode="yyyy\-mm\-dd;@">
                  <c:v>45684</c:v>
                </c:pt>
                <c:pt idx="70" c:formatCode="yyyy\-mm\-dd;@">
                  <c:v>45693</c:v>
                </c:pt>
                <c:pt idx="71" c:formatCode="yyyy\-mm\-dd;@">
                  <c:v>45694</c:v>
                </c:pt>
                <c:pt idx="72" c:formatCode="yyyy\-mm\-dd;@">
                  <c:v>45695</c:v>
                </c:pt>
                <c:pt idx="73" c:formatCode="yyyy\-mm\-dd;@">
                  <c:v>45698</c:v>
                </c:pt>
                <c:pt idx="74" c:formatCode="yyyy\-mm\-dd;@">
                  <c:v>45699</c:v>
                </c:pt>
                <c:pt idx="75" c:formatCode="yyyy\-mm\-dd;@">
                  <c:v>45700</c:v>
                </c:pt>
                <c:pt idx="76" c:formatCode="yyyy\-mm\-dd;@">
                  <c:v>45701</c:v>
                </c:pt>
                <c:pt idx="77" c:formatCode="yyyy\-mm\-dd;@">
                  <c:v>45702</c:v>
                </c:pt>
                <c:pt idx="78" c:formatCode="yyyy\-mm\-dd;@">
                  <c:v>45705</c:v>
                </c:pt>
                <c:pt idx="79" c:formatCode="yyyy\-mm\-dd;@">
                  <c:v>45706</c:v>
                </c:pt>
                <c:pt idx="80" c:formatCode="yyyy\-mm\-dd;@">
                  <c:v>45707</c:v>
                </c:pt>
                <c:pt idx="81" c:formatCode="yyyy\-mm\-dd;@">
                  <c:v>45708</c:v>
                </c:pt>
                <c:pt idx="82" c:formatCode="yyyy\-mm\-dd;@">
                  <c:v>45709</c:v>
                </c:pt>
                <c:pt idx="83" c:formatCode="yyyy\-mm\-dd;@">
                  <c:v>45712</c:v>
                </c:pt>
                <c:pt idx="84" c:formatCode="yyyy\-mm\-dd;@">
                  <c:v>45713</c:v>
                </c:pt>
                <c:pt idx="85" c:formatCode="yyyy\-mm\-dd;@">
                  <c:v>45714</c:v>
                </c:pt>
                <c:pt idx="86" c:formatCode="yyyy\-mm\-dd;@">
                  <c:v>45715</c:v>
                </c:pt>
                <c:pt idx="87" c:formatCode="yyyy\-mm\-dd;@">
                  <c:v>45716</c:v>
                </c:pt>
                <c:pt idx="88" c:formatCode="yyyy\-mm\-dd;@">
                  <c:v>45719</c:v>
                </c:pt>
                <c:pt idx="89" c:formatCode="yyyy\-mm\-dd;@">
                  <c:v>45720</c:v>
                </c:pt>
                <c:pt idx="90" c:formatCode="yyyy\-mm\-dd;@">
                  <c:v>45721</c:v>
                </c:pt>
                <c:pt idx="91" c:formatCode="yyyy\-mm\-dd;@">
                  <c:v>45722</c:v>
                </c:pt>
                <c:pt idx="92" c:formatCode="yyyy\-mm\-dd;@">
                  <c:v>45723</c:v>
                </c:pt>
                <c:pt idx="93" c:formatCode="yyyy\-mm\-dd;@">
                  <c:v>45726</c:v>
                </c:pt>
                <c:pt idx="94" c:formatCode="yyyy\-mm\-dd;@">
                  <c:v>45727</c:v>
                </c:pt>
                <c:pt idx="95" c:formatCode="yyyy\-mm\-dd;@">
                  <c:v>45728</c:v>
                </c:pt>
                <c:pt idx="96" c:formatCode="yyyy\-mm\-dd;@">
                  <c:v>45729</c:v>
                </c:pt>
                <c:pt idx="97" c:formatCode="yyyy\-mm\-dd;@">
                  <c:v>45730</c:v>
                </c:pt>
                <c:pt idx="98" c:formatCode="yyyy\-mm\-dd;@">
                  <c:v>45733</c:v>
                </c:pt>
                <c:pt idx="99" c:formatCode="yyyy\-mm\-dd;@">
                  <c:v>45734</c:v>
                </c:pt>
                <c:pt idx="100" c:formatCode="yyyy\-mm\-dd;@">
                  <c:v>45735</c:v>
                </c:pt>
              </c:numCache>
            </c:numRef>
          </c:cat>
          <c:val>
            <c:numRef>
              <c:f>收益表!$N$16:$N$103</c:f>
              <c:numCache>
                <c:formatCode>0.00%</c:formatCode>
                <c:ptCount val="88"/>
                <c:pt idx="0">
                  <c:v>0</c:v>
                </c:pt>
                <c:pt idx="1">
                  <c:v>0.0793663622403622</c:v>
                </c:pt>
                <c:pt idx="2">
                  <c:v>0.0888949677440749</c:v>
                </c:pt>
                <c:pt idx="3">
                  <c:v>0.0817499642521868</c:v>
                </c:pt>
                <c:pt idx="4">
                  <c:v>0.118631345754921</c:v>
                </c:pt>
                <c:pt idx="5">
                  <c:v>0.124913077320109</c:v>
                </c:pt>
                <c:pt idx="6">
                  <c:v>0.158803877539843</c:v>
                </c:pt>
                <c:pt idx="7">
                  <c:v>0.26654684198909</c:v>
                </c:pt>
                <c:pt idx="8">
                  <c:v>0.34328774352872</c:v>
                </c:pt>
                <c:pt idx="9">
                  <c:v>0.244657097288676</c:v>
                </c:pt>
                <c:pt idx="10">
                  <c:v>0.275280434555313</c:v>
                </c:pt>
                <c:pt idx="11">
                  <c:v>0.280616117912794</c:v>
                </c:pt>
                <c:pt idx="12">
                  <c:v>0.275155962937331</c:v>
                </c:pt>
                <c:pt idx="13">
                  <c:v>0.289110724972492</c:v>
                </c:pt>
                <c:pt idx="14">
                  <c:v>0.322467127045691</c:v>
                </c:pt>
                <c:pt idx="15">
                  <c:v>0.282489498744496</c:v>
                </c:pt>
                <c:pt idx="16">
                  <c:v>0.302557642806287</c:v>
                </c:pt>
                <c:pt idx="17">
                  <c:v>0.304156190305487</c:v>
                </c:pt>
                <c:pt idx="18">
                  <c:v>0.236249454399408</c:v>
                </c:pt>
                <c:pt idx="19">
                  <c:v>0.182491988176856</c:v>
                </c:pt>
                <c:pt idx="20">
                  <c:v>0.145831943400266</c:v>
                </c:pt>
                <c:pt idx="21">
                  <c:v>0.145831943400266</c:v>
                </c:pt>
                <c:pt idx="22">
                  <c:v>0.145831943400266</c:v>
                </c:pt>
                <c:pt idx="23">
                  <c:v>0.145831943400266</c:v>
                </c:pt>
                <c:pt idx="24">
                  <c:v>0.145831943400266</c:v>
                </c:pt>
                <c:pt idx="25">
                  <c:v>0.146316884823922</c:v>
                </c:pt>
                <c:pt idx="26">
                  <c:v>0.0983581363777433</c:v>
                </c:pt>
                <c:pt idx="27">
                  <c:v>0.100751310686138</c:v>
                </c:pt>
                <c:pt idx="28">
                  <c:v>0.0981988127067266</c:v>
                </c:pt>
                <c:pt idx="29">
                  <c:v>0.208098953276674</c:v>
                </c:pt>
                <c:pt idx="30">
                  <c:v>0.328222362736849</c:v>
                </c:pt>
                <c:pt idx="31">
                  <c:v>0.461124858309808</c:v>
                </c:pt>
                <c:pt idx="32">
                  <c:v>0.606806439995552</c:v>
                </c:pt>
                <c:pt idx="33">
                  <c:v>0.765267107794081</c:v>
                </c:pt>
                <c:pt idx="34">
                  <c:v>0.799646832529247</c:v>
                </c:pt>
                <c:pt idx="35">
                  <c:v>0.917752806005175</c:v>
                </c:pt>
                <c:pt idx="36">
                  <c:v>0.84624303166392</c:v>
                </c:pt>
                <c:pt idx="37">
                  <c:v>0.770320323559822</c:v>
                </c:pt>
                <c:pt idx="38">
                  <c:v>0.799629240540572</c:v>
                </c:pt>
                <c:pt idx="39">
                  <c:v>0.626302678463257</c:v>
                </c:pt>
                <c:pt idx="40">
                  <c:v>0.54992291057793</c:v>
                </c:pt>
                <c:pt idx="41">
                  <c:v>0.549590986263312</c:v>
                </c:pt>
                <c:pt idx="42">
                  <c:v>0.699588911736346</c:v>
                </c:pt>
                <c:pt idx="43">
                  <c:v>0.69804811906789</c:v>
                </c:pt>
                <c:pt idx="44">
                  <c:v>0.537992554937623</c:v>
                </c:pt>
                <c:pt idx="45">
                  <c:v>0.383108371629101</c:v>
                </c:pt>
                <c:pt idx="46">
                  <c:v>0.244620585614068</c:v>
                </c:pt>
                <c:pt idx="47">
                  <c:v>0.240876147420865</c:v>
                </c:pt>
                <c:pt idx="48">
                  <c:v>0.242823879299042</c:v>
                </c:pt>
                <c:pt idx="49">
                  <c:v>0.22316964485758</c:v>
                </c:pt>
                <c:pt idx="50">
                  <c:v>0.22316964485758</c:v>
                </c:pt>
                <c:pt idx="51">
                  <c:v>0.163921154698306</c:v>
                </c:pt>
                <c:pt idx="52">
                  <c:v>0.121493924955232</c:v>
                </c:pt>
                <c:pt idx="53">
                  <c:v>0.06840495430232</c:v>
                </c:pt>
                <c:pt idx="54">
                  <c:v>0.051380556205574</c:v>
                </c:pt>
                <c:pt idx="55">
                  <c:v>0.0179590969667096</c:v>
                </c:pt>
                <c:pt idx="56">
                  <c:v>0.0249816196910781</c:v>
                </c:pt>
                <c:pt idx="57">
                  <c:v>0.0250148121225398</c:v>
                </c:pt>
                <c:pt idx="58">
                  <c:v>0.0277492046263612</c:v>
                </c:pt>
                <c:pt idx="59">
                  <c:v>0.0302419562291407</c:v>
                </c:pt>
                <c:pt idx="60">
                  <c:v>0.0260182193256293</c:v>
                </c:pt>
                <c:pt idx="61">
                  <c:v>0.0114789385724268</c:v>
                </c:pt>
                <c:pt idx="62">
                  <c:v>-0.0306253288125241</c:v>
                </c:pt>
                <c:pt idx="63">
                  <c:v>-0.0550725503570676</c:v>
                </c:pt>
                <c:pt idx="64">
                  <c:v>-0.0903670585033199</c:v>
                </c:pt>
                <c:pt idx="65">
                  <c:v>-0.0757222258180689</c:v>
                </c:pt>
                <c:pt idx="66">
                  <c:v>-0.0814645164609565</c:v>
                </c:pt>
                <c:pt idx="67">
                  <c:v>-0.0922892322092717</c:v>
                </c:pt>
                <c:pt idx="68">
                  <c:v>-0.0930194657014308</c:v>
                </c:pt>
                <c:pt idx="69">
                  <c:v>-0.00676959639662955</c:v>
                </c:pt>
                <c:pt idx="70">
                  <c:v>-0.00510997482354059</c:v>
                </c:pt>
                <c:pt idx="71">
                  <c:v>0.0360941138201667</c:v>
                </c:pt>
                <c:pt idx="72">
                  <c:v>0.0689546209673271</c:v>
                </c:pt>
                <c:pt idx="73">
                  <c:v>0.0687889907343329</c:v>
                </c:pt>
                <c:pt idx="74">
                  <c:v>0.0427116888807015</c:v>
                </c:pt>
                <c:pt idx="75">
                  <c:v>0.0427448813121631</c:v>
                </c:pt>
                <c:pt idx="76">
                  <c:v>0.0425490459665387</c:v>
                </c:pt>
                <c:pt idx="77">
                  <c:v>0.0482163217143228</c:v>
                </c:pt>
                <c:pt idx="78">
                  <c:v>-0.0919088469447196</c:v>
                </c:pt>
                <c:pt idx="79">
                  <c:v>-0.0717278486159585</c:v>
                </c:pt>
                <c:pt idx="80">
                  <c:v>-0.0844704230541352</c:v>
                </c:pt>
                <c:pt idx="81">
                  <c:v>-0.0681297890455018</c:v>
                </c:pt>
                <c:pt idx="82">
                  <c:v>-0.112748051189368</c:v>
                </c:pt>
                <c:pt idx="83">
                  <c:v>-0.112914013346677</c:v>
                </c:pt>
                <c:pt idx="84">
                  <c:v>-0.117902171946753</c:v>
                </c:pt>
                <c:pt idx="85">
                  <c:v>-0.0841886193110246</c:v>
                </c:pt>
                <c:pt idx="86">
                  <c:v>-0.108319185059423</c:v>
                </c:pt>
                <c:pt idx="87">
                  <c:v>-0.153410771275934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0629728"/>
        <c:axId val="1710630208"/>
      </c:lineChart>
      <c:dateAx>
        <c:axId val="1710629728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blipFill>
                  <a:blip r:embed="rId1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</a:p>
        </c:txPr>
        <c:crossAx val="1710630208"/>
        <c:crosses val="autoZero"/>
        <c:auto val="1"/>
        <c:lblOffset val="100"/>
        <c:baseTimeUnit val="days"/>
      </c:dateAx>
      <c:valAx>
        <c:axId val="1710630208"/>
        <c:scaling>
          <c:orientation val="minMax"/>
          <c:max val="3"/>
          <c:min val="-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blipFill>
                  <a:blip r:embed="rId1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</a:p>
        </c:txPr>
        <c:crossAx val="1710629728"/>
        <c:crossesAt val="4558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b1b339-f51f-44cc-b97f-5d5d7e6da0f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>
          <a:blipFill>
            <a:blip r:embed="rId1"/>
            <a:tile tx="0" ty="0" sx="100000" sy="100000" flip="none" algn="tl"/>
          </a:blipFill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Coin!$E$1</c:f>
              <c:strCache>
                <c:ptCount val="1"/>
                <c:pt idx="0">
                  <c:v>TARGET DOLLAR</c:v>
                </c:pt>
              </c:strCache>
            </c:strRef>
          </c:tx>
          <c:spPr>
            <a:ln w="28575" cap="rnd" cmpd="sng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</a:ln>
            <a:effectLst/>
            <a:sp3d contourW="28575"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Coin!$B$2:$B$139</c:f>
              <c:numCache>
                <c:formatCode>[$-409]yyyy\-mm\-dd;@</c:formatCode>
                <c:ptCount val="138"/>
                <c:pt idx="0" c:formatCode="[$-409]yyyy\-mm\-dd;@">
                  <c:v>45885</c:v>
                </c:pt>
                <c:pt idx="1" c:formatCode="[$-409]yyyy\-mm\-dd;@">
                  <c:v>45886</c:v>
                </c:pt>
                <c:pt idx="2" c:formatCode="[$-409]yyyy\-mm\-dd;@">
                  <c:v>45887</c:v>
                </c:pt>
                <c:pt idx="3" c:formatCode="[$-409]yyyy\-mm\-dd;@">
                  <c:v>45888</c:v>
                </c:pt>
                <c:pt idx="4" c:formatCode="[$-409]yyyy\-mm\-dd;@">
                  <c:v>45889</c:v>
                </c:pt>
                <c:pt idx="5" c:formatCode="[$-409]yyyy\-mm\-dd;@">
                  <c:v>45890</c:v>
                </c:pt>
                <c:pt idx="6" c:formatCode="[$-409]yyyy\-mm\-dd;@">
                  <c:v>45891</c:v>
                </c:pt>
                <c:pt idx="7" c:formatCode="[$-409]yyyy\-mm\-dd;@">
                  <c:v>45892</c:v>
                </c:pt>
                <c:pt idx="8" c:formatCode="[$-409]yyyy\-mm\-dd;@">
                  <c:v>45893</c:v>
                </c:pt>
                <c:pt idx="9" c:formatCode="[$-409]yyyy\-mm\-dd;@">
                  <c:v>45894</c:v>
                </c:pt>
                <c:pt idx="10" c:formatCode="[$-409]yyyy\-mm\-dd;@">
                  <c:v>45895</c:v>
                </c:pt>
                <c:pt idx="11" c:formatCode="[$-409]yyyy\-mm\-dd;@">
                  <c:v>45896</c:v>
                </c:pt>
                <c:pt idx="12" c:formatCode="[$-409]yyyy\-mm\-dd;@">
                  <c:v>45897</c:v>
                </c:pt>
                <c:pt idx="13" c:formatCode="[$-409]yyyy\-mm\-dd;@">
                  <c:v>45898</c:v>
                </c:pt>
                <c:pt idx="14" c:formatCode="[$-409]yyyy\-mm\-dd;@">
                  <c:v>45899</c:v>
                </c:pt>
                <c:pt idx="15" c:formatCode="[$-409]yyyy\-mm\-dd;@">
                  <c:v>45900</c:v>
                </c:pt>
                <c:pt idx="16" c:formatCode="[$-409]yyyy\-mm\-dd;@">
                  <c:v>45901</c:v>
                </c:pt>
                <c:pt idx="17" c:formatCode="[$-409]yyyy\-mm\-dd;@">
                  <c:v>45902</c:v>
                </c:pt>
                <c:pt idx="18" c:formatCode="[$-409]yyyy\-mm\-dd;@">
                  <c:v>45903</c:v>
                </c:pt>
                <c:pt idx="19" c:formatCode="[$-409]yyyy\-mm\-dd;@">
                  <c:v>45904</c:v>
                </c:pt>
                <c:pt idx="20" c:formatCode="[$-409]yyyy\-mm\-dd;@">
                  <c:v>45905</c:v>
                </c:pt>
                <c:pt idx="21" c:formatCode="[$-409]yyyy\-mm\-dd;@">
                  <c:v>45906</c:v>
                </c:pt>
                <c:pt idx="22" c:formatCode="[$-409]yyyy\-mm\-dd;@">
                  <c:v>45907</c:v>
                </c:pt>
                <c:pt idx="23" c:formatCode="[$-409]yyyy\-mm\-dd;@">
                  <c:v>45908</c:v>
                </c:pt>
                <c:pt idx="24" c:formatCode="[$-409]yyyy\-mm\-dd;@">
                  <c:v>45909</c:v>
                </c:pt>
                <c:pt idx="25" c:formatCode="[$-409]yyyy\-mm\-dd;@">
                  <c:v>45910</c:v>
                </c:pt>
                <c:pt idx="26" c:formatCode="[$-409]yyyy\-mm\-dd;@">
                  <c:v>45911</c:v>
                </c:pt>
                <c:pt idx="27" c:formatCode="[$-409]yyyy\-mm\-dd;@">
                  <c:v>45912</c:v>
                </c:pt>
                <c:pt idx="28" c:formatCode="[$-409]yyyy\-mm\-dd;@">
                  <c:v>45913</c:v>
                </c:pt>
                <c:pt idx="29" c:formatCode="[$-409]yyyy\-mm\-dd;@">
                  <c:v>45914</c:v>
                </c:pt>
                <c:pt idx="30" c:formatCode="[$-409]yyyy\-mm\-dd;@">
                  <c:v>45915</c:v>
                </c:pt>
                <c:pt idx="31" c:formatCode="[$-409]yyyy\-mm\-dd;@">
                  <c:v>45916</c:v>
                </c:pt>
                <c:pt idx="32" c:formatCode="[$-409]yyyy\-mm\-dd;@">
                  <c:v>45917</c:v>
                </c:pt>
                <c:pt idx="33" c:formatCode="[$-409]yyyy\-mm\-dd;@">
                  <c:v>45918</c:v>
                </c:pt>
                <c:pt idx="34" c:formatCode="[$-409]yyyy\-mm\-dd;@">
                  <c:v>45919</c:v>
                </c:pt>
                <c:pt idx="35" c:formatCode="[$-409]yyyy\-mm\-dd;@">
                  <c:v>45920</c:v>
                </c:pt>
                <c:pt idx="36" c:formatCode="[$-409]yyyy\-mm\-dd;@">
                  <c:v>45921</c:v>
                </c:pt>
                <c:pt idx="37" c:formatCode="[$-409]yyyy\-mm\-dd;@">
                  <c:v>45922</c:v>
                </c:pt>
                <c:pt idx="38" c:formatCode="[$-409]yyyy\-mm\-dd;@">
                  <c:v>45923</c:v>
                </c:pt>
                <c:pt idx="39" c:formatCode="[$-409]yyyy\-mm\-dd;@">
                  <c:v>45924</c:v>
                </c:pt>
                <c:pt idx="40" c:formatCode="[$-409]yyyy\-mm\-dd;@">
                  <c:v>45925</c:v>
                </c:pt>
                <c:pt idx="41" c:formatCode="[$-409]yyyy\-mm\-dd;@">
                  <c:v>45926</c:v>
                </c:pt>
                <c:pt idx="42" c:formatCode="[$-409]yyyy\-mm\-dd;@">
                  <c:v>45927</c:v>
                </c:pt>
                <c:pt idx="43" c:formatCode="[$-409]yyyy\-mm\-dd;@">
                  <c:v>45928</c:v>
                </c:pt>
                <c:pt idx="44" c:formatCode="[$-409]yyyy\-mm\-dd;@">
                  <c:v>45929</c:v>
                </c:pt>
                <c:pt idx="45" c:formatCode="[$-409]yyyy\-mm\-dd;@">
                  <c:v>45930</c:v>
                </c:pt>
                <c:pt idx="46" c:formatCode="[$-409]yyyy\-mm\-dd;@">
                  <c:v>45931</c:v>
                </c:pt>
                <c:pt idx="47" c:formatCode="[$-409]yyyy\-mm\-dd;@">
                  <c:v>45932</c:v>
                </c:pt>
                <c:pt idx="48" c:formatCode="[$-409]yyyy\-mm\-dd;@">
                  <c:v>45933</c:v>
                </c:pt>
                <c:pt idx="49" c:formatCode="[$-409]yyyy\-mm\-dd;@">
                  <c:v>45934</c:v>
                </c:pt>
                <c:pt idx="50" c:formatCode="[$-409]yyyy\-mm\-dd;@">
                  <c:v>45935</c:v>
                </c:pt>
                <c:pt idx="51" c:formatCode="[$-409]yyyy\-mm\-dd;@">
                  <c:v>45936</c:v>
                </c:pt>
                <c:pt idx="52" c:formatCode="[$-409]yyyy\-mm\-dd;@">
                  <c:v>45937</c:v>
                </c:pt>
                <c:pt idx="53" c:formatCode="[$-409]yyyy\-mm\-dd;@">
                  <c:v>45938</c:v>
                </c:pt>
                <c:pt idx="54" c:formatCode="[$-409]yyyy\-mm\-dd;@">
                  <c:v>45939</c:v>
                </c:pt>
                <c:pt idx="55" c:formatCode="[$-409]yyyy\-mm\-dd;@">
                  <c:v>45940</c:v>
                </c:pt>
                <c:pt idx="56" c:formatCode="[$-409]yyyy\-mm\-dd;@">
                  <c:v>45941</c:v>
                </c:pt>
                <c:pt idx="57" c:formatCode="[$-409]yyyy\-mm\-dd;@">
                  <c:v>45942</c:v>
                </c:pt>
                <c:pt idx="58" c:formatCode="[$-409]yyyy\-mm\-dd;@">
                  <c:v>45943</c:v>
                </c:pt>
                <c:pt idx="59" c:formatCode="[$-409]yyyy\-mm\-dd;@">
                  <c:v>45944</c:v>
                </c:pt>
                <c:pt idx="60" c:formatCode="[$-409]yyyy\-mm\-dd;@">
                  <c:v>45945</c:v>
                </c:pt>
                <c:pt idx="61" c:formatCode="[$-409]yyyy\-mm\-dd;@">
                  <c:v>45946</c:v>
                </c:pt>
                <c:pt idx="62" c:formatCode="[$-409]yyyy\-mm\-dd;@">
                  <c:v>45947</c:v>
                </c:pt>
                <c:pt idx="63" c:formatCode="[$-409]yyyy\-mm\-dd;@">
                  <c:v>45948</c:v>
                </c:pt>
                <c:pt idx="64" c:formatCode="[$-409]yyyy\-mm\-dd;@">
                  <c:v>45949</c:v>
                </c:pt>
                <c:pt idx="65" c:formatCode="[$-409]yyyy\-mm\-dd;@">
                  <c:v>45950</c:v>
                </c:pt>
                <c:pt idx="66" c:formatCode="[$-409]yyyy\-mm\-dd;@">
                  <c:v>45951</c:v>
                </c:pt>
                <c:pt idx="67" c:formatCode="[$-409]yyyy\-mm\-dd;@">
                  <c:v>45952</c:v>
                </c:pt>
                <c:pt idx="68" c:formatCode="[$-409]yyyy\-mm\-dd;@">
                  <c:v>45953</c:v>
                </c:pt>
                <c:pt idx="69" c:formatCode="[$-409]yyyy\-mm\-dd;@">
                  <c:v>45954</c:v>
                </c:pt>
                <c:pt idx="70" c:formatCode="[$-409]yyyy\-mm\-dd;@">
                  <c:v>45955</c:v>
                </c:pt>
                <c:pt idx="71" c:formatCode="[$-409]yyyy\-mm\-dd;@">
                  <c:v>45956</c:v>
                </c:pt>
                <c:pt idx="72" c:formatCode="[$-409]yyyy\-mm\-dd;@">
                  <c:v>45957</c:v>
                </c:pt>
                <c:pt idx="73" c:formatCode="[$-409]yyyy\-mm\-dd;@">
                  <c:v>45958</c:v>
                </c:pt>
                <c:pt idx="74" c:formatCode="[$-409]yyyy\-mm\-dd;@">
                  <c:v>45959</c:v>
                </c:pt>
                <c:pt idx="75" c:formatCode="[$-409]yyyy\-mm\-dd;@">
                  <c:v>45960</c:v>
                </c:pt>
                <c:pt idx="76" c:formatCode="[$-409]yyyy\-mm\-dd;@">
                  <c:v>45961</c:v>
                </c:pt>
                <c:pt idx="77" c:formatCode="[$-409]yyyy\-mm\-dd;@">
                  <c:v>45962</c:v>
                </c:pt>
                <c:pt idx="78" c:formatCode="[$-409]yyyy\-mm\-dd;@">
                  <c:v>45963</c:v>
                </c:pt>
                <c:pt idx="79" c:formatCode="[$-409]yyyy\-mm\-dd;@">
                  <c:v>45964</c:v>
                </c:pt>
                <c:pt idx="80" c:formatCode="[$-409]yyyy\-mm\-dd;@">
                  <c:v>45965</c:v>
                </c:pt>
                <c:pt idx="81" c:formatCode="[$-409]yyyy\-mm\-dd;@">
                  <c:v>45966</c:v>
                </c:pt>
                <c:pt idx="82" c:formatCode="[$-409]yyyy\-mm\-dd;@">
                  <c:v>45967</c:v>
                </c:pt>
                <c:pt idx="83" c:formatCode="[$-409]yyyy\-mm\-dd;@">
                  <c:v>45968</c:v>
                </c:pt>
                <c:pt idx="84" c:formatCode="[$-409]yyyy\-mm\-dd;@">
                  <c:v>45969</c:v>
                </c:pt>
                <c:pt idx="85" c:formatCode="[$-409]yyyy\-mm\-dd;@">
                  <c:v>45970</c:v>
                </c:pt>
                <c:pt idx="86" c:formatCode="[$-409]yyyy\-mm\-dd;@">
                  <c:v>45971</c:v>
                </c:pt>
                <c:pt idx="87" c:formatCode="[$-409]yyyy\-mm\-dd;@">
                  <c:v>45972</c:v>
                </c:pt>
                <c:pt idx="88" c:formatCode="[$-409]yyyy\-mm\-dd;@">
                  <c:v>45973</c:v>
                </c:pt>
                <c:pt idx="89" c:formatCode="[$-409]yyyy\-mm\-dd;@">
                  <c:v>45974</c:v>
                </c:pt>
                <c:pt idx="90" c:formatCode="[$-409]yyyy\-mm\-dd;@">
                  <c:v>45975</c:v>
                </c:pt>
                <c:pt idx="91" c:formatCode="[$-409]yyyy\-mm\-dd;@">
                  <c:v>45976</c:v>
                </c:pt>
                <c:pt idx="92" c:formatCode="[$-409]yyyy\-mm\-dd;@">
                  <c:v>45977</c:v>
                </c:pt>
                <c:pt idx="93" c:formatCode="[$-409]yyyy\-mm\-dd;@">
                  <c:v>45978</c:v>
                </c:pt>
                <c:pt idx="94" c:formatCode="[$-409]yyyy\-mm\-dd;@">
                  <c:v>45979</c:v>
                </c:pt>
                <c:pt idx="95" c:formatCode="[$-409]yyyy\-mm\-dd;@">
                  <c:v>45980</c:v>
                </c:pt>
                <c:pt idx="96" c:formatCode="[$-409]yyyy\-mm\-dd;@">
                  <c:v>45981</c:v>
                </c:pt>
                <c:pt idx="97" c:formatCode="[$-409]yyyy\-mm\-dd;@">
                  <c:v>45982</c:v>
                </c:pt>
                <c:pt idx="98" c:formatCode="[$-409]yyyy\-mm\-dd;@">
                  <c:v>45983</c:v>
                </c:pt>
                <c:pt idx="99" c:formatCode="[$-409]yyyy\-mm\-dd;@">
                  <c:v>45984</c:v>
                </c:pt>
                <c:pt idx="100" c:formatCode="[$-409]yyyy\-mm\-dd;@">
                  <c:v>45985</c:v>
                </c:pt>
                <c:pt idx="101" c:formatCode="[$-409]yyyy\-mm\-dd;@">
                  <c:v>45986</c:v>
                </c:pt>
                <c:pt idx="102" c:formatCode="[$-409]yyyy\-mm\-dd;@">
                  <c:v>45987</c:v>
                </c:pt>
                <c:pt idx="103" c:formatCode="[$-409]yyyy\-mm\-dd;@">
                  <c:v>45988</c:v>
                </c:pt>
                <c:pt idx="104" c:formatCode="[$-409]yyyy\-mm\-dd;@">
                  <c:v>45989</c:v>
                </c:pt>
                <c:pt idx="105" c:formatCode="[$-409]yyyy\-mm\-dd;@">
                  <c:v>45990</c:v>
                </c:pt>
                <c:pt idx="106" c:formatCode="[$-409]yyyy\-mm\-dd;@">
                  <c:v>45991</c:v>
                </c:pt>
                <c:pt idx="107" c:formatCode="[$-409]yyyy\-mm\-dd;@">
                  <c:v>45992</c:v>
                </c:pt>
                <c:pt idx="108" c:formatCode="[$-409]yyyy\-mm\-dd;@">
                  <c:v>45993</c:v>
                </c:pt>
                <c:pt idx="109" c:formatCode="[$-409]yyyy\-mm\-dd;@">
                  <c:v>45994</c:v>
                </c:pt>
                <c:pt idx="110" c:formatCode="[$-409]yyyy\-mm\-dd;@">
                  <c:v>45995</c:v>
                </c:pt>
                <c:pt idx="111" c:formatCode="[$-409]yyyy\-mm\-dd;@">
                  <c:v>45996</c:v>
                </c:pt>
                <c:pt idx="112" c:formatCode="[$-409]yyyy\-mm\-dd;@">
                  <c:v>45997</c:v>
                </c:pt>
                <c:pt idx="113" c:formatCode="[$-409]yyyy\-mm\-dd;@">
                  <c:v>45998</c:v>
                </c:pt>
                <c:pt idx="114" c:formatCode="[$-409]yyyy\-mm\-dd;@">
                  <c:v>45999</c:v>
                </c:pt>
                <c:pt idx="115" c:formatCode="[$-409]yyyy\-mm\-dd;@">
                  <c:v>46000</c:v>
                </c:pt>
                <c:pt idx="116" c:formatCode="[$-409]yyyy\-mm\-dd;@">
                  <c:v>46001</c:v>
                </c:pt>
                <c:pt idx="117" c:formatCode="[$-409]yyyy\-mm\-dd;@">
                  <c:v>46002</c:v>
                </c:pt>
                <c:pt idx="118" c:formatCode="[$-409]yyyy\-mm\-dd;@">
                  <c:v>46003</c:v>
                </c:pt>
                <c:pt idx="119" c:formatCode="[$-409]yyyy\-mm\-dd;@">
                  <c:v>46004</c:v>
                </c:pt>
                <c:pt idx="120" c:formatCode="[$-409]yyyy\-mm\-dd;@">
                  <c:v>46005</c:v>
                </c:pt>
                <c:pt idx="121" c:formatCode="[$-409]yyyy\-mm\-dd;@">
                  <c:v>46006</c:v>
                </c:pt>
                <c:pt idx="122" c:formatCode="[$-409]yyyy\-mm\-dd;@">
                  <c:v>46007</c:v>
                </c:pt>
                <c:pt idx="123" c:formatCode="[$-409]yyyy\-mm\-dd;@">
                  <c:v>46008</c:v>
                </c:pt>
                <c:pt idx="124" c:formatCode="[$-409]yyyy\-mm\-dd;@">
                  <c:v>46009</c:v>
                </c:pt>
                <c:pt idx="125" c:formatCode="[$-409]yyyy\-mm\-dd;@">
                  <c:v>46010</c:v>
                </c:pt>
                <c:pt idx="126" c:formatCode="[$-409]yyyy\-mm\-dd;@">
                  <c:v>46011</c:v>
                </c:pt>
                <c:pt idx="127" c:formatCode="[$-409]yyyy\-mm\-dd;@">
                  <c:v>46012</c:v>
                </c:pt>
                <c:pt idx="128" c:formatCode="[$-409]yyyy\-mm\-dd;@">
                  <c:v>46013</c:v>
                </c:pt>
                <c:pt idx="129" c:formatCode="[$-409]yyyy\-mm\-dd;@">
                  <c:v>46014</c:v>
                </c:pt>
                <c:pt idx="130" c:formatCode="[$-409]yyyy\-mm\-dd;@">
                  <c:v>46015</c:v>
                </c:pt>
                <c:pt idx="131" c:formatCode="[$-409]yyyy\-mm\-dd;@">
                  <c:v>46016</c:v>
                </c:pt>
                <c:pt idx="132" c:formatCode="[$-409]yyyy\-mm\-dd;@">
                  <c:v>46017</c:v>
                </c:pt>
                <c:pt idx="133" c:formatCode="[$-409]yyyy\-mm\-dd;@">
                  <c:v>46018</c:v>
                </c:pt>
                <c:pt idx="134" c:formatCode="[$-409]yyyy\-mm\-dd;@">
                  <c:v>46019</c:v>
                </c:pt>
                <c:pt idx="135" c:formatCode="[$-409]yyyy\-mm\-dd;@">
                  <c:v>46020</c:v>
                </c:pt>
                <c:pt idx="136" c:formatCode="[$-409]yyyy\-mm\-dd;@">
                  <c:v>46021</c:v>
                </c:pt>
                <c:pt idx="137" c:formatCode="[$-409]yyyy\-mm\-dd;@">
                  <c:v>46022</c:v>
                </c:pt>
              </c:numCache>
            </c:numRef>
          </c:cat>
          <c:val>
            <c:numRef>
              <c:f>Coin!$E$2:$E$139</c:f>
              <c:numCache>
                <c:formatCode>#,##0.00\ "$"\ \ \ \ </c:formatCode>
                <c:ptCount val="138"/>
                <c:pt idx="0">
                  <c:v>16.65</c:v>
                </c:pt>
                <c:pt idx="1">
                  <c:v>16.89975</c:v>
                </c:pt>
                <c:pt idx="2">
                  <c:v>17.15324625</c:v>
                </c:pt>
                <c:pt idx="3">
                  <c:v>17.41054494375</c:v>
                </c:pt>
                <c:pt idx="4">
                  <c:v>17.6717031179062</c:v>
                </c:pt>
                <c:pt idx="5">
                  <c:v>17.9367786646748</c:v>
                </c:pt>
                <c:pt idx="6">
                  <c:v>18.205830344645</c:v>
                </c:pt>
                <c:pt idx="7">
                  <c:v>18.4789177998146</c:v>
                </c:pt>
                <c:pt idx="8">
                  <c:v>18.7561015668118</c:v>
                </c:pt>
                <c:pt idx="9">
                  <c:v>19.037443090314</c:v>
                </c:pt>
                <c:pt idx="10">
                  <c:v>19.3230047366687</c:v>
                </c:pt>
                <c:pt idx="11">
                  <c:v>19.6128498077188</c:v>
                </c:pt>
                <c:pt idx="12">
                  <c:v>19.9070425548345</c:v>
                </c:pt>
                <c:pt idx="13">
                  <c:v>20.2056481931571</c:v>
                </c:pt>
                <c:pt idx="14">
                  <c:v>20.5087329160544</c:v>
                </c:pt>
                <c:pt idx="15">
                  <c:v>20.8163639097952</c:v>
                </c:pt>
                <c:pt idx="16">
                  <c:v>21.1286093684421</c:v>
                </c:pt>
                <c:pt idx="17">
                  <c:v>21.4455385089688</c:v>
                </c:pt>
                <c:pt idx="18">
                  <c:v>21.7672215866033</c:v>
                </c:pt>
                <c:pt idx="19">
                  <c:v>22.0937299104024</c:v>
                </c:pt>
                <c:pt idx="20">
                  <c:v>22.4251358590584</c:v>
                </c:pt>
                <c:pt idx="21">
                  <c:v>22.7615128969443</c:v>
                </c:pt>
                <c:pt idx="22">
                  <c:v>23.1029355903984</c:v>
                </c:pt>
                <c:pt idx="23">
                  <c:v>23.4494796242544</c:v>
                </c:pt>
                <c:pt idx="24">
                  <c:v>23.8012218186182</c:v>
                </c:pt>
                <c:pt idx="25">
                  <c:v>24.1582401458975</c:v>
                </c:pt>
                <c:pt idx="26">
                  <c:v>24.5206137480859</c:v>
                </c:pt>
                <c:pt idx="27">
                  <c:v>24.8884229543072</c:v>
                </c:pt>
                <c:pt idx="28">
                  <c:v>25.2617492986218</c:v>
                </c:pt>
                <c:pt idx="29">
                  <c:v>25.6406755381012</c:v>
                </c:pt>
                <c:pt idx="30">
                  <c:v>26.0252856711727</c:v>
                </c:pt>
                <c:pt idx="31">
                  <c:v>26.4156649562403</c:v>
                </c:pt>
                <c:pt idx="32">
                  <c:v>26.8118999305839</c:v>
                </c:pt>
                <c:pt idx="33">
                  <c:v>27.2140784295426</c:v>
                </c:pt>
                <c:pt idx="34">
                  <c:v>27.6222896059858</c:v>
                </c:pt>
                <c:pt idx="35">
                  <c:v>28.0366239500755</c:v>
                </c:pt>
                <c:pt idx="36">
                  <c:v>28.4571733093267</c:v>
                </c:pt>
                <c:pt idx="37">
                  <c:v>28.8840309089666</c:v>
                </c:pt>
                <c:pt idx="38">
                  <c:v>29.3172913726011</c:v>
                </c:pt>
                <c:pt idx="39">
                  <c:v>29.7570507431901</c:v>
                </c:pt>
                <c:pt idx="40">
                  <c:v>30.2034065043379</c:v>
                </c:pt>
                <c:pt idx="41">
                  <c:v>30.656457601903</c:v>
                </c:pt>
                <c:pt idx="42">
                  <c:v>31.1163044659315</c:v>
                </c:pt>
                <c:pt idx="43">
                  <c:v>31.5830490329205</c:v>
                </c:pt>
                <c:pt idx="44">
                  <c:v>32.0567947684143</c:v>
                </c:pt>
                <c:pt idx="45">
                  <c:v>32.5376466899405</c:v>
                </c:pt>
                <c:pt idx="46">
                  <c:v>33.0257113902896</c:v>
                </c:pt>
                <c:pt idx="47">
                  <c:v>33.521097061144</c:v>
                </c:pt>
                <c:pt idx="48">
                  <c:v>34.0239135170611</c:v>
                </c:pt>
                <c:pt idx="49">
                  <c:v>34.534272219817</c:v>
                </c:pt>
                <c:pt idx="50">
                  <c:v>35.0522863031143</c:v>
                </c:pt>
                <c:pt idx="51">
                  <c:v>35.578070597661</c:v>
                </c:pt>
                <c:pt idx="52">
                  <c:v>36.1117416566259</c:v>
                </c:pt>
                <c:pt idx="53">
                  <c:v>36.6534177814753</c:v>
                </c:pt>
                <c:pt idx="54">
                  <c:v>37.2032190481974</c:v>
                </c:pt>
                <c:pt idx="55">
                  <c:v>37.7612673339204</c:v>
                </c:pt>
                <c:pt idx="56">
                  <c:v>38.3276863439292</c:v>
                </c:pt>
                <c:pt idx="57">
                  <c:v>38.9026016390881</c:v>
                </c:pt>
                <c:pt idx="58">
                  <c:v>39.4861406636744</c:v>
                </c:pt>
                <c:pt idx="59">
                  <c:v>40.0784327736295</c:v>
                </c:pt>
                <c:pt idx="60">
                  <c:v>40.679609265234</c:v>
                </c:pt>
                <c:pt idx="61">
                  <c:v>41.2898034042125</c:v>
                </c:pt>
                <c:pt idx="62">
                  <c:v>41.9091504552757</c:v>
                </c:pt>
                <c:pt idx="63">
                  <c:v>42.5377877121048</c:v>
                </c:pt>
                <c:pt idx="64">
                  <c:v>43.1758545277864</c:v>
                </c:pt>
                <c:pt idx="65">
                  <c:v>43.8234923457032</c:v>
                </c:pt>
                <c:pt idx="66">
                  <c:v>44.4808447308887</c:v>
                </c:pt>
                <c:pt idx="67">
                  <c:v>45.148057401852</c:v>
                </c:pt>
                <c:pt idx="68">
                  <c:v>45.8252782628798</c:v>
                </c:pt>
                <c:pt idx="69">
                  <c:v>46.512657436823</c:v>
                </c:pt>
                <c:pt idx="70">
                  <c:v>47.2103472983753</c:v>
                </c:pt>
                <c:pt idx="71">
                  <c:v>47.918502507851</c:v>
                </c:pt>
                <c:pt idx="72">
                  <c:v>48.6372800454687</c:v>
                </c:pt>
                <c:pt idx="73">
                  <c:v>49.3668392461508</c:v>
                </c:pt>
                <c:pt idx="74">
                  <c:v>50.107341834843</c:v>
                </c:pt>
                <c:pt idx="75">
                  <c:v>50.8589519623657</c:v>
                </c:pt>
                <c:pt idx="76">
                  <c:v>51.6218362418011</c:v>
                </c:pt>
                <c:pt idx="77">
                  <c:v>52.3961637854281</c:v>
                </c:pt>
                <c:pt idx="78">
                  <c:v>53.1821062422096</c:v>
                </c:pt>
                <c:pt idx="79">
                  <c:v>53.9798378358427</c:v>
                </c:pt>
                <c:pt idx="80">
                  <c:v>54.7895354033803</c:v>
                </c:pt>
                <c:pt idx="81">
                  <c:v>55.611378434431</c:v>
                </c:pt>
                <c:pt idx="82">
                  <c:v>56.4455491109475</c:v>
                </c:pt>
                <c:pt idx="83">
                  <c:v>57.2922323476117</c:v>
                </c:pt>
                <c:pt idx="84">
                  <c:v>58.1516158328259</c:v>
                </c:pt>
                <c:pt idx="85">
                  <c:v>59.0238900703182</c:v>
                </c:pt>
                <c:pt idx="86">
                  <c:v>59.909248421373</c:v>
                </c:pt>
                <c:pt idx="87">
                  <c:v>60.8078871476936</c:v>
                </c:pt>
                <c:pt idx="88">
                  <c:v>61.720005454909</c:v>
                </c:pt>
                <c:pt idx="89">
                  <c:v>62.6458055367326</c:v>
                </c:pt>
                <c:pt idx="90">
                  <c:v>63.5854926197836</c:v>
                </c:pt>
                <c:pt idx="91">
                  <c:v>64.5392750090804</c:v>
                </c:pt>
                <c:pt idx="92">
                  <c:v>65.5073641342166</c:v>
                </c:pt>
                <c:pt idx="93">
                  <c:v>66.4899745962298</c:v>
                </c:pt>
                <c:pt idx="94">
                  <c:v>67.4873242151733</c:v>
                </c:pt>
                <c:pt idx="95">
                  <c:v>68.4996340784008</c:v>
                </c:pt>
                <c:pt idx="96">
                  <c:v>69.5271285895768</c:v>
                </c:pt>
                <c:pt idx="97">
                  <c:v>70.5700355184205</c:v>
                </c:pt>
                <c:pt idx="98">
                  <c:v>71.6285860511968</c:v>
                </c:pt>
                <c:pt idx="99">
                  <c:v>72.7030148419647</c:v>
                </c:pt>
                <c:pt idx="100">
                  <c:v>73.7935600645942</c:v>
                </c:pt>
                <c:pt idx="101">
                  <c:v>74.9004634655631</c:v>
                </c:pt>
                <c:pt idx="102">
                  <c:v>76.0239704175465</c:v>
                </c:pt>
                <c:pt idx="103">
                  <c:v>77.1643299738097</c:v>
                </c:pt>
                <c:pt idx="104">
                  <c:v>78.3217949234169</c:v>
                </c:pt>
                <c:pt idx="105">
                  <c:v>79.4966218472681</c:v>
                </c:pt>
                <c:pt idx="106">
                  <c:v>80.6890711749771</c:v>
                </c:pt>
                <c:pt idx="107">
                  <c:v>81.8994072426018</c:v>
                </c:pt>
                <c:pt idx="108">
                  <c:v>83.1278983512408</c:v>
                </c:pt>
                <c:pt idx="109">
                  <c:v>84.3748168265094</c:v>
                </c:pt>
                <c:pt idx="110">
                  <c:v>85.640439078907</c:v>
                </c:pt>
                <c:pt idx="111">
                  <c:v>86.9250456650906</c:v>
                </c:pt>
                <c:pt idx="112">
                  <c:v>88.228921350067</c:v>
                </c:pt>
                <c:pt idx="113">
                  <c:v>89.552355170318</c:v>
                </c:pt>
                <c:pt idx="114">
                  <c:v>90.8956404978727</c:v>
                </c:pt>
                <c:pt idx="115">
                  <c:v>92.2590751053408</c:v>
                </c:pt>
                <c:pt idx="116">
                  <c:v>93.6429612319209</c:v>
                </c:pt>
                <c:pt idx="117">
                  <c:v>95.0476056503997</c:v>
                </c:pt>
                <c:pt idx="118">
                  <c:v>96.4733197351557</c:v>
                </c:pt>
                <c:pt idx="119">
                  <c:v>97.920419531183</c:v>
                </c:pt>
                <c:pt idx="120">
                  <c:v>99.3892258241508</c:v>
                </c:pt>
                <c:pt idx="121">
                  <c:v>100.880064211513</c:v>
                </c:pt>
                <c:pt idx="122">
                  <c:v>102.393265174686</c:v>
                </c:pt>
                <c:pt idx="123">
                  <c:v>103.929164152306</c:v>
                </c:pt>
                <c:pt idx="124">
                  <c:v>105.488101614591</c:v>
                </c:pt>
                <c:pt idx="125">
                  <c:v>107.070423138809</c:v>
                </c:pt>
                <c:pt idx="126">
                  <c:v>108.676479485892</c:v>
                </c:pt>
                <c:pt idx="127">
                  <c:v>110.30662667818</c:v>
                </c:pt>
                <c:pt idx="128">
                  <c:v>111.961226078353</c:v>
                </c:pt>
                <c:pt idx="129">
                  <c:v>113.640644469528</c:v>
                </c:pt>
                <c:pt idx="130">
                  <c:v>115.345254136571</c:v>
                </c:pt>
                <c:pt idx="131">
                  <c:v>117.075432948619</c:v>
                </c:pt>
                <c:pt idx="132">
                  <c:v>118.831564442849</c:v>
                </c:pt>
                <c:pt idx="133">
                  <c:v>120.614037909491</c:v>
                </c:pt>
                <c:pt idx="134">
                  <c:v>122.423248478134</c:v>
                </c:pt>
                <c:pt idx="135">
                  <c:v>124.259597205306</c:v>
                </c:pt>
                <c:pt idx="136">
                  <c:v>126.123491163385</c:v>
                </c:pt>
                <c:pt idx="137">
                  <c:v>128.015343530836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Coin!$C$1</c:f>
              <c:strCache>
                <c:ptCount val="1"/>
                <c:pt idx="0">
                  <c:v>DOLLAR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Coin!$B$2:$B$139</c:f>
              <c:numCache>
                <c:formatCode>[$-409]yyyy\-mm\-dd;@</c:formatCode>
                <c:ptCount val="138"/>
                <c:pt idx="0" c:formatCode="[$-409]yyyy\-mm\-dd;@">
                  <c:v>45885</c:v>
                </c:pt>
                <c:pt idx="1" c:formatCode="[$-409]yyyy\-mm\-dd;@">
                  <c:v>45886</c:v>
                </c:pt>
                <c:pt idx="2" c:formatCode="[$-409]yyyy\-mm\-dd;@">
                  <c:v>45887</c:v>
                </c:pt>
                <c:pt idx="3" c:formatCode="[$-409]yyyy\-mm\-dd;@">
                  <c:v>45888</c:v>
                </c:pt>
                <c:pt idx="4" c:formatCode="[$-409]yyyy\-mm\-dd;@">
                  <c:v>45889</c:v>
                </c:pt>
                <c:pt idx="5" c:formatCode="[$-409]yyyy\-mm\-dd;@">
                  <c:v>45890</c:v>
                </c:pt>
                <c:pt idx="6" c:formatCode="[$-409]yyyy\-mm\-dd;@">
                  <c:v>45891</c:v>
                </c:pt>
                <c:pt idx="7" c:formatCode="[$-409]yyyy\-mm\-dd;@">
                  <c:v>45892</c:v>
                </c:pt>
                <c:pt idx="8" c:formatCode="[$-409]yyyy\-mm\-dd;@">
                  <c:v>45893</c:v>
                </c:pt>
                <c:pt idx="9" c:formatCode="[$-409]yyyy\-mm\-dd;@">
                  <c:v>45894</c:v>
                </c:pt>
                <c:pt idx="10" c:formatCode="[$-409]yyyy\-mm\-dd;@">
                  <c:v>45895</c:v>
                </c:pt>
                <c:pt idx="11" c:formatCode="[$-409]yyyy\-mm\-dd;@">
                  <c:v>45896</c:v>
                </c:pt>
                <c:pt idx="12" c:formatCode="[$-409]yyyy\-mm\-dd;@">
                  <c:v>45897</c:v>
                </c:pt>
                <c:pt idx="13" c:formatCode="[$-409]yyyy\-mm\-dd;@">
                  <c:v>45898</c:v>
                </c:pt>
                <c:pt idx="14" c:formatCode="[$-409]yyyy\-mm\-dd;@">
                  <c:v>45899</c:v>
                </c:pt>
                <c:pt idx="15" c:formatCode="[$-409]yyyy\-mm\-dd;@">
                  <c:v>45900</c:v>
                </c:pt>
                <c:pt idx="16" c:formatCode="[$-409]yyyy\-mm\-dd;@">
                  <c:v>45901</c:v>
                </c:pt>
                <c:pt idx="17" c:formatCode="[$-409]yyyy\-mm\-dd;@">
                  <c:v>45902</c:v>
                </c:pt>
                <c:pt idx="18" c:formatCode="[$-409]yyyy\-mm\-dd;@">
                  <c:v>45903</c:v>
                </c:pt>
                <c:pt idx="19" c:formatCode="[$-409]yyyy\-mm\-dd;@">
                  <c:v>45904</c:v>
                </c:pt>
                <c:pt idx="20" c:formatCode="[$-409]yyyy\-mm\-dd;@">
                  <c:v>45905</c:v>
                </c:pt>
                <c:pt idx="21" c:formatCode="[$-409]yyyy\-mm\-dd;@">
                  <c:v>45906</c:v>
                </c:pt>
                <c:pt idx="22" c:formatCode="[$-409]yyyy\-mm\-dd;@">
                  <c:v>45907</c:v>
                </c:pt>
                <c:pt idx="23" c:formatCode="[$-409]yyyy\-mm\-dd;@">
                  <c:v>45908</c:v>
                </c:pt>
                <c:pt idx="24" c:formatCode="[$-409]yyyy\-mm\-dd;@">
                  <c:v>45909</c:v>
                </c:pt>
                <c:pt idx="25" c:formatCode="[$-409]yyyy\-mm\-dd;@">
                  <c:v>45910</c:v>
                </c:pt>
                <c:pt idx="26" c:formatCode="[$-409]yyyy\-mm\-dd;@">
                  <c:v>45911</c:v>
                </c:pt>
                <c:pt idx="27" c:formatCode="[$-409]yyyy\-mm\-dd;@">
                  <c:v>45912</c:v>
                </c:pt>
                <c:pt idx="28" c:formatCode="[$-409]yyyy\-mm\-dd;@">
                  <c:v>45913</c:v>
                </c:pt>
                <c:pt idx="29" c:formatCode="[$-409]yyyy\-mm\-dd;@">
                  <c:v>45914</c:v>
                </c:pt>
                <c:pt idx="30" c:formatCode="[$-409]yyyy\-mm\-dd;@">
                  <c:v>45915</c:v>
                </c:pt>
                <c:pt idx="31" c:formatCode="[$-409]yyyy\-mm\-dd;@">
                  <c:v>45916</c:v>
                </c:pt>
                <c:pt idx="32" c:formatCode="[$-409]yyyy\-mm\-dd;@">
                  <c:v>45917</c:v>
                </c:pt>
                <c:pt idx="33" c:formatCode="[$-409]yyyy\-mm\-dd;@">
                  <c:v>45918</c:v>
                </c:pt>
                <c:pt idx="34" c:formatCode="[$-409]yyyy\-mm\-dd;@">
                  <c:v>45919</c:v>
                </c:pt>
                <c:pt idx="35" c:formatCode="[$-409]yyyy\-mm\-dd;@">
                  <c:v>45920</c:v>
                </c:pt>
                <c:pt idx="36" c:formatCode="[$-409]yyyy\-mm\-dd;@">
                  <c:v>45921</c:v>
                </c:pt>
                <c:pt idx="37" c:formatCode="[$-409]yyyy\-mm\-dd;@">
                  <c:v>45922</c:v>
                </c:pt>
                <c:pt idx="38" c:formatCode="[$-409]yyyy\-mm\-dd;@">
                  <c:v>45923</c:v>
                </c:pt>
                <c:pt idx="39" c:formatCode="[$-409]yyyy\-mm\-dd;@">
                  <c:v>45924</c:v>
                </c:pt>
                <c:pt idx="40" c:formatCode="[$-409]yyyy\-mm\-dd;@">
                  <c:v>45925</c:v>
                </c:pt>
                <c:pt idx="41" c:formatCode="[$-409]yyyy\-mm\-dd;@">
                  <c:v>45926</c:v>
                </c:pt>
                <c:pt idx="42" c:formatCode="[$-409]yyyy\-mm\-dd;@">
                  <c:v>45927</c:v>
                </c:pt>
                <c:pt idx="43" c:formatCode="[$-409]yyyy\-mm\-dd;@">
                  <c:v>45928</c:v>
                </c:pt>
                <c:pt idx="44" c:formatCode="[$-409]yyyy\-mm\-dd;@">
                  <c:v>45929</c:v>
                </c:pt>
                <c:pt idx="45" c:formatCode="[$-409]yyyy\-mm\-dd;@">
                  <c:v>45930</c:v>
                </c:pt>
                <c:pt idx="46" c:formatCode="[$-409]yyyy\-mm\-dd;@">
                  <c:v>45931</c:v>
                </c:pt>
                <c:pt idx="47" c:formatCode="[$-409]yyyy\-mm\-dd;@">
                  <c:v>45932</c:v>
                </c:pt>
                <c:pt idx="48" c:formatCode="[$-409]yyyy\-mm\-dd;@">
                  <c:v>45933</c:v>
                </c:pt>
                <c:pt idx="49" c:formatCode="[$-409]yyyy\-mm\-dd;@">
                  <c:v>45934</c:v>
                </c:pt>
                <c:pt idx="50" c:formatCode="[$-409]yyyy\-mm\-dd;@">
                  <c:v>45935</c:v>
                </c:pt>
                <c:pt idx="51" c:formatCode="[$-409]yyyy\-mm\-dd;@">
                  <c:v>45936</c:v>
                </c:pt>
                <c:pt idx="52" c:formatCode="[$-409]yyyy\-mm\-dd;@">
                  <c:v>45937</c:v>
                </c:pt>
                <c:pt idx="53" c:formatCode="[$-409]yyyy\-mm\-dd;@">
                  <c:v>45938</c:v>
                </c:pt>
                <c:pt idx="54" c:formatCode="[$-409]yyyy\-mm\-dd;@">
                  <c:v>45939</c:v>
                </c:pt>
                <c:pt idx="55" c:formatCode="[$-409]yyyy\-mm\-dd;@">
                  <c:v>45940</c:v>
                </c:pt>
                <c:pt idx="56" c:formatCode="[$-409]yyyy\-mm\-dd;@">
                  <c:v>45941</c:v>
                </c:pt>
                <c:pt idx="57" c:formatCode="[$-409]yyyy\-mm\-dd;@">
                  <c:v>45942</c:v>
                </c:pt>
                <c:pt idx="58" c:formatCode="[$-409]yyyy\-mm\-dd;@">
                  <c:v>45943</c:v>
                </c:pt>
                <c:pt idx="59" c:formatCode="[$-409]yyyy\-mm\-dd;@">
                  <c:v>45944</c:v>
                </c:pt>
                <c:pt idx="60" c:formatCode="[$-409]yyyy\-mm\-dd;@">
                  <c:v>45945</c:v>
                </c:pt>
                <c:pt idx="61" c:formatCode="[$-409]yyyy\-mm\-dd;@">
                  <c:v>45946</c:v>
                </c:pt>
                <c:pt idx="62" c:formatCode="[$-409]yyyy\-mm\-dd;@">
                  <c:v>45947</c:v>
                </c:pt>
                <c:pt idx="63" c:formatCode="[$-409]yyyy\-mm\-dd;@">
                  <c:v>45948</c:v>
                </c:pt>
                <c:pt idx="64" c:formatCode="[$-409]yyyy\-mm\-dd;@">
                  <c:v>45949</c:v>
                </c:pt>
                <c:pt idx="65" c:formatCode="[$-409]yyyy\-mm\-dd;@">
                  <c:v>45950</c:v>
                </c:pt>
                <c:pt idx="66" c:formatCode="[$-409]yyyy\-mm\-dd;@">
                  <c:v>45951</c:v>
                </c:pt>
                <c:pt idx="67" c:formatCode="[$-409]yyyy\-mm\-dd;@">
                  <c:v>45952</c:v>
                </c:pt>
                <c:pt idx="68" c:formatCode="[$-409]yyyy\-mm\-dd;@">
                  <c:v>45953</c:v>
                </c:pt>
                <c:pt idx="69" c:formatCode="[$-409]yyyy\-mm\-dd;@">
                  <c:v>45954</c:v>
                </c:pt>
                <c:pt idx="70" c:formatCode="[$-409]yyyy\-mm\-dd;@">
                  <c:v>45955</c:v>
                </c:pt>
                <c:pt idx="71" c:formatCode="[$-409]yyyy\-mm\-dd;@">
                  <c:v>45956</c:v>
                </c:pt>
                <c:pt idx="72" c:formatCode="[$-409]yyyy\-mm\-dd;@">
                  <c:v>45957</c:v>
                </c:pt>
                <c:pt idx="73" c:formatCode="[$-409]yyyy\-mm\-dd;@">
                  <c:v>45958</c:v>
                </c:pt>
                <c:pt idx="74" c:formatCode="[$-409]yyyy\-mm\-dd;@">
                  <c:v>45959</c:v>
                </c:pt>
                <c:pt idx="75" c:formatCode="[$-409]yyyy\-mm\-dd;@">
                  <c:v>45960</c:v>
                </c:pt>
                <c:pt idx="76" c:formatCode="[$-409]yyyy\-mm\-dd;@">
                  <c:v>45961</c:v>
                </c:pt>
                <c:pt idx="77" c:formatCode="[$-409]yyyy\-mm\-dd;@">
                  <c:v>45962</c:v>
                </c:pt>
                <c:pt idx="78" c:formatCode="[$-409]yyyy\-mm\-dd;@">
                  <c:v>45963</c:v>
                </c:pt>
                <c:pt idx="79" c:formatCode="[$-409]yyyy\-mm\-dd;@">
                  <c:v>45964</c:v>
                </c:pt>
                <c:pt idx="80" c:formatCode="[$-409]yyyy\-mm\-dd;@">
                  <c:v>45965</c:v>
                </c:pt>
                <c:pt idx="81" c:formatCode="[$-409]yyyy\-mm\-dd;@">
                  <c:v>45966</c:v>
                </c:pt>
                <c:pt idx="82" c:formatCode="[$-409]yyyy\-mm\-dd;@">
                  <c:v>45967</c:v>
                </c:pt>
                <c:pt idx="83" c:formatCode="[$-409]yyyy\-mm\-dd;@">
                  <c:v>45968</c:v>
                </c:pt>
                <c:pt idx="84" c:formatCode="[$-409]yyyy\-mm\-dd;@">
                  <c:v>45969</c:v>
                </c:pt>
                <c:pt idx="85" c:formatCode="[$-409]yyyy\-mm\-dd;@">
                  <c:v>45970</c:v>
                </c:pt>
                <c:pt idx="86" c:formatCode="[$-409]yyyy\-mm\-dd;@">
                  <c:v>45971</c:v>
                </c:pt>
                <c:pt idx="87" c:formatCode="[$-409]yyyy\-mm\-dd;@">
                  <c:v>45972</c:v>
                </c:pt>
                <c:pt idx="88" c:formatCode="[$-409]yyyy\-mm\-dd;@">
                  <c:v>45973</c:v>
                </c:pt>
                <c:pt idx="89" c:formatCode="[$-409]yyyy\-mm\-dd;@">
                  <c:v>45974</c:v>
                </c:pt>
                <c:pt idx="90" c:formatCode="[$-409]yyyy\-mm\-dd;@">
                  <c:v>45975</c:v>
                </c:pt>
                <c:pt idx="91" c:formatCode="[$-409]yyyy\-mm\-dd;@">
                  <c:v>45976</c:v>
                </c:pt>
                <c:pt idx="92" c:formatCode="[$-409]yyyy\-mm\-dd;@">
                  <c:v>45977</c:v>
                </c:pt>
                <c:pt idx="93" c:formatCode="[$-409]yyyy\-mm\-dd;@">
                  <c:v>45978</c:v>
                </c:pt>
                <c:pt idx="94" c:formatCode="[$-409]yyyy\-mm\-dd;@">
                  <c:v>45979</c:v>
                </c:pt>
                <c:pt idx="95" c:formatCode="[$-409]yyyy\-mm\-dd;@">
                  <c:v>45980</c:v>
                </c:pt>
                <c:pt idx="96" c:formatCode="[$-409]yyyy\-mm\-dd;@">
                  <c:v>45981</c:v>
                </c:pt>
                <c:pt idx="97" c:formatCode="[$-409]yyyy\-mm\-dd;@">
                  <c:v>45982</c:v>
                </c:pt>
                <c:pt idx="98" c:formatCode="[$-409]yyyy\-mm\-dd;@">
                  <c:v>45983</c:v>
                </c:pt>
                <c:pt idx="99" c:formatCode="[$-409]yyyy\-mm\-dd;@">
                  <c:v>45984</c:v>
                </c:pt>
                <c:pt idx="100" c:formatCode="[$-409]yyyy\-mm\-dd;@">
                  <c:v>45985</c:v>
                </c:pt>
                <c:pt idx="101" c:formatCode="[$-409]yyyy\-mm\-dd;@">
                  <c:v>45986</c:v>
                </c:pt>
                <c:pt idx="102" c:formatCode="[$-409]yyyy\-mm\-dd;@">
                  <c:v>45987</c:v>
                </c:pt>
                <c:pt idx="103" c:formatCode="[$-409]yyyy\-mm\-dd;@">
                  <c:v>45988</c:v>
                </c:pt>
                <c:pt idx="104" c:formatCode="[$-409]yyyy\-mm\-dd;@">
                  <c:v>45989</c:v>
                </c:pt>
                <c:pt idx="105" c:formatCode="[$-409]yyyy\-mm\-dd;@">
                  <c:v>45990</c:v>
                </c:pt>
                <c:pt idx="106" c:formatCode="[$-409]yyyy\-mm\-dd;@">
                  <c:v>45991</c:v>
                </c:pt>
                <c:pt idx="107" c:formatCode="[$-409]yyyy\-mm\-dd;@">
                  <c:v>45992</c:v>
                </c:pt>
                <c:pt idx="108" c:formatCode="[$-409]yyyy\-mm\-dd;@">
                  <c:v>45993</c:v>
                </c:pt>
                <c:pt idx="109" c:formatCode="[$-409]yyyy\-mm\-dd;@">
                  <c:v>45994</c:v>
                </c:pt>
                <c:pt idx="110" c:formatCode="[$-409]yyyy\-mm\-dd;@">
                  <c:v>45995</c:v>
                </c:pt>
                <c:pt idx="111" c:formatCode="[$-409]yyyy\-mm\-dd;@">
                  <c:v>45996</c:v>
                </c:pt>
                <c:pt idx="112" c:formatCode="[$-409]yyyy\-mm\-dd;@">
                  <c:v>45997</c:v>
                </c:pt>
                <c:pt idx="113" c:formatCode="[$-409]yyyy\-mm\-dd;@">
                  <c:v>45998</c:v>
                </c:pt>
                <c:pt idx="114" c:formatCode="[$-409]yyyy\-mm\-dd;@">
                  <c:v>45999</c:v>
                </c:pt>
                <c:pt idx="115" c:formatCode="[$-409]yyyy\-mm\-dd;@">
                  <c:v>46000</c:v>
                </c:pt>
                <c:pt idx="116" c:formatCode="[$-409]yyyy\-mm\-dd;@">
                  <c:v>46001</c:v>
                </c:pt>
                <c:pt idx="117" c:formatCode="[$-409]yyyy\-mm\-dd;@">
                  <c:v>46002</c:v>
                </c:pt>
                <c:pt idx="118" c:formatCode="[$-409]yyyy\-mm\-dd;@">
                  <c:v>46003</c:v>
                </c:pt>
                <c:pt idx="119" c:formatCode="[$-409]yyyy\-mm\-dd;@">
                  <c:v>46004</c:v>
                </c:pt>
                <c:pt idx="120" c:formatCode="[$-409]yyyy\-mm\-dd;@">
                  <c:v>46005</c:v>
                </c:pt>
                <c:pt idx="121" c:formatCode="[$-409]yyyy\-mm\-dd;@">
                  <c:v>46006</c:v>
                </c:pt>
                <c:pt idx="122" c:formatCode="[$-409]yyyy\-mm\-dd;@">
                  <c:v>46007</c:v>
                </c:pt>
                <c:pt idx="123" c:formatCode="[$-409]yyyy\-mm\-dd;@">
                  <c:v>46008</c:v>
                </c:pt>
                <c:pt idx="124" c:formatCode="[$-409]yyyy\-mm\-dd;@">
                  <c:v>46009</c:v>
                </c:pt>
                <c:pt idx="125" c:formatCode="[$-409]yyyy\-mm\-dd;@">
                  <c:v>46010</c:v>
                </c:pt>
                <c:pt idx="126" c:formatCode="[$-409]yyyy\-mm\-dd;@">
                  <c:v>46011</c:v>
                </c:pt>
                <c:pt idx="127" c:formatCode="[$-409]yyyy\-mm\-dd;@">
                  <c:v>46012</c:v>
                </c:pt>
                <c:pt idx="128" c:formatCode="[$-409]yyyy\-mm\-dd;@">
                  <c:v>46013</c:v>
                </c:pt>
                <c:pt idx="129" c:formatCode="[$-409]yyyy\-mm\-dd;@">
                  <c:v>46014</c:v>
                </c:pt>
                <c:pt idx="130" c:formatCode="[$-409]yyyy\-mm\-dd;@">
                  <c:v>46015</c:v>
                </c:pt>
                <c:pt idx="131" c:formatCode="[$-409]yyyy\-mm\-dd;@">
                  <c:v>46016</c:v>
                </c:pt>
                <c:pt idx="132" c:formatCode="[$-409]yyyy\-mm\-dd;@">
                  <c:v>46017</c:v>
                </c:pt>
                <c:pt idx="133" c:formatCode="[$-409]yyyy\-mm\-dd;@">
                  <c:v>46018</c:v>
                </c:pt>
                <c:pt idx="134" c:formatCode="[$-409]yyyy\-mm\-dd;@">
                  <c:v>46019</c:v>
                </c:pt>
                <c:pt idx="135" c:formatCode="[$-409]yyyy\-mm\-dd;@">
                  <c:v>46020</c:v>
                </c:pt>
                <c:pt idx="136" c:formatCode="[$-409]yyyy\-mm\-dd;@">
                  <c:v>46021</c:v>
                </c:pt>
                <c:pt idx="137" c:formatCode="[$-409]yyyy\-mm\-dd;@">
                  <c:v>46022</c:v>
                </c:pt>
              </c:numCache>
            </c:numRef>
          </c:cat>
          <c:val>
            <c:numRef>
              <c:f>Coin!$C$2:$C$139</c:f>
              <c:numCache>
                <c:formatCode>#,##0.00\ "$"\ \ \ \ </c:formatCode>
                <c:ptCount val="138"/>
                <c:pt idx="0">
                  <c:v>16.65</c:v>
                </c:pt>
                <c:pt idx="1">
                  <c:v>16.81</c:v>
                </c:pt>
                <c:pt idx="2">
                  <c:v>16.72</c:v>
                </c:pt>
                <c:pt idx="3">
                  <c:v>16.63</c:v>
                </c:pt>
                <c:pt idx="4">
                  <c:v>17.19</c:v>
                </c:pt>
                <c:pt idx="5">
                  <c:v>17.35</c:v>
                </c:pt>
                <c:pt idx="6">
                  <c:v>17.69</c:v>
                </c:pt>
                <c:pt idx="7">
                  <c:v>18.06</c:v>
                </c:pt>
                <c:pt idx="8">
                  <c:v>18.17</c:v>
                </c:pt>
                <c:pt idx="9">
                  <c:v>18.79</c:v>
                </c:pt>
                <c:pt idx="10">
                  <c:v>19.21</c:v>
                </c:pt>
                <c:pt idx="11">
                  <c:v>19.09</c:v>
                </c:pt>
                <c:pt idx="12">
                  <c:v>19.61</c:v>
                </c:pt>
                <c:pt idx="13">
                  <c:v>18.31</c:v>
                </c:pt>
                <c:pt idx="14">
                  <c:v>19.3</c:v>
                </c:pt>
                <c:pt idx="15">
                  <c:v>19.94</c:v>
                </c:pt>
                <c:pt idx="16">
                  <c:v>18.89</c:v>
                </c:pt>
                <c:pt idx="17">
                  <c:v>19.34</c:v>
                </c:pt>
                <c:pt idx="18">
                  <c:v>19.38</c:v>
                </c:pt>
                <c:pt idx="19">
                  <c:v>18.87</c:v>
                </c:pt>
                <c:pt idx="20">
                  <c:v>18.12</c:v>
                </c:pt>
                <c:pt idx="21">
                  <c:v>18.67</c:v>
                </c:pt>
                <c:pt idx="22">
                  <c:v>25.34</c:v>
                </c:pt>
                <c:pt idx="23">
                  <c:v>25.73</c:v>
                </c:pt>
                <c:pt idx="24">
                  <c:v>26.12</c:v>
                </c:pt>
                <c:pt idx="25">
                  <c:v>25.22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817584"/>
        <c:axId val="715326763"/>
      </c:lineChart>
      <c:dateAx>
        <c:axId val="916817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326763"/>
        <c:crosses val="autoZero"/>
        <c:auto val="1"/>
        <c:lblOffset val="100"/>
        <c:baseTimeUnit val="days"/>
      </c:dateAx>
      <c:valAx>
        <c:axId val="7153267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\ &quot;$&quot;\ \ \ 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68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f9c64e-4c7e-49c7-838a-d9cd8c50eef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0</xdr:colOff>
      <xdr:row>0</xdr:row>
      <xdr:rowOff>9525</xdr:rowOff>
    </xdr:from>
    <xdr:to>
      <xdr:col>21</xdr:col>
      <xdr:colOff>0</xdr:colOff>
      <xdr:row>13</xdr:row>
      <xdr:rowOff>23495</xdr:rowOff>
    </xdr:to>
    <xdr:graphicFrame>
      <xdr:nvGraphicFramePr>
        <xdr:cNvPr id="3" name="Chart 1"/>
        <xdr:cNvGraphicFramePr/>
      </xdr:nvGraphicFramePr>
      <xdr:xfrm>
        <a:off x="17887950" y="9525"/>
        <a:ext cx="1990725" cy="2614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0</xdr:row>
      <xdr:rowOff>9525</xdr:rowOff>
    </xdr:from>
    <xdr:to>
      <xdr:col>24</xdr:col>
      <xdr:colOff>633095</xdr:colOff>
      <xdr:row>36</xdr:row>
      <xdr:rowOff>10160</xdr:rowOff>
    </xdr:to>
    <xdr:graphicFrame>
      <xdr:nvGraphicFramePr>
        <xdr:cNvPr id="3" name="图表 2"/>
        <xdr:cNvGraphicFramePr/>
      </xdr:nvGraphicFramePr>
      <xdr:xfrm>
        <a:off x="4038600" y="9525"/>
        <a:ext cx="13180695" cy="7201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101600</xdr:colOff>
      <xdr:row>6</xdr:row>
      <xdr:rowOff>190500</xdr:rowOff>
    </xdr:from>
    <xdr:to>
      <xdr:col>10</xdr:col>
      <xdr:colOff>685165</xdr:colOff>
      <xdr:row>16</xdr:row>
      <xdr:rowOff>172085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53350" y="1390650"/>
          <a:ext cx="583565" cy="198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405130</xdr:colOff>
      <xdr:row>17</xdr:row>
      <xdr:rowOff>193675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32575" y="1600200"/>
          <a:ext cx="795655" cy="199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609600</xdr:colOff>
      <xdr:row>19</xdr:row>
      <xdr:rowOff>16510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47075" y="2000250"/>
          <a:ext cx="609600" cy="181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50165</xdr:colOff>
      <xdr:row>21</xdr:row>
      <xdr:rowOff>48260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51925" y="2400300"/>
          <a:ext cx="574040" cy="184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15</xdr:col>
      <xdr:colOff>273685</xdr:colOff>
      <xdr:row>21</xdr:row>
      <xdr:rowOff>118110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75800" y="2800350"/>
          <a:ext cx="1588135" cy="151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9</xdr:col>
      <xdr:colOff>441960</xdr:colOff>
      <xdr:row>29</xdr:row>
      <xdr:rowOff>92710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32575" y="4200525"/>
          <a:ext cx="832485" cy="169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11</xdr:col>
      <xdr:colOff>344805</xdr:colOff>
      <xdr:row>29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51750" y="4400550"/>
          <a:ext cx="1040130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14</xdr:col>
      <xdr:colOff>221615</xdr:colOff>
      <xdr:row>32</xdr:row>
      <xdr:rowOff>48260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051925" y="4600575"/>
          <a:ext cx="1269365" cy="184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344805</xdr:colOff>
      <xdr:row>37</xdr:row>
      <xdr:rowOff>172085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32575" y="6000750"/>
          <a:ext cx="1363980" cy="1572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17</xdr:col>
      <xdr:colOff>193675</xdr:colOff>
      <xdr:row>40</xdr:row>
      <xdr:rowOff>171450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680825" y="6200775"/>
          <a:ext cx="1289050" cy="197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12</xdr:col>
      <xdr:colOff>353060</xdr:colOff>
      <xdr:row>39</xdr:row>
      <xdr:rowOff>13970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347075" y="6400800"/>
          <a:ext cx="1057910" cy="1414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14</xdr:col>
      <xdr:colOff>422910</xdr:colOff>
      <xdr:row>43</xdr:row>
      <xdr:rowOff>67310</xdr:rowOff>
    </xdr:to>
    <xdr:pic>
      <xdr:nvPicPr>
        <xdr:cNvPr id="21" name="图片 2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75800" y="6600825"/>
          <a:ext cx="946785" cy="2067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517525</xdr:colOff>
      <xdr:row>36</xdr:row>
      <xdr:rowOff>12700</xdr:rowOff>
    </xdr:from>
    <xdr:to>
      <xdr:col>15</xdr:col>
      <xdr:colOff>690245</xdr:colOff>
      <xdr:row>46</xdr:row>
      <xdr:rowOff>95250</xdr:rowOff>
    </xdr:to>
    <xdr:pic>
      <xdr:nvPicPr>
        <xdr:cNvPr id="23" name="图片 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617200" y="7213600"/>
          <a:ext cx="963295" cy="208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9</xdr:col>
      <xdr:colOff>531495</xdr:colOff>
      <xdr:row>46</xdr:row>
      <xdr:rowOff>127000</xdr:rowOff>
    </xdr:to>
    <xdr:pic>
      <xdr:nvPicPr>
        <xdr:cNvPr id="24" name="图片 2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632575" y="7600950"/>
          <a:ext cx="922020" cy="172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B45" sqref="B45"/>
    </sheetView>
  </sheetViews>
  <sheetFormatPr defaultColWidth="9.14166666666667" defaultRowHeight="12.75" outlineLevelCol="1"/>
  <cols>
    <col min="1" max="1" width="12.425" style="335" customWidth="1"/>
    <col min="2" max="2" width="153.425" style="336" customWidth="1"/>
    <col min="3" max="16384" width="9.14166666666667" style="337"/>
  </cols>
  <sheetData>
    <row r="1" spans="1:2">
      <c r="A1" s="338" t="s">
        <v>0</v>
      </c>
      <c r="B1" s="338" t="s">
        <v>1</v>
      </c>
    </row>
    <row r="2" spans="1:2">
      <c r="A2" s="339" t="s">
        <v>2</v>
      </c>
      <c r="B2" s="340" t="s">
        <v>3</v>
      </c>
    </row>
    <row r="3" spans="1:2">
      <c r="A3" s="341"/>
      <c r="B3" s="340" t="s">
        <v>4</v>
      </c>
    </row>
    <row r="4" spans="1:2">
      <c r="A4" s="341"/>
      <c r="B4" s="340" t="s">
        <v>5</v>
      </c>
    </row>
    <row r="5" spans="1:2">
      <c r="A5" s="341"/>
      <c r="B5" s="340" t="s">
        <v>6</v>
      </c>
    </row>
    <row r="6" spans="1:2">
      <c r="A6" s="341"/>
      <c r="B6" s="340" t="s">
        <v>7</v>
      </c>
    </row>
    <row r="7" spans="1:2">
      <c r="A7" s="341"/>
      <c r="B7" s="340" t="s">
        <v>8</v>
      </c>
    </row>
    <row r="8" spans="1:2">
      <c r="A8" s="338" t="s">
        <v>9</v>
      </c>
      <c r="B8" s="342" t="s">
        <v>10</v>
      </c>
    </row>
    <row r="9" spans="1:2">
      <c r="A9" s="338"/>
      <c r="B9" s="342" t="s">
        <v>11</v>
      </c>
    </row>
    <row r="10" spans="1:2">
      <c r="A10" s="338"/>
      <c r="B10" s="343" t="s">
        <v>12</v>
      </c>
    </row>
    <row r="11" spans="1:2">
      <c r="A11" s="338"/>
      <c r="B11" s="343" t="s">
        <v>13</v>
      </c>
    </row>
    <row r="12" spans="1:2">
      <c r="A12" s="338"/>
      <c r="B12" s="342" t="s">
        <v>14</v>
      </c>
    </row>
    <row r="13" spans="1:2">
      <c r="A13" s="339" t="s">
        <v>15</v>
      </c>
      <c r="B13" s="342" t="s">
        <v>16</v>
      </c>
    </row>
    <row r="14" spans="1:2">
      <c r="A14" s="341"/>
      <c r="B14" s="342" t="s">
        <v>17</v>
      </c>
    </row>
    <row r="15" spans="1:2">
      <c r="A15" s="341"/>
      <c r="B15" s="342" t="s">
        <v>18</v>
      </c>
    </row>
    <row r="16" spans="1:2">
      <c r="A16" s="344"/>
      <c r="B16" s="342" t="s">
        <v>19</v>
      </c>
    </row>
    <row r="17" spans="1:2">
      <c r="A17" s="339" t="s">
        <v>20</v>
      </c>
      <c r="B17" s="342" t="s">
        <v>21</v>
      </c>
    </row>
    <row r="18" spans="1:2">
      <c r="A18" s="341"/>
      <c r="B18" s="342" t="s">
        <v>22</v>
      </c>
    </row>
    <row r="19" spans="1:2">
      <c r="A19" s="341"/>
      <c r="B19" s="342" t="s">
        <v>23</v>
      </c>
    </row>
    <row r="20" spans="1:2">
      <c r="A20" s="341"/>
      <c r="B20" s="342" t="s">
        <v>24</v>
      </c>
    </row>
    <row r="21" spans="1:2">
      <c r="A21" s="344"/>
      <c r="B21" s="345" t="s">
        <v>25</v>
      </c>
    </row>
    <row r="22" s="334" customFormat="1" spans="1:2">
      <c r="A22" s="338" t="s">
        <v>26</v>
      </c>
      <c r="B22" s="342" t="s">
        <v>27</v>
      </c>
    </row>
    <row r="23" s="334" customFormat="1" spans="1:2">
      <c r="A23" s="338"/>
      <c r="B23" s="342" t="s">
        <v>28</v>
      </c>
    </row>
    <row r="24" s="334" customFormat="1" spans="1:2">
      <c r="A24" s="338"/>
      <c r="B24" s="342" t="s">
        <v>29</v>
      </c>
    </row>
    <row r="25" s="334" customFormat="1" spans="1:2">
      <c r="A25" s="338"/>
      <c r="B25" s="342" t="s">
        <v>30</v>
      </c>
    </row>
    <row r="26" s="334" customFormat="1" spans="1:2">
      <c r="A26" s="338"/>
      <c r="B26" s="342" t="s">
        <v>31</v>
      </c>
    </row>
    <row r="27" s="334" customFormat="1" spans="1:2">
      <c r="A27" s="338"/>
      <c r="B27" s="342" t="s">
        <v>32</v>
      </c>
    </row>
    <row r="28" s="334" customFormat="1" spans="1:2">
      <c r="A28" s="335"/>
      <c r="B28" s="346"/>
    </row>
    <row r="29" s="334" customFormat="1" spans="1:2">
      <c r="A29" s="335"/>
      <c r="B29" s="346"/>
    </row>
    <row r="30" s="334" customFormat="1" spans="1:2">
      <c r="A30" s="335"/>
      <c r="B30" s="346"/>
    </row>
  </sheetData>
  <mergeCells count="5">
    <mergeCell ref="A2:A7"/>
    <mergeCell ref="A8:A12"/>
    <mergeCell ref="A13:A16"/>
    <mergeCell ref="A17:A21"/>
    <mergeCell ref="A22:A2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33"/>
  <sheetViews>
    <sheetView workbookViewId="0">
      <pane xSplit="1" ySplit="15" topLeftCell="C139" activePane="bottomRight" state="frozen"/>
      <selection/>
      <selection pane="topRight"/>
      <selection pane="bottomLeft"/>
      <selection pane="bottomRight" activeCell="A149" sqref="A149"/>
    </sheetView>
  </sheetViews>
  <sheetFormatPr defaultColWidth="7.5" defaultRowHeight="15.75"/>
  <cols>
    <col min="1" max="1" width="12.25" style="277" customWidth="1"/>
    <col min="2" max="2" width="9.375" style="278" customWidth="1"/>
    <col min="3" max="3" width="12.375" style="279" customWidth="1"/>
    <col min="4" max="4" width="14" style="280" customWidth="1"/>
    <col min="5" max="5" width="12.375" style="279" customWidth="1"/>
    <col min="6" max="6" width="14" style="281" customWidth="1"/>
    <col min="7" max="7" width="12.375" style="279" customWidth="1"/>
    <col min="8" max="8" width="14.5" style="280" customWidth="1"/>
    <col min="9" max="9" width="12.25" style="279" customWidth="1"/>
    <col min="10" max="10" width="15" style="280" customWidth="1"/>
    <col min="11" max="11" width="12.375" style="280" customWidth="1"/>
    <col min="12" max="12" width="15.25" style="282" customWidth="1"/>
    <col min="13" max="13" width="9" style="283" customWidth="1"/>
    <col min="14" max="14" width="15.625" style="284" customWidth="1"/>
    <col min="15" max="15" width="11.875" style="285" customWidth="1"/>
    <col min="16" max="16" width="16.5" style="284" customWidth="1"/>
    <col min="17" max="17" width="9.125" style="286" customWidth="1"/>
    <col min="18" max="18" width="16.5" style="284" customWidth="1"/>
    <col min="19" max="19" width="12.375" style="284" customWidth="1"/>
    <col min="20" max="21" width="6.875" style="287" customWidth="1"/>
    <col min="22" max="22" width="7.5" style="280" customWidth="1"/>
    <col min="23" max="23" width="6.625" style="280" customWidth="1"/>
    <col min="24" max="24" width="8.375" style="280" customWidth="1"/>
    <col min="25" max="25" width="6.25" style="279" customWidth="1"/>
    <col min="26" max="26" width="10.125" style="280" customWidth="1"/>
    <col min="27" max="27" width="6.375" style="279" customWidth="1"/>
    <col min="28" max="28" width="11" style="280" customWidth="1"/>
    <col min="29" max="29" width="6.375" style="279" customWidth="1"/>
    <col min="30" max="30" width="11" style="280" customWidth="1"/>
    <col min="31" max="31" width="6.375" style="279" customWidth="1"/>
    <col min="32" max="32" width="12.25" style="280" customWidth="1"/>
    <col min="33" max="33" width="6.875" style="279" customWidth="1"/>
    <col min="34" max="34" width="12.5" style="280" customWidth="1"/>
    <col min="35" max="35" width="6.875" style="279" customWidth="1"/>
    <col min="36" max="36" width="12.5" style="280" customWidth="1"/>
    <col min="37" max="37" width="7" style="279" customWidth="1"/>
    <col min="38" max="38" width="13.25" style="280" customWidth="1"/>
    <col min="39" max="39" width="7.5" style="279" customWidth="1"/>
    <col min="40" max="40" width="13.375" style="280" customWidth="1"/>
    <col min="41" max="16382" width="7.5" style="278" customWidth="1"/>
    <col min="16383" max="16384" width="7.5" style="278"/>
  </cols>
  <sheetData>
    <row r="1" spans="1:18">
      <c r="A1" s="288" t="s">
        <v>33</v>
      </c>
      <c r="B1" s="288" t="s">
        <v>34</v>
      </c>
      <c r="C1" s="289" t="s">
        <v>35</v>
      </c>
      <c r="D1" s="288" t="s">
        <v>36</v>
      </c>
      <c r="E1" s="289" t="s">
        <v>37</v>
      </c>
      <c r="F1" s="288" t="s">
        <v>36</v>
      </c>
      <c r="G1" s="289" t="s">
        <v>38</v>
      </c>
      <c r="H1" s="288" t="s">
        <v>36</v>
      </c>
      <c r="I1" s="289" t="s">
        <v>39</v>
      </c>
      <c r="J1" s="288" t="s">
        <v>36</v>
      </c>
      <c r="K1" s="289" t="s">
        <v>40</v>
      </c>
      <c r="L1" s="288" t="s">
        <v>36</v>
      </c>
      <c r="M1" s="289" t="s">
        <v>41</v>
      </c>
      <c r="N1" s="288" t="s">
        <v>36</v>
      </c>
      <c r="O1" s="289" t="s">
        <v>42</v>
      </c>
      <c r="P1" s="288" t="s">
        <v>36</v>
      </c>
      <c r="Q1" s="289" t="s">
        <v>43</v>
      </c>
      <c r="R1" s="288" t="s">
        <v>36</v>
      </c>
    </row>
    <row r="2" spans="1:18">
      <c r="A2" s="290">
        <v>45658</v>
      </c>
      <c r="B2" s="288">
        <v>0</v>
      </c>
      <c r="C2" s="291">
        <v>1</v>
      </c>
      <c r="D2" s="292">
        <v>30000</v>
      </c>
      <c r="E2" s="291">
        <v>1</v>
      </c>
      <c r="F2" s="292">
        <v>30000</v>
      </c>
      <c r="G2" s="291">
        <v>1</v>
      </c>
      <c r="H2" s="292">
        <v>30000</v>
      </c>
      <c r="I2" s="291">
        <v>1</v>
      </c>
      <c r="J2" s="292">
        <v>30000</v>
      </c>
      <c r="K2" s="291">
        <v>1</v>
      </c>
      <c r="L2" s="292">
        <v>30000</v>
      </c>
      <c r="M2" s="291">
        <v>1</v>
      </c>
      <c r="N2" s="292">
        <v>30000</v>
      </c>
      <c r="O2" s="291">
        <v>1</v>
      </c>
      <c r="P2" s="292">
        <v>30000</v>
      </c>
      <c r="Q2" s="291">
        <v>1</v>
      </c>
      <c r="R2" s="292">
        <v>30000</v>
      </c>
    </row>
    <row r="3" spans="1:18">
      <c r="A3" s="290">
        <v>45689</v>
      </c>
      <c r="B3" s="288">
        <v>0</v>
      </c>
      <c r="C3" s="289">
        <v>1.1</v>
      </c>
      <c r="D3" s="288">
        <f>$C$3*(D2+B3)</f>
        <v>33000</v>
      </c>
      <c r="E3" s="289">
        <v>1.15</v>
      </c>
      <c r="F3" s="288">
        <f>$E$3*(F2+B3)</f>
        <v>34500</v>
      </c>
      <c r="G3" s="289">
        <v>1.2</v>
      </c>
      <c r="H3" s="288">
        <f>$G$3*(H2+B3)</f>
        <v>36000</v>
      </c>
      <c r="I3" s="289">
        <v>1.25</v>
      </c>
      <c r="J3" s="288">
        <f>$I$3*(J2+B3)</f>
        <v>37500</v>
      </c>
      <c r="K3" s="289">
        <v>1.3</v>
      </c>
      <c r="L3" s="288">
        <f>$K$3*(L2+B3)</f>
        <v>39000</v>
      </c>
      <c r="M3" s="289">
        <v>1.35</v>
      </c>
      <c r="N3" s="288">
        <f>$M$3*(N2+B3)</f>
        <v>40500</v>
      </c>
      <c r="O3" s="289">
        <v>1.4</v>
      </c>
      <c r="P3" s="288">
        <f>$O$3*(P2+B3)</f>
        <v>42000</v>
      </c>
      <c r="Q3" s="289">
        <v>1.45</v>
      </c>
      <c r="R3" s="288">
        <f>$Q$3*(R2+B3)</f>
        <v>43500</v>
      </c>
    </row>
    <row r="4" spans="1:18">
      <c r="A4" s="290">
        <v>45717</v>
      </c>
      <c r="B4" s="288">
        <v>0</v>
      </c>
      <c r="C4" s="289">
        <f>POWER($C$3,B88)</f>
        <v>1.21</v>
      </c>
      <c r="D4" s="288">
        <f t="shared" ref="D4:D13" si="0">$C$3*(D3+B4)</f>
        <v>36300</v>
      </c>
      <c r="E4" s="289">
        <f>POWER($E$3,B88)</f>
        <v>1.3225</v>
      </c>
      <c r="F4" s="288">
        <f t="shared" ref="F4:F13" si="1">$E$3*(F3+B4)</f>
        <v>39675</v>
      </c>
      <c r="G4" s="289">
        <f>POWER($G$3,B88)</f>
        <v>1.44</v>
      </c>
      <c r="H4" s="288">
        <f t="shared" ref="H4:H13" si="2">$G$3*(H3+B4)</f>
        <v>43200</v>
      </c>
      <c r="I4" s="289">
        <f>POWER($I$3,B88)</f>
        <v>1.5625</v>
      </c>
      <c r="J4" s="288">
        <f t="shared" ref="J4:J13" si="3">$I$3*(J3+B4)</f>
        <v>46875</v>
      </c>
      <c r="K4" s="289">
        <f>POWER($K$3,B88)</f>
        <v>1.69</v>
      </c>
      <c r="L4" s="288">
        <f t="shared" ref="L4:L13" si="4">$K$3*(L3+B4)</f>
        <v>50700</v>
      </c>
      <c r="M4" s="289">
        <f>POWER($M$3,B88)</f>
        <v>1.8225</v>
      </c>
      <c r="N4" s="288">
        <f t="shared" ref="N4:N13" si="5">$M$3*(N3+B4)</f>
        <v>54675</v>
      </c>
      <c r="O4" s="289">
        <f>POWER($O$3,B88)</f>
        <v>1.96</v>
      </c>
      <c r="P4" s="288">
        <f t="shared" ref="P4:P13" si="6">$O$3*(P3+B4)</f>
        <v>58800</v>
      </c>
      <c r="Q4" s="289">
        <f>POWER($Q$3,B88)</f>
        <v>2.1025</v>
      </c>
      <c r="R4" s="288">
        <f t="shared" ref="R4:R13" si="7">$Q$3*(R3+B4)</f>
        <v>63075</v>
      </c>
    </row>
    <row r="5" spans="1:18">
      <c r="A5" s="290">
        <v>45748</v>
      </c>
      <c r="B5" s="288">
        <v>0</v>
      </c>
      <c r="C5" s="289">
        <f t="shared" ref="C5:C13" si="8">POWER($C$3,B89)</f>
        <v>1.331</v>
      </c>
      <c r="D5" s="293">
        <f t="shared" si="0"/>
        <v>39930</v>
      </c>
      <c r="E5" s="289">
        <f t="shared" ref="E5:E13" si="9">POWER($E$3,B89)</f>
        <v>1.520875</v>
      </c>
      <c r="F5" s="288">
        <f t="shared" si="1"/>
        <v>45626.25</v>
      </c>
      <c r="G5" s="289">
        <f t="shared" ref="G5:G13" si="10">POWER($G$3,B89)</f>
        <v>1.728</v>
      </c>
      <c r="H5" s="288">
        <f t="shared" si="2"/>
        <v>51840</v>
      </c>
      <c r="I5" s="289">
        <f t="shared" ref="I5:I13" si="11">POWER($I$3,B89)</f>
        <v>1.953125</v>
      </c>
      <c r="J5" s="288">
        <f t="shared" si="3"/>
        <v>58593.75</v>
      </c>
      <c r="K5" s="289">
        <f t="shared" ref="K5:K13" si="12">POWER($K$3,B89)</f>
        <v>2.197</v>
      </c>
      <c r="L5" s="288">
        <f t="shared" si="4"/>
        <v>65910</v>
      </c>
      <c r="M5" s="289">
        <f t="shared" ref="M5:M13" si="13">POWER($M$3,B89)</f>
        <v>2.460375</v>
      </c>
      <c r="N5" s="288">
        <f t="shared" si="5"/>
        <v>73811.25</v>
      </c>
      <c r="O5" s="289">
        <f t="shared" ref="O5:O13" si="14">POWER($O$3,B89)</f>
        <v>2.744</v>
      </c>
      <c r="P5" s="288">
        <f t="shared" si="6"/>
        <v>82320</v>
      </c>
      <c r="Q5" s="289">
        <f t="shared" ref="Q5:Q13" si="15">POWER($Q$3,B89)</f>
        <v>3.048625</v>
      </c>
      <c r="R5" s="288">
        <f t="shared" si="7"/>
        <v>91458.75</v>
      </c>
    </row>
    <row r="6" spans="1:18">
      <c r="A6" s="290">
        <v>45778</v>
      </c>
      <c r="B6" s="288">
        <v>0</v>
      </c>
      <c r="C6" s="289">
        <f t="shared" si="8"/>
        <v>1.4641</v>
      </c>
      <c r="D6" s="293">
        <f t="shared" si="0"/>
        <v>43923</v>
      </c>
      <c r="E6" s="289">
        <f t="shared" si="9"/>
        <v>1.74900625</v>
      </c>
      <c r="F6" s="288">
        <f t="shared" si="1"/>
        <v>52470.1875</v>
      </c>
      <c r="G6" s="289">
        <f t="shared" si="10"/>
        <v>2.0736</v>
      </c>
      <c r="H6" s="288">
        <f t="shared" si="2"/>
        <v>62208</v>
      </c>
      <c r="I6" s="289">
        <f t="shared" si="11"/>
        <v>2.44140625</v>
      </c>
      <c r="J6" s="288">
        <f t="shared" si="3"/>
        <v>73242.1875</v>
      </c>
      <c r="K6" s="289">
        <f t="shared" si="12"/>
        <v>2.8561</v>
      </c>
      <c r="L6" s="288">
        <f t="shared" si="4"/>
        <v>85683</v>
      </c>
      <c r="M6" s="289">
        <f t="shared" si="13"/>
        <v>3.32150625</v>
      </c>
      <c r="N6" s="288">
        <f t="shared" si="5"/>
        <v>99645.1875</v>
      </c>
      <c r="O6" s="289">
        <f t="shared" si="14"/>
        <v>3.8416</v>
      </c>
      <c r="P6" s="288">
        <f t="shared" si="6"/>
        <v>115248</v>
      </c>
      <c r="Q6" s="289">
        <f t="shared" si="15"/>
        <v>4.42050625</v>
      </c>
      <c r="R6" s="288">
        <f t="shared" si="7"/>
        <v>132615.1875</v>
      </c>
    </row>
    <row r="7" spans="1:18">
      <c r="A7" s="290">
        <v>45809</v>
      </c>
      <c r="B7" s="288">
        <v>0</v>
      </c>
      <c r="C7" s="289">
        <f t="shared" si="8"/>
        <v>1.61051</v>
      </c>
      <c r="D7" s="293">
        <f t="shared" si="0"/>
        <v>48315.3</v>
      </c>
      <c r="E7" s="289">
        <f t="shared" si="9"/>
        <v>2.0113571875</v>
      </c>
      <c r="F7" s="288">
        <f t="shared" si="1"/>
        <v>60340.715625</v>
      </c>
      <c r="G7" s="289">
        <f t="shared" si="10"/>
        <v>2.48832</v>
      </c>
      <c r="H7" s="288">
        <f t="shared" si="2"/>
        <v>74649.6</v>
      </c>
      <c r="I7" s="289">
        <f t="shared" si="11"/>
        <v>3.0517578125</v>
      </c>
      <c r="J7" s="288">
        <f t="shared" si="3"/>
        <v>91552.734375</v>
      </c>
      <c r="K7" s="289">
        <f t="shared" si="12"/>
        <v>3.71293</v>
      </c>
      <c r="L7" s="288">
        <f t="shared" si="4"/>
        <v>111387.9</v>
      </c>
      <c r="M7" s="289">
        <f t="shared" si="13"/>
        <v>4.4840334375</v>
      </c>
      <c r="N7" s="288">
        <f t="shared" si="5"/>
        <v>134521.003125</v>
      </c>
      <c r="O7" s="289">
        <f t="shared" si="14"/>
        <v>5.37824</v>
      </c>
      <c r="P7" s="288">
        <f t="shared" si="6"/>
        <v>161347.2</v>
      </c>
      <c r="Q7" s="289">
        <f t="shared" si="15"/>
        <v>6.4097340625</v>
      </c>
      <c r="R7" s="288">
        <f t="shared" si="7"/>
        <v>192292.021875</v>
      </c>
    </row>
    <row r="8" spans="1:18">
      <c r="A8" s="290">
        <v>45839</v>
      </c>
      <c r="B8" s="288">
        <v>0</v>
      </c>
      <c r="C8" s="289">
        <f t="shared" si="8"/>
        <v>1.771561</v>
      </c>
      <c r="D8" s="293">
        <f t="shared" si="0"/>
        <v>53146.83</v>
      </c>
      <c r="E8" s="289">
        <f t="shared" si="9"/>
        <v>2.313060765625</v>
      </c>
      <c r="F8" s="288">
        <f t="shared" si="1"/>
        <v>69391.82296875</v>
      </c>
      <c r="G8" s="289">
        <f t="shared" si="10"/>
        <v>2.985984</v>
      </c>
      <c r="H8" s="288">
        <f t="shared" si="2"/>
        <v>89579.52</v>
      </c>
      <c r="I8" s="289">
        <f t="shared" si="11"/>
        <v>3.814697265625</v>
      </c>
      <c r="J8" s="288">
        <f t="shared" si="3"/>
        <v>114440.91796875</v>
      </c>
      <c r="K8" s="289">
        <f t="shared" si="12"/>
        <v>4.826809</v>
      </c>
      <c r="L8" s="288">
        <f t="shared" si="4"/>
        <v>144804.27</v>
      </c>
      <c r="M8" s="289">
        <f t="shared" si="13"/>
        <v>6.053445140625</v>
      </c>
      <c r="N8" s="288">
        <f t="shared" si="5"/>
        <v>181603.35421875</v>
      </c>
      <c r="O8" s="289">
        <f t="shared" si="14"/>
        <v>7.529536</v>
      </c>
      <c r="P8" s="288">
        <f t="shared" si="6"/>
        <v>225886.08</v>
      </c>
      <c r="Q8" s="289">
        <f t="shared" si="15"/>
        <v>9.294114390625</v>
      </c>
      <c r="R8" s="288">
        <f t="shared" si="7"/>
        <v>278823.43171875</v>
      </c>
    </row>
    <row r="9" spans="1:18">
      <c r="A9" s="290">
        <v>45870</v>
      </c>
      <c r="B9" s="288">
        <v>0</v>
      </c>
      <c r="C9" s="289">
        <f t="shared" si="8"/>
        <v>1.9487171</v>
      </c>
      <c r="D9" s="288">
        <f t="shared" si="0"/>
        <v>58461.513</v>
      </c>
      <c r="E9" s="289">
        <f t="shared" si="9"/>
        <v>2.66001988046875</v>
      </c>
      <c r="F9" s="288">
        <f t="shared" si="1"/>
        <v>79800.5964140625</v>
      </c>
      <c r="G9" s="289">
        <f t="shared" si="10"/>
        <v>3.5831808</v>
      </c>
      <c r="H9" s="288">
        <f t="shared" si="2"/>
        <v>107495.424</v>
      </c>
      <c r="I9" s="289">
        <f t="shared" si="11"/>
        <v>4.76837158203125</v>
      </c>
      <c r="J9" s="288">
        <f t="shared" si="3"/>
        <v>143051.147460937</v>
      </c>
      <c r="K9" s="289">
        <f t="shared" si="12"/>
        <v>6.2748517</v>
      </c>
      <c r="L9" s="288">
        <f t="shared" si="4"/>
        <v>188245.551</v>
      </c>
      <c r="M9" s="289">
        <f t="shared" si="13"/>
        <v>8.17215093984375</v>
      </c>
      <c r="N9" s="288">
        <f t="shared" si="5"/>
        <v>245164.528195313</v>
      </c>
      <c r="O9" s="289">
        <f t="shared" si="14"/>
        <v>10.5413504</v>
      </c>
      <c r="P9" s="288">
        <f t="shared" si="6"/>
        <v>316240.512</v>
      </c>
      <c r="Q9" s="289">
        <f t="shared" si="15"/>
        <v>13.4764658664062</v>
      </c>
      <c r="R9" s="288">
        <f t="shared" si="7"/>
        <v>404293.975992187</v>
      </c>
    </row>
    <row r="10" spans="1:18">
      <c r="A10" s="290">
        <v>45901</v>
      </c>
      <c r="B10" s="288">
        <v>0</v>
      </c>
      <c r="C10" s="289">
        <f t="shared" si="8"/>
        <v>2.14358881</v>
      </c>
      <c r="D10" s="288">
        <f t="shared" si="0"/>
        <v>64307.6643</v>
      </c>
      <c r="E10" s="289">
        <f t="shared" si="9"/>
        <v>3.05902286253906</v>
      </c>
      <c r="F10" s="288">
        <f t="shared" si="1"/>
        <v>91770.6858761718</v>
      </c>
      <c r="G10" s="289">
        <f t="shared" si="10"/>
        <v>4.29981696</v>
      </c>
      <c r="H10" s="288">
        <f t="shared" si="2"/>
        <v>128994.5088</v>
      </c>
      <c r="I10" s="289">
        <f t="shared" si="11"/>
        <v>5.96046447753906</v>
      </c>
      <c r="J10" s="288">
        <f t="shared" si="3"/>
        <v>178813.934326172</v>
      </c>
      <c r="K10" s="289">
        <f t="shared" si="12"/>
        <v>8.15730721</v>
      </c>
      <c r="L10" s="288">
        <f t="shared" si="4"/>
        <v>244719.2163</v>
      </c>
      <c r="M10" s="289">
        <f t="shared" si="13"/>
        <v>11.0324037687891</v>
      </c>
      <c r="N10" s="288">
        <f t="shared" si="5"/>
        <v>330972.113063672</v>
      </c>
      <c r="O10" s="289">
        <f t="shared" si="14"/>
        <v>14.75789056</v>
      </c>
      <c r="P10" s="288">
        <f t="shared" si="6"/>
        <v>442736.7168</v>
      </c>
      <c r="Q10" s="289">
        <f t="shared" si="15"/>
        <v>19.5408755062891</v>
      </c>
      <c r="R10" s="288">
        <f t="shared" si="7"/>
        <v>586226.265188672</v>
      </c>
    </row>
    <row r="11" spans="1:18">
      <c r="A11" s="290">
        <v>45931</v>
      </c>
      <c r="B11" s="288">
        <v>0</v>
      </c>
      <c r="C11" s="289">
        <f t="shared" si="8"/>
        <v>2.357947691</v>
      </c>
      <c r="D11" s="288">
        <f t="shared" si="0"/>
        <v>70738.43073</v>
      </c>
      <c r="E11" s="289">
        <f t="shared" si="9"/>
        <v>3.51787629191992</v>
      </c>
      <c r="F11" s="288">
        <f t="shared" si="1"/>
        <v>105536.288757598</v>
      </c>
      <c r="G11" s="289">
        <f t="shared" si="10"/>
        <v>5.159780352</v>
      </c>
      <c r="H11" s="288">
        <f t="shared" si="2"/>
        <v>154793.41056</v>
      </c>
      <c r="I11" s="289">
        <f t="shared" si="11"/>
        <v>7.45058059692383</v>
      </c>
      <c r="J11" s="288">
        <f t="shared" si="3"/>
        <v>223517.417907715</v>
      </c>
      <c r="K11" s="289">
        <f t="shared" si="12"/>
        <v>10.604499373</v>
      </c>
      <c r="L11" s="288">
        <f t="shared" si="4"/>
        <v>318134.98119</v>
      </c>
      <c r="M11" s="289">
        <f t="shared" si="13"/>
        <v>14.8937450878652</v>
      </c>
      <c r="N11" s="288">
        <f t="shared" si="5"/>
        <v>446812.352635957</v>
      </c>
      <c r="O11" s="289">
        <f t="shared" si="14"/>
        <v>20.661046784</v>
      </c>
      <c r="P11" s="288">
        <f t="shared" si="6"/>
        <v>619831.40352</v>
      </c>
      <c r="Q11" s="289">
        <f t="shared" si="15"/>
        <v>28.3342694841191</v>
      </c>
      <c r="R11" s="288">
        <f t="shared" si="7"/>
        <v>850028.084523574</v>
      </c>
    </row>
    <row r="12" spans="1:18">
      <c r="A12" s="290">
        <v>45962</v>
      </c>
      <c r="B12" s="288">
        <v>0</v>
      </c>
      <c r="C12" s="289">
        <f t="shared" si="8"/>
        <v>2.5937424601</v>
      </c>
      <c r="D12" s="288">
        <f t="shared" si="0"/>
        <v>77812.273803</v>
      </c>
      <c r="E12" s="289">
        <f t="shared" si="9"/>
        <v>4.04555773570791</v>
      </c>
      <c r="F12" s="288">
        <f t="shared" si="1"/>
        <v>121366.732071237</v>
      </c>
      <c r="G12" s="289">
        <f t="shared" si="10"/>
        <v>6.1917364224</v>
      </c>
      <c r="H12" s="288">
        <f t="shared" si="2"/>
        <v>185752.092672</v>
      </c>
      <c r="I12" s="289">
        <f t="shared" si="11"/>
        <v>9.31322574615479</v>
      </c>
      <c r="J12" s="288">
        <f t="shared" si="3"/>
        <v>279396.772384644</v>
      </c>
      <c r="K12" s="289">
        <f t="shared" si="12"/>
        <v>13.7858491849</v>
      </c>
      <c r="L12" s="288">
        <f t="shared" si="4"/>
        <v>413575.475547</v>
      </c>
      <c r="M12" s="289">
        <f t="shared" si="13"/>
        <v>20.1065558686181</v>
      </c>
      <c r="N12" s="288">
        <f t="shared" si="5"/>
        <v>603196.676058542</v>
      </c>
      <c r="O12" s="289">
        <f t="shared" si="14"/>
        <v>28.9254654976</v>
      </c>
      <c r="P12" s="288">
        <f t="shared" si="6"/>
        <v>867763.964928</v>
      </c>
      <c r="Q12" s="289">
        <f t="shared" si="15"/>
        <v>41.0846907519727</v>
      </c>
      <c r="R12" s="288">
        <f t="shared" si="7"/>
        <v>1232540.72255918</v>
      </c>
    </row>
    <row r="13" spans="1:18">
      <c r="A13" s="290">
        <v>45992</v>
      </c>
      <c r="B13" s="288">
        <v>0</v>
      </c>
      <c r="C13" s="289">
        <f t="shared" si="8"/>
        <v>2.85311670611</v>
      </c>
      <c r="D13" s="288">
        <f t="shared" si="0"/>
        <v>85593.5011833</v>
      </c>
      <c r="E13" s="289">
        <f t="shared" si="9"/>
        <v>4.65239139606409</v>
      </c>
      <c r="F13" s="288">
        <f t="shared" si="1"/>
        <v>139571.741881923</v>
      </c>
      <c r="G13" s="289">
        <f t="shared" si="10"/>
        <v>7.43008370688</v>
      </c>
      <c r="H13" s="288">
        <f t="shared" si="2"/>
        <v>222902.5112064</v>
      </c>
      <c r="I13" s="289">
        <f t="shared" si="11"/>
        <v>11.6415321826935</v>
      </c>
      <c r="J13" s="288">
        <f t="shared" si="3"/>
        <v>349245.965480804</v>
      </c>
      <c r="K13" s="289">
        <f t="shared" si="12"/>
        <v>17.92160394037</v>
      </c>
      <c r="L13" s="288">
        <f t="shared" si="4"/>
        <v>537648.1182111</v>
      </c>
      <c r="M13" s="289">
        <f t="shared" si="13"/>
        <v>27.1438504226344</v>
      </c>
      <c r="N13" s="288">
        <f t="shared" si="5"/>
        <v>814315.512679032</v>
      </c>
      <c r="O13" s="289">
        <f t="shared" si="14"/>
        <v>40.49565169664</v>
      </c>
      <c r="P13" s="288">
        <f t="shared" si="6"/>
        <v>1214869.5508992</v>
      </c>
      <c r="Q13" s="289">
        <f t="shared" si="15"/>
        <v>59.5728015903605</v>
      </c>
      <c r="R13" s="288">
        <f t="shared" si="7"/>
        <v>1787184.04771081</v>
      </c>
    </row>
    <row r="14" spans="1:18">
      <c r="A14" s="294"/>
      <c r="B14" s="295"/>
      <c r="C14" s="296"/>
      <c r="D14" s="295"/>
      <c r="E14" s="296"/>
      <c r="F14" s="295"/>
      <c r="G14" s="296"/>
      <c r="H14" s="295"/>
      <c r="I14" s="296"/>
      <c r="J14" s="295"/>
      <c r="K14" s="296"/>
      <c r="L14" s="295"/>
      <c r="M14" s="296"/>
      <c r="N14" s="295"/>
      <c r="O14" s="296"/>
      <c r="P14" s="295"/>
      <c r="Q14" s="296"/>
      <c r="R14" s="295"/>
    </row>
    <row r="15" spans="1:21">
      <c r="A15" s="77" t="s">
        <v>44</v>
      </c>
      <c r="B15" s="297" t="s">
        <v>45</v>
      </c>
      <c r="C15" s="298" t="s">
        <v>46</v>
      </c>
      <c r="D15" s="299" t="s">
        <v>36</v>
      </c>
      <c r="E15" s="298" t="s">
        <v>47</v>
      </c>
      <c r="F15" s="300" t="s">
        <v>36</v>
      </c>
      <c r="G15" s="298" t="s">
        <v>48</v>
      </c>
      <c r="H15" s="299" t="s">
        <v>36</v>
      </c>
      <c r="I15" s="298" t="s">
        <v>49</v>
      </c>
      <c r="J15" s="299" t="s">
        <v>36</v>
      </c>
      <c r="K15" s="299" t="s">
        <v>34</v>
      </c>
      <c r="L15" s="299" t="s">
        <v>50</v>
      </c>
      <c r="M15" s="297" t="s">
        <v>51</v>
      </c>
      <c r="N15" s="87" t="s">
        <v>52</v>
      </c>
      <c r="O15" s="303" t="s">
        <v>53</v>
      </c>
      <c r="P15" s="87" t="s">
        <v>54</v>
      </c>
      <c r="Q15" s="315"/>
      <c r="R15" s="87"/>
      <c r="S15" s="87"/>
      <c r="T15" s="297" t="s">
        <v>55</v>
      </c>
      <c r="U15" s="297" t="s">
        <v>56</v>
      </c>
    </row>
    <row r="16" spans="1:40">
      <c r="A16" s="77">
        <v>45586</v>
      </c>
      <c r="B16" s="297"/>
      <c r="C16" s="298"/>
      <c r="D16" s="301"/>
      <c r="E16" s="298"/>
      <c r="F16" s="301"/>
      <c r="G16" s="298"/>
      <c r="H16" s="301"/>
      <c r="I16" s="298"/>
      <c r="J16" s="301"/>
      <c r="K16" s="299">
        <v>0</v>
      </c>
      <c r="L16" s="301">
        <v>24127.35</v>
      </c>
      <c r="M16" s="304">
        <v>0</v>
      </c>
      <c r="N16" s="304">
        <v>0</v>
      </c>
      <c r="O16" s="305">
        <v>24127.35</v>
      </c>
      <c r="P16" s="87"/>
      <c r="Q16" s="316"/>
      <c r="R16" s="304"/>
      <c r="S16" s="304"/>
      <c r="T16" s="317">
        <v>190</v>
      </c>
      <c r="U16" s="317">
        <v>0</v>
      </c>
      <c r="W16" s="318"/>
      <c r="Z16" s="323"/>
      <c r="AB16" s="324"/>
      <c r="AD16" s="324"/>
      <c r="AF16" s="324"/>
      <c r="AH16" s="324"/>
      <c r="AJ16" s="324"/>
      <c r="AL16" s="324"/>
      <c r="AN16" s="324"/>
    </row>
    <row r="17" spans="1:26">
      <c r="A17" s="77">
        <v>45587</v>
      </c>
      <c r="B17" s="297"/>
      <c r="C17" s="298"/>
      <c r="D17" s="301"/>
      <c r="E17" s="298"/>
      <c r="F17" s="302"/>
      <c r="G17" s="298"/>
      <c r="H17" s="301"/>
      <c r="I17" s="298"/>
      <c r="J17" s="301"/>
      <c r="K17" s="299">
        <v>0</v>
      </c>
      <c r="L17" s="301">
        <f t="shared" ref="L17:L46" si="16">IF(K17&gt;0,K17+O16,O16)</f>
        <v>24127.35</v>
      </c>
      <c r="M17" s="306">
        <f t="shared" ref="M17:M49" si="17">(O17-L17)/L17</f>
        <v>0.0793663622403621</v>
      </c>
      <c r="N17" s="304">
        <f>O17/($L$16+SUM($K$16:K17))-1</f>
        <v>0.0793663622403622</v>
      </c>
      <c r="O17" s="305">
        <v>26042.25</v>
      </c>
      <c r="P17" s="87"/>
      <c r="Q17" s="316"/>
      <c r="R17" s="304"/>
      <c r="S17" s="304"/>
      <c r="T17" s="317">
        <v>132</v>
      </c>
      <c r="U17" s="317">
        <v>0</v>
      </c>
      <c r="W17" s="318"/>
      <c r="Z17" s="323"/>
    </row>
    <row r="18" spans="1:26">
      <c r="A18" s="77">
        <v>45588</v>
      </c>
      <c r="B18" s="297"/>
      <c r="C18" s="298"/>
      <c r="D18" s="301"/>
      <c r="E18" s="298"/>
      <c r="F18" s="302"/>
      <c r="G18" s="298"/>
      <c r="H18" s="301"/>
      <c r="I18" s="298"/>
      <c r="J18" s="301"/>
      <c r="K18" s="299">
        <v>0</v>
      </c>
      <c r="L18" s="301">
        <f t="shared" si="16"/>
        <v>26042.25</v>
      </c>
      <c r="M18" s="306">
        <f t="shared" si="17"/>
        <v>0.00882796225364557</v>
      </c>
      <c r="N18" s="304">
        <f>O18/($L$16+SUM($K$16:K18))-1</f>
        <v>0.0888949677440749</v>
      </c>
      <c r="O18" s="305">
        <v>26272.15</v>
      </c>
      <c r="P18" s="87"/>
      <c r="Q18" s="316"/>
      <c r="R18" s="304"/>
      <c r="S18" s="304"/>
      <c r="T18" s="317">
        <v>127</v>
      </c>
      <c r="U18" s="317">
        <v>2</v>
      </c>
      <c r="W18" s="318"/>
      <c r="Z18" s="323"/>
    </row>
    <row r="19" spans="1:26">
      <c r="A19" s="77">
        <v>45589</v>
      </c>
      <c r="B19" s="297"/>
      <c r="C19" s="298"/>
      <c r="D19" s="301"/>
      <c r="E19" s="298"/>
      <c r="F19" s="302"/>
      <c r="G19" s="298"/>
      <c r="H19" s="301"/>
      <c r="I19" s="298"/>
      <c r="J19" s="301"/>
      <c r="K19" s="299">
        <v>0</v>
      </c>
      <c r="L19" s="307">
        <f t="shared" si="16"/>
        <v>26272.15</v>
      </c>
      <c r="M19" s="308">
        <f t="shared" si="17"/>
        <v>-0.00656170126921485</v>
      </c>
      <c r="N19" s="309">
        <f>O19/($L$16+SUM($K$16:K19))-1</f>
        <v>0.0817499642521868</v>
      </c>
      <c r="O19" s="310">
        <v>26099.76</v>
      </c>
      <c r="P19" s="87"/>
      <c r="Q19" s="319"/>
      <c r="R19" s="309"/>
      <c r="S19" s="309"/>
      <c r="T19" s="317">
        <v>133</v>
      </c>
      <c r="U19" s="317">
        <v>3</v>
      </c>
      <c r="W19" s="318"/>
      <c r="Z19" s="323"/>
    </row>
    <row r="20" spans="1:26">
      <c r="A20" s="117">
        <v>45590</v>
      </c>
      <c r="B20" s="297"/>
      <c r="C20" s="298"/>
      <c r="D20" s="301"/>
      <c r="E20" s="298"/>
      <c r="F20" s="302"/>
      <c r="G20" s="298"/>
      <c r="H20" s="301"/>
      <c r="I20" s="298"/>
      <c r="J20" s="301"/>
      <c r="K20" s="299">
        <v>0</v>
      </c>
      <c r="L20" s="301">
        <f t="shared" si="16"/>
        <v>26099.76</v>
      </c>
      <c r="M20" s="306">
        <f t="shared" si="17"/>
        <v>0.0340941832415318</v>
      </c>
      <c r="N20" s="304">
        <f>O20/($L$16+SUM($K$16:K20))-1</f>
        <v>0.118631345754921</v>
      </c>
      <c r="O20" s="305">
        <v>26989.61</v>
      </c>
      <c r="P20" s="87"/>
      <c r="Q20" s="316"/>
      <c r="R20" s="304"/>
      <c r="S20" s="304"/>
      <c r="T20" s="317">
        <v>191</v>
      </c>
      <c r="U20" s="317">
        <v>1</v>
      </c>
      <c r="W20" s="318"/>
      <c r="Z20" s="323"/>
    </row>
    <row r="21" spans="1:26">
      <c r="A21" s="77">
        <v>45593</v>
      </c>
      <c r="B21" s="297"/>
      <c r="C21" s="298"/>
      <c r="D21" s="301"/>
      <c r="E21" s="298"/>
      <c r="F21" s="302"/>
      <c r="G21" s="298"/>
      <c r="H21" s="301"/>
      <c r="I21" s="298"/>
      <c r="J21" s="301"/>
      <c r="K21" s="299">
        <v>6000</v>
      </c>
      <c r="L21" s="301">
        <f t="shared" si="16"/>
        <v>32989.61</v>
      </c>
      <c r="M21" s="306">
        <f t="shared" si="17"/>
        <v>0.0273128418311099</v>
      </c>
      <c r="N21" s="304">
        <f>O21/($L$16+SUM($K$16:K21))-1</f>
        <v>0.124913077320109</v>
      </c>
      <c r="O21" s="305">
        <v>33890.65</v>
      </c>
      <c r="P21" s="87"/>
      <c r="Q21" s="316"/>
      <c r="R21" s="304"/>
      <c r="S21" s="304"/>
      <c r="T21" s="317">
        <v>294</v>
      </c>
      <c r="U21" s="317">
        <v>1</v>
      </c>
      <c r="W21" s="318"/>
      <c r="Z21" s="323"/>
    </row>
    <row r="22" spans="1:26">
      <c r="A22" s="77">
        <v>45594</v>
      </c>
      <c r="B22" s="297"/>
      <c r="C22" s="298"/>
      <c r="D22" s="301"/>
      <c r="E22" s="298"/>
      <c r="F22" s="302"/>
      <c r="G22" s="298"/>
      <c r="H22" s="301"/>
      <c r="I22" s="298"/>
      <c r="J22" s="301"/>
      <c r="K22" s="299">
        <v>0</v>
      </c>
      <c r="L22" s="301">
        <f t="shared" si="16"/>
        <v>33890.65</v>
      </c>
      <c r="M22" s="304">
        <f t="shared" si="17"/>
        <v>0.0301274835389702</v>
      </c>
      <c r="N22" s="304">
        <f>O22/($L$16+SUM($K$16:K22))-1</f>
        <v>0.158803877539843</v>
      </c>
      <c r="O22" s="305">
        <v>34911.69</v>
      </c>
      <c r="P22" s="87"/>
      <c r="Q22" s="319"/>
      <c r="R22" s="309"/>
      <c r="S22" s="309"/>
      <c r="T22" s="317">
        <v>152</v>
      </c>
      <c r="U22" s="317">
        <v>19</v>
      </c>
      <c r="W22" s="318"/>
      <c r="Z22" s="323"/>
    </row>
    <row r="23" spans="1:26">
      <c r="A23" s="77">
        <v>45595</v>
      </c>
      <c r="B23" s="297"/>
      <c r="C23" s="298"/>
      <c r="D23" s="301"/>
      <c r="E23" s="298"/>
      <c r="F23" s="302"/>
      <c r="G23" s="298"/>
      <c r="H23" s="301"/>
      <c r="I23" s="298"/>
      <c r="J23" s="301"/>
      <c r="K23" s="299">
        <v>0</v>
      </c>
      <c r="L23" s="301">
        <f t="shared" si="16"/>
        <v>34911.69</v>
      </c>
      <c r="M23" s="304">
        <f t="shared" si="17"/>
        <v>0.0929777389751111</v>
      </c>
      <c r="N23" s="304">
        <f>O23/($L$16+SUM($K$16:K23))-1</f>
        <v>0.26654684198909</v>
      </c>
      <c r="O23" s="305">
        <v>38157.7</v>
      </c>
      <c r="P23" s="87"/>
      <c r="Q23" s="319"/>
      <c r="R23" s="309"/>
      <c r="S23" s="309"/>
      <c r="T23" s="317">
        <v>194</v>
      </c>
      <c r="U23" s="317">
        <v>8</v>
      </c>
      <c r="W23" s="318"/>
      <c r="Z23" s="323"/>
    </row>
    <row r="24" spans="1:26">
      <c r="A24" s="77">
        <v>45596</v>
      </c>
      <c r="B24" s="297"/>
      <c r="C24" s="298"/>
      <c r="D24" s="301"/>
      <c r="E24" s="298"/>
      <c r="F24" s="302"/>
      <c r="G24" s="298"/>
      <c r="H24" s="301"/>
      <c r="I24" s="298"/>
      <c r="J24" s="301"/>
      <c r="K24" s="299">
        <v>0</v>
      </c>
      <c r="L24" s="301">
        <f t="shared" si="16"/>
        <v>38157.7</v>
      </c>
      <c r="M24" s="304">
        <f t="shared" si="17"/>
        <v>0.0605906540488551</v>
      </c>
      <c r="N24" s="304">
        <f>O24/($L$16+SUM($K$16:K24))-1</f>
        <v>0.34328774352872</v>
      </c>
      <c r="O24" s="305">
        <v>40469.7</v>
      </c>
      <c r="P24" s="87"/>
      <c r="Q24" s="316"/>
      <c r="R24" s="304"/>
      <c r="S24" s="304"/>
      <c r="T24" s="317">
        <v>212</v>
      </c>
      <c r="U24" s="317">
        <v>14</v>
      </c>
      <c r="W24" s="318"/>
      <c r="Z24" s="323"/>
    </row>
    <row r="25" spans="1:26">
      <c r="A25" s="117">
        <v>45597</v>
      </c>
      <c r="B25" s="297"/>
      <c r="C25" s="298"/>
      <c r="D25" s="301"/>
      <c r="E25" s="298"/>
      <c r="F25" s="302"/>
      <c r="G25" s="298"/>
      <c r="H25" s="301"/>
      <c r="I25" s="298"/>
      <c r="J25" s="301"/>
      <c r="K25" s="299">
        <v>0</v>
      </c>
      <c r="L25" s="307">
        <f t="shared" si="16"/>
        <v>40469.7</v>
      </c>
      <c r="M25" s="309">
        <f t="shared" si="17"/>
        <v>-0.0734248091782246</v>
      </c>
      <c r="N25" s="309">
        <f>O25/($L$16+SUM($K$16:K25))-1</f>
        <v>0.244657097288676</v>
      </c>
      <c r="O25" s="310">
        <v>37498.22</v>
      </c>
      <c r="P25" s="87"/>
      <c r="Q25" s="319"/>
      <c r="R25" s="309"/>
      <c r="S25" s="309"/>
      <c r="T25" s="317">
        <v>124</v>
      </c>
      <c r="U25" s="317">
        <v>165</v>
      </c>
      <c r="W25" s="318"/>
      <c r="Z25" s="323"/>
    </row>
    <row r="26" spans="1:26">
      <c r="A26" s="77">
        <v>45600</v>
      </c>
      <c r="B26" s="297"/>
      <c r="C26" s="298"/>
      <c r="D26" s="301"/>
      <c r="E26" s="298"/>
      <c r="F26" s="302"/>
      <c r="G26" s="298"/>
      <c r="H26" s="301"/>
      <c r="I26" s="298"/>
      <c r="J26" s="301"/>
      <c r="K26" s="299">
        <v>0</v>
      </c>
      <c r="L26" s="301">
        <f t="shared" si="16"/>
        <v>37498.22</v>
      </c>
      <c r="M26" s="304">
        <f t="shared" si="17"/>
        <v>0.0246038345286789</v>
      </c>
      <c r="N26" s="304">
        <f>O26/($L$16+SUM($K$16:K26))-1</f>
        <v>0.275280434555313</v>
      </c>
      <c r="O26" s="305">
        <v>38420.82</v>
      </c>
      <c r="P26" s="87"/>
      <c r="Q26" s="316"/>
      <c r="R26" s="304"/>
      <c r="S26" s="304"/>
      <c r="T26" s="317">
        <v>186</v>
      </c>
      <c r="U26" s="317">
        <v>43</v>
      </c>
      <c r="W26" s="318"/>
      <c r="Z26" s="323"/>
    </row>
    <row r="27" spans="1:26">
      <c r="A27" s="77">
        <v>45601</v>
      </c>
      <c r="B27" s="297"/>
      <c r="C27" s="298"/>
      <c r="D27" s="301"/>
      <c r="E27" s="298"/>
      <c r="F27" s="302"/>
      <c r="G27" s="298"/>
      <c r="H27" s="301"/>
      <c r="I27" s="298"/>
      <c r="J27" s="301"/>
      <c r="K27" s="299">
        <v>0</v>
      </c>
      <c r="L27" s="301">
        <f t="shared" si="16"/>
        <v>38420.82</v>
      </c>
      <c r="M27" s="304">
        <f t="shared" si="17"/>
        <v>0.0041839294424221</v>
      </c>
      <c r="N27" s="304">
        <f>O27/($L$16+SUM($K$16:K27))-1</f>
        <v>0.280616117912794</v>
      </c>
      <c r="O27" s="305">
        <v>38581.57</v>
      </c>
      <c r="P27" s="87"/>
      <c r="Q27" s="316"/>
      <c r="R27" s="304"/>
      <c r="S27" s="304"/>
      <c r="T27" s="317">
        <v>218</v>
      </c>
      <c r="U27" s="317">
        <v>2</v>
      </c>
      <c r="W27" s="318"/>
      <c r="Z27" s="323"/>
    </row>
    <row r="28" spans="1:26">
      <c r="A28" s="77">
        <v>45602</v>
      </c>
      <c r="B28" s="297"/>
      <c r="C28" s="298"/>
      <c r="D28" s="301"/>
      <c r="E28" s="298"/>
      <c r="F28" s="302"/>
      <c r="G28" s="298"/>
      <c r="H28" s="301"/>
      <c r="I28" s="298"/>
      <c r="J28" s="301"/>
      <c r="K28" s="299">
        <v>0</v>
      </c>
      <c r="L28" s="307">
        <f t="shared" si="16"/>
        <v>38581.57</v>
      </c>
      <c r="M28" s="309">
        <f t="shared" si="17"/>
        <v>-0.00426369377918006</v>
      </c>
      <c r="N28" s="309">
        <f>O28/($L$16+SUM($K$16:K28))-1</f>
        <v>0.275155962937331</v>
      </c>
      <c r="O28" s="310">
        <v>38417.07</v>
      </c>
      <c r="P28" s="87"/>
      <c r="Q28" s="319"/>
      <c r="R28" s="309"/>
      <c r="S28" s="309"/>
      <c r="T28" s="317">
        <v>181</v>
      </c>
      <c r="U28" s="317">
        <v>7</v>
      </c>
      <c r="W28" s="318"/>
      <c r="Z28" s="323"/>
    </row>
    <row r="29" spans="1:26">
      <c r="A29" s="77">
        <v>45603</v>
      </c>
      <c r="B29" s="297"/>
      <c r="C29" s="298"/>
      <c r="D29" s="301"/>
      <c r="E29" s="298"/>
      <c r="F29" s="302"/>
      <c r="G29" s="298"/>
      <c r="H29" s="301"/>
      <c r="I29" s="298"/>
      <c r="J29" s="301"/>
      <c r="K29" s="299">
        <v>0</v>
      </c>
      <c r="L29" s="301">
        <f t="shared" si="16"/>
        <v>38417.07</v>
      </c>
      <c r="M29" s="304">
        <f t="shared" si="17"/>
        <v>0.0109435727399304</v>
      </c>
      <c r="N29" s="304">
        <f>O29/($L$16+SUM($K$16:K29))-1</f>
        <v>0.289110724972492</v>
      </c>
      <c r="O29" s="305">
        <v>38837.49</v>
      </c>
      <c r="P29" s="87"/>
      <c r="Q29" s="316"/>
      <c r="R29" s="304"/>
      <c r="S29" s="304"/>
      <c r="T29" s="317">
        <v>233</v>
      </c>
      <c r="U29" s="317">
        <v>10</v>
      </c>
      <c r="W29" s="318"/>
      <c r="Z29" s="323"/>
    </row>
    <row r="30" spans="1:24">
      <c r="A30" s="117">
        <v>45604</v>
      </c>
      <c r="B30" s="297"/>
      <c r="C30" s="298"/>
      <c r="D30" s="301"/>
      <c r="E30" s="298"/>
      <c r="F30" s="302"/>
      <c r="G30" s="298"/>
      <c r="H30" s="301"/>
      <c r="I30" s="298"/>
      <c r="J30" s="301"/>
      <c r="K30" s="299">
        <v>0</v>
      </c>
      <c r="L30" s="301">
        <f t="shared" si="16"/>
        <v>38837.49</v>
      </c>
      <c r="M30" s="304">
        <f t="shared" si="17"/>
        <v>0.025875513582366</v>
      </c>
      <c r="N30" s="304">
        <f>O30/($L$16+SUM($K$16:K30))-1</f>
        <v>0.322467127045691</v>
      </c>
      <c r="O30" s="305">
        <v>39842.43</v>
      </c>
      <c r="P30" s="87"/>
      <c r="Q30" s="319"/>
      <c r="R30" s="309"/>
      <c r="S30" s="309"/>
      <c r="T30" s="317">
        <v>155</v>
      </c>
      <c r="U30" s="317">
        <v>6</v>
      </c>
      <c r="W30" s="318"/>
      <c r="X30" s="318"/>
    </row>
    <row r="31" spans="1:24">
      <c r="A31" s="77">
        <v>45607</v>
      </c>
      <c r="B31" s="297"/>
      <c r="C31" s="298"/>
      <c r="D31" s="301"/>
      <c r="E31" s="298"/>
      <c r="F31" s="302"/>
      <c r="G31" s="298"/>
      <c r="H31" s="301"/>
      <c r="I31" s="298"/>
      <c r="J31" s="301"/>
      <c r="K31" s="299">
        <v>0</v>
      </c>
      <c r="L31" s="307">
        <f t="shared" si="16"/>
        <v>39842.43</v>
      </c>
      <c r="M31" s="309">
        <f t="shared" si="17"/>
        <v>-0.0302295818804224</v>
      </c>
      <c r="N31" s="309">
        <f>O31/($L$16+SUM($K$16:K31))-1</f>
        <v>0.282489498744496</v>
      </c>
      <c r="O31" s="310">
        <v>38638.01</v>
      </c>
      <c r="P31" s="87"/>
      <c r="Q31" s="316"/>
      <c r="R31" s="304"/>
      <c r="S31" s="304"/>
      <c r="T31" s="317">
        <v>213</v>
      </c>
      <c r="U31" s="317">
        <v>19</v>
      </c>
      <c r="W31" s="318"/>
      <c r="X31" s="318"/>
    </row>
    <row r="32" spans="1:24">
      <c r="A32" s="77">
        <v>45608</v>
      </c>
      <c r="B32" s="297"/>
      <c r="C32" s="298"/>
      <c r="D32" s="301"/>
      <c r="E32" s="298"/>
      <c r="F32" s="302"/>
      <c r="G32" s="298"/>
      <c r="H32" s="301"/>
      <c r="I32" s="298"/>
      <c r="J32" s="301"/>
      <c r="K32" s="299">
        <v>0</v>
      </c>
      <c r="L32" s="301">
        <f t="shared" si="16"/>
        <v>38638.01</v>
      </c>
      <c r="M32" s="304">
        <f t="shared" si="17"/>
        <v>0.0156478038077012</v>
      </c>
      <c r="N32" s="304">
        <f>O32/($L$16+SUM($K$16:K32))-1</f>
        <v>0.302557642806287</v>
      </c>
      <c r="O32" s="305">
        <v>39242.61</v>
      </c>
      <c r="P32" s="87"/>
      <c r="Q32" s="319"/>
      <c r="R32" s="309"/>
      <c r="S32" s="309"/>
      <c r="T32" s="317">
        <v>113</v>
      </c>
      <c r="U32" s="317">
        <v>20</v>
      </c>
      <c r="W32" s="318"/>
      <c r="X32" s="318"/>
    </row>
    <row r="33" spans="1:24">
      <c r="A33" s="77">
        <v>45609</v>
      </c>
      <c r="B33" s="297"/>
      <c r="C33" s="298"/>
      <c r="D33" s="301"/>
      <c r="E33" s="298"/>
      <c r="F33" s="302"/>
      <c r="G33" s="298"/>
      <c r="H33" s="301"/>
      <c r="I33" s="298"/>
      <c r="J33" s="301"/>
      <c r="K33" s="299">
        <v>0</v>
      </c>
      <c r="L33" s="301">
        <f t="shared" si="16"/>
        <v>39242.61</v>
      </c>
      <c r="M33" s="304">
        <f t="shared" si="17"/>
        <v>0.0012272374340034</v>
      </c>
      <c r="N33" s="304">
        <f>O33/($L$16+SUM($K$16:K33))-1</f>
        <v>0.304156190305487</v>
      </c>
      <c r="O33" s="305">
        <v>39290.77</v>
      </c>
      <c r="P33" s="87"/>
      <c r="Q33" s="316"/>
      <c r="R33" s="304"/>
      <c r="S33" s="304"/>
      <c r="T33" s="317">
        <v>89</v>
      </c>
      <c r="U33" s="317">
        <v>25</v>
      </c>
      <c r="W33" s="318"/>
      <c r="X33" s="318"/>
    </row>
    <row r="34" spans="1:24">
      <c r="A34" s="77">
        <v>45610</v>
      </c>
      <c r="B34" s="297"/>
      <c r="C34" s="298"/>
      <c r="D34" s="301"/>
      <c r="E34" s="298"/>
      <c r="F34" s="302"/>
      <c r="G34" s="298"/>
      <c r="H34" s="301"/>
      <c r="I34" s="298"/>
      <c r="J34" s="301"/>
      <c r="K34" s="299">
        <v>0</v>
      </c>
      <c r="L34" s="307">
        <f t="shared" si="16"/>
        <v>39290.77</v>
      </c>
      <c r="M34" s="309">
        <f t="shared" si="17"/>
        <v>-0.0520694809493425</v>
      </c>
      <c r="N34" s="309">
        <f>O34/($L$16+SUM($K$16:K34))-1</f>
        <v>0.236249454399408</v>
      </c>
      <c r="O34" s="310">
        <v>37244.92</v>
      </c>
      <c r="P34" s="87"/>
      <c r="Q34" s="319"/>
      <c r="R34" s="309"/>
      <c r="S34" s="309"/>
      <c r="T34" s="317">
        <v>58</v>
      </c>
      <c r="U34" s="317">
        <v>26</v>
      </c>
      <c r="W34" s="318"/>
      <c r="X34" s="318"/>
    </row>
    <row r="35" spans="1:24">
      <c r="A35" s="117">
        <v>45611</v>
      </c>
      <c r="B35" s="297"/>
      <c r="C35" s="298"/>
      <c r="D35" s="301"/>
      <c r="E35" s="298"/>
      <c r="F35" s="302"/>
      <c r="G35" s="298"/>
      <c r="H35" s="301"/>
      <c r="I35" s="298"/>
      <c r="J35" s="301"/>
      <c r="K35" s="299">
        <v>0</v>
      </c>
      <c r="L35" s="307">
        <f t="shared" si="16"/>
        <v>37244.92</v>
      </c>
      <c r="M35" s="309">
        <f t="shared" si="17"/>
        <v>-0.0434843194722931</v>
      </c>
      <c r="N35" s="309">
        <f>O35/($L$16+SUM($K$16:K35))-1</f>
        <v>0.182491988176856</v>
      </c>
      <c r="O35" s="310">
        <v>35625.35</v>
      </c>
      <c r="P35" s="87"/>
      <c r="Q35" s="319"/>
      <c r="R35" s="309"/>
      <c r="S35" s="309"/>
      <c r="T35" s="317">
        <v>81</v>
      </c>
      <c r="U35" s="317">
        <v>54</v>
      </c>
      <c r="W35" s="318"/>
      <c r="X35" s="318"/>
    </row>
    <row r="36" spans="1:24">
      <c r="A36" s="77">
        <v>45614</v>
      </c>
      <c r="B36" s="297"/>
      <c r="C36" s="298"/>
      <c r="D36" s="301"/>
      <c r="E36" s="298"/>
      <c r="F36" s="302"/>
      <c r="G36" s="298"/>
      <c r="H36" s="301"/>
      <c r="I36" s="298"/>
      <c r="J36" s="301"/>
      <c r="K36" s="299">
        <v>0</v>
      </c>
      <c r="L36" s="307">
        <f t="shared" si="16"/>
        <v>35625.35</v>
      </c>
      <c r="M36" s="309">
        <f t="shared" si="17"/>
        <v>-0.0310023620820568</v>
      </c>
      <c r="N36" s="309">
        <f>O36/($L$16+SUM($K$16:K36))-1</f>
        <v>0.145831943400266</v>
      </c>
      <c r="O36" s="310">
        <v>34520.88</v>
      </c>
      <c r="P36" s="87"/>
      <c r="Q36" s="319"/>
      <c r="R36" s="309"/>
      <c r="S36" s="309"/>
      <c r="T36" s="317">
        <v>81</v>
      </c>
      <c r="U36" s="317">
        <v>55</v>
      </c>
      <c r="W36" s="318"/>
      <c r="X36" s="318"/>
    </row>
    <row r="37" spans="1:24">
      <c r="A37" s="77">
        <v>45615</v>
      </c>
      <c r="B37" s="297"/>
      <c r="C37" s="298"/>
      <c r="D37" s="301"/>
      <c r="E37" s="298"/>
      <c r="F37" s="302"/>
      <c r="G37" s="298"/>
      <c r="H37" s="301"/>
      <c r="I37" s="298"/>
      <c r="J37" s="301"/>
      <c r="K37" s="299">
        <v>0</v>
      </c>
      <c r="L37" s="311">
        <f t="shared" si="16"/>
        <v>34520.88</v>
      </c>
      <c r="M37" s="312">
        <f t="shared" si="17"/>
        <v>0</v>
      </c>
      <c r="N37" s="312">
        <f>O37/($L$16+SUM($K$16:K37))-1</f>
        <v>0.145831943400266</v>
      </c>
      <c r="O37" s="313">
        <v>34520.88</v>
      </c>
      <c r="P37" s="87"/>
      <c r="Q37" s="316"/>
      <c r="R37" s="304"/>
      <c r="S37" s="304"/>
      <c r="T37" s="317">
        <v>95</v>
      </c>
      <c r="U37" s="317">
        <v>12</v>
      </c>
      <c r="W37" s="318"/>
      <c r="X37" s="318"/>
    </row>
    <row r="38" spans="1:24">
      <c r="A38" s="77">
        <v>45616</v>
      </c>
      <c r="B38" s="297"/>
      <c r="C38" s="298"/>
      <c r="D38" s="301"/>
      <c r="E38" s="298"/>
      <c r="F38" s="302"/>
      <c r="G38" s="298"/>
      <c r="H38" s="301"/>
      <c r="I38" s="298"/>
      <c r="J38" s="301"/>
      <c r="K38" s="299">
        <v>0</v>
      </c>
      <c r="L38" s="311">
        <f t="shared" si="16"/>
        <v>34520.88</v>
      </c>
      <c r="M38" s="312">
        <f t="shared" si="17"/>
        <v>0</v>
      </c>
      <c r="N38" s="312">
        <f>O38/($L$16+SUM($K$16:K38))-1</f>
        <v>0.145831943400266</v>
      </c>
      <c r="O38" s="313">
        <v>34520.88</v>
      </c>
      <c r="P38" s="87"/>
      <c r="Q38" s="316"/>
      <c r="R38" s="304"/>
      <c r="S38" s="304"/>
      <c r="T38" s="317">
        <v>151</v>
      </c>
      <c r="U38" s="317">
        <v>2</v>
      </c>
      <c r="W38" s="318"/>
      <c r="X38" s="318"/>
    </row>
    <row r="39" spans="1:24">
      <c r="A39" s="77">
        <v>45617</v>
      </c>
      <c r="B39" s="297"/>
      <c r="C39" s="298"/>
      <c r="D39" s="301"/>
      <c r="E39" s="298"/>
      <c r="F39" s="302"/>
      <c r="G39" s="298"/>
      <c r="H39" s="301"/>
      <c r="I39" s="298"/>
      <c r="J39" s="301"/>
      <c r="K39" s="299">
        <v>0</v>
      </c>
      <c r="L39" s="311">
        <f t="shared" si="16"/>
        <v>34520.88</v>
      </c>
      <c r="M39" s="312">
        <f t="shared" si="17"/>
        <v>0</v>
      </c>
      <c r="N39" s="312">
        <f>O39/($L$16+SUM($K$16:K39))-1</f>
        <v>0.145831943400266</v>
      </c>
      <c r="O39" s="313">
        <v>34520.88</v>
      </c>
      <c r="P39" s="87"/>
      <c r="Q39" s="316"/>
      <c r="R39" s="304"/>
      <c r="S39" s="304"/>
      <c r="T39" s="317">
        <v>105</v>
      </c>
      <c r="U39" s="317">
        <v>3</v>
      </c>
      <c r="W39" s="318"/>
      <c r="X39" s="318"/>
    </row>
    <row r="40" spans="1:24">
      <c r="A40" s="117">
        <v>45618</v>
      </c>
      <c r="B40" s="297"/>
      <c r="C40" s="298"/>
      <c r="D40" s="301"/>
      <c r="E40" s="298"/>
      <c r="F40" s="302"/>
      <c r="G40" s="298"/>
      <c r="H40" s="301"/>
      <c r="I40" s="298"/>
      <c r="J40" s="301"/>
      <c r="K40" s="299">
        <v>0</v>
      </c>
      <c r="L40" s="311">
        <f t="shared" si="16"/>
        <v>34520.88</v>
      </c>
      <c r="M40" s="312">
        <f t="shared" si="17"/>
        <v>0</v>
      </c>
      <c r="N40" s="312">
        <f>O40/($L$16+SUM($K$16:K40))-1</f>
        <v>0.145831943400266</v>
      </c>
      <c r="O40" s="313">
        <v>34520.88</v>
      </c>
      <c r="P40" s="87"/>
      <c r="Q40" s="319"/>
      <c r="R40" s="309"/>
      <c r="S40" s="309"/>
      <c r="T40" s="317">
        <v>70</v>
      </c>
      <c r="U40" s="317">
        <v>6</v>
      </c>
      <c r="W40" s="318"/>
      <c r="X40" s="318"/>
    </row>
    <row r="41" spans="1:24">
      <c r="A41" s="77">
        <v>45621</v>
      </c>
      <c r="B41" s="297"/>
      <c r="C41" s="298"/>
      <c r="D41" s="301"/>
      <c r="E41" s="298"/>
      <c r="F41" s="302"/>
      <c r="G41" s="298"/>
      <c r="H41" s="301"/>
      <c r="I41" s="298"/>
      <c r="J41" s="301"/>
      <c r="K41" s="299">
        <v>0</v>
      </c>
      <c r="L41" s="301">
        <f t="shared" si="16"/>
        <v>34520.88</v>
      </c>
      <c r="M41" s="304">
        <f t="shared" si="17"/>
        <v>0.000423222119482487</v>
      </c>
      <c r="N41" s="304">
        <f>O41/($L$16+SUM($K$16:K41))-1</f>
        <v>0.146316884823922</v>
      </c>
      <c r="O41" s="305">
        <v>34535.49</v>
      </c>
      <c r="P41" s="87"/>
      <c r="Q41" s="319"/>
      <c r="R41" s="309"/>
      <c r="S41" s="309"/>
      <c r="T41" s="317">
        <v>154</v>
      </c>
      <c r="U41" s="317">
        <v>7</v>
      </c>
      <c r="W41" s="318"/>
      <c r="X41" s="318"/>
    </row>
    <row r="42" spans="1:24">
      <c r="A42" s="77">
        <v>45622</v>
      </c>
      <c r="B42" s="297"/>
      <c r="C42" s="298"/>
      <c r="D42" s="301"/>
      <c r="E42" s="298"/>
      <c r="F42" s="302"/>
      <c r="G42" s="298"/>
      <c r="H42" s="301"/>
      <c r="I42" s="298"/>
      <c r="J42" s="301"/>
      <c r="K42" s="299">
        <v>0</v>
      </c>
      <c r="L42" s="307">
        <f t="shared" si="16"/>
        <v>34535.49</v>
      </c>
      <c r="M42" s="309">
        <f t="shared" si="17"/>
        <v>-0.0418372520557836</v>
      </c>
      <c r="N42" s="309">
        <f>O42/($L$16+SUM($K$16:K42))-1</f>
        <v>0.0983581363777433</v>
      </c>
      <c r="O42" s="310">
        <v>33090.62</v>
      </c>
      <c r="P42" s="87"/>
      <c r="Q42" s="319"/>
      <c r="R42" s="309"/>
      <c r="S42" s="309"/>
      <c r="T42" s="317">
        <v>106</v>
      </c>
      <c r="U42" s="317">
        <v>65</v>
      </c>
      <c r="W42" s="318"/>
      <c r="X42" s="318"/>
    </row>
    <row r="43" spans="1:24">
      <c r="A43" s="77">
        <v>45623</v>
      </c>
      <c r="B43" s="297"/>
      <c r="C43" s="298"/>
      <c r="D43" s="301"/>
      <c r="E43" s="298"/>
      <c r="F43" s="302"/>
      <c r="G43" s="298"/>
      <c r="H43" s="301"/>
      <c r="I43" s="298"/>
      <c r="J43" s="301"/>
      <c r="K43" s="299">
        <v>0</v>
      </c>
      <c r="L43" s="301">
        <f t="shared" si="16"/>
        <v>33090.62</v>
      </c>
      <c r="M43" s="304">
        <f t="shared" si="17"/>
        <v>0.00217886518898705</v>
      </c>
      <c r="N43" s="304">
        <f>O43/($L$16+SUM($K$16:K43))-1</f>
        <v>0.100751310686138</v>
      </c>
      <c r="O43" s="305">
        <v>33162.72</v>
      </c>
      <c r="P43" s="87"/>
      <c r="Q43" s="316"/>
      <c r="R43" s="304"/>
      <c r="S43" s="304"/>
      <c r="T43" s="317">
        <v>108</v>
      </c>
      <c r="U43" s="317">
        <v>22</v>
      </c>
      <c r="W43" s="318"/>
      <c r="X43" s="318"/>
    </row>
    <row r="44" spans="1:40">
      <c r="A44" s="77">
        <v>45624</v>
      </c>
      <c r="B44" s="297"/>
      <c r="C44" s="298"/>
      <c r="D44" s="301"/>
      <c r="E44" s="298"/>
      <c r="F44" s="302"/>
      <c r="G44" s="298"/>
      <c r="H44" s="301"/>
      <c r="I44" s="298"/>
      <c r="J44" s="301"/>
      <c r="K44" s="299">
        <v>0</v>
      </c>
      <c r="L44" s="307">
        <f t="shared" si="16"/>
        <v>33162.72</v>
      </c>
      <c r="M44" s="309">
        <f t="shared" si="17"/>
        <v>-0.00231886889857049</v>
      </c>
      <c r="N44" s="309">
        <f>O44/($L$16+SUM($K$16:K44))-1</f>
        <v>0.0981988127067266</v>
      </c>
      <c r="O44" s="314">
        <v>33085.82</v>
      </c>
      <c r="P44" s="87"/>
      <c r="Q44" s="319"/>
      <c r="R44" s="309"/>
      <c r="S44" s="309"/>
      <c r="T44" s="317">
        <v>113</v>
      </c>
      <c r="U44" s="317">
        <v>7</v>
      </c>
      <c r="W44" s="320"/>
      <c r="X44" s="320"/>
      <c r="Y44" s="325"/>
      <c r="Z44" s="320"/>
      <c r="AA44" s="325"/>
      <c r="AB44" s="320"/>
      <c r="AC44" s="325"/>
      <c r="AD44" s="320"/>
      <c r="AE44" s="325"/>
      <c r="AF44" s="320"/>
      <c r="AG44" s="325"/>
      <c r="AH44" s="320"/>
      <c r="AI44" s="325"/>
      <c r="AJ44" s="320"/>
      <c r="AK44" s="325"/>
      <c r="AL44" s="320"/>
      <c r="AM44" s="325"/>
      <c r="AN44" s="320"/>
    </row>
    <row r="45" spans="1:40">
      <c r="A45" s="117">
        <v>45625</v>
      </c>
      <c r="B45" s="297"/>
      <c r="C45" s="298"/>
      <c r="D45" s="301"/>
      <c r="E45" s="298"/>
      <c r="F45" s="302"/>
      <c r="G45" s="298"/>
      <c r="H45" s="301"/>
      <c r="I45" s="298"/>
      <c r="J45" s="301"/>
      <c r="K45" s="299">
        <v>0</v>
      </c>
      <c r="L45" s="301">
        <f t="shared" si="16"/>
        <v>33085.82</v>
      </c>
      <c r="M45" s="304">
        <f t="shared" si="17"/>
        <v>0.100073082668043</v>
      </c>
      <c r="N45" s="304">
        <f>O45/($L$16+SUM($K$16:K45))-1</f>
        <v>0.208098953276674</v>
      </c>
      <c r="O45" s="305">
        <v>36396.82</v>
      </c>
      <c r="P45" s="87"/>
      <c r="Q45" s="316"/>
      <c r="R45" s="304"/>
      <c r="S45" s="304"/>
      <c r="T45" s="317">
        <v>144</v>
      </c>
      <c r="U45" s="317">
        <v>11</v>
      </c>
      <c r="W45" s="321"/>
      <c r="X45" s="320"/>
      <c r="Y45" s="326"/>
      <c r="Z45" s="327"/>
      <c r="AA45" s="326"/>
      <c r="AB45" s="327"/>
      <c r="AC45" s="326"/>
      <c r="AD45" s="327"/>
      <c r="AE45" s="326"/>
      <c r="AF45" s="327"/>
      <c r="AG45" s="326"/>
      <c r="AH45" s="327"/>
      <c r="AI45" s="326"/>
      <c r="AJ45" s="327"/>
      <c r="AK45" s="326"/>
      <c r="AL45" s="327"/>
      <c r="AM45" s="326"/>
      <c r="AN45" s="327"/>
    </row>
    <row r="46" spans="1:40">
      <c r="A46" s="77">
        <v>45628</v>
      </c>
      <c r="B46" s="297"/>
      <c r="C46" s="298"/>
      <c r="D46" s="301"/>
      <c r="E46" s="298"/>
      <c r="F46" s="302"/>
      <c r="G46" s="298"/>
      <c r="H46" s="301"/>
      <c r="I46" s="298"/>
      <c r="J46" s="301"/>
      <c r="K46" s="299">
        <v>0</v>
      </c>
      <c r="L46" s="301">
        <f t="shared" si="16"/>
        <v>36396.82</v>
      </c>
      <c r="M46" s="304">
        <f t="shared" si="17"/>
        <v>0.0994317635441778</v>
      </c>
      <c r="N46" s="304">
        <f>O46/($L$16+SUM($K$16:K46))-1</f>
        <v>0.328222362736849</v>
      </c>
      <c r="O46" s="305">
        <v>40015.82</v>
      </c>
      <c r="P46" s="87"/>
      <c r="Q46" s="316"/>
      <c r="R46" s="304"/>
      <c r="S46" s="304"/>
      <c r="T46" s="317">
        <v>185</v>
      </c>
      <c r="U46" s="317">
        <v>6</v>
      </c>
      <c r="W46" s="321"/>
      <c r="X46" s="320"/>
      <c r="Y46" s="325"/>
      <c r="Z46" s="320"/>
      <c r="AA46" s="325"/>
      <c r="AB46" s="320"/>
      <c r="AC46" s="325"/>
      <c r="AD46" s="320"/>
      <c r="AE46" s="325"/>
      <c r="AF46" s="320"/>
      <c r="AG46" s="325"/>
      <c r="AH46" s="320"/>
      <c r="AI46" s="325"/>
      <c r="AJ46" s="320"/>
      <c r="AK46" s="325"/>
      <c r="AL46" s="320"/>
      <c r="AM46" s="325"/>
      <c r="AN46" s="320"/>
    </row>
    <row r="47" spans="1:40">
      <c r="A47" s="77">
        <v>45629</v>
      </c>
      <c r="B47" s="297"/>
      <c r="C47" s="298"/>
      <c r="D47" s="301"/>
      <c r="E47" s="298"/>
      <c r="F47" s="302"/>
      <c r="G47" s="298"/>
      <c r="H47" s="301"/>
      <c r="I47" s="298"/>
      <c r="J47" s="301"/>
      <c r="K47" s="299">
        <v>0</v>
      </c>
      <c r="L47" s="301">
        <f t="shared" ref="L47:L110" si="18">IF(K47&gt;0,K47+O46,O46)</f>
        <v>40015.82</v>
      </c>
      <c r="M47" s="304">
        <f t="shared" si="17"/>
        <v>0.100060426101477</v>
      </c>
      <c r="N47" s="304">
        <f>O47/($L$16+SUM($K$16:K47))-1</f>
        <v>0.461124858309808</v>
      </c>
      <c r="O47" s="305">
        <v>44019.82</v>
      </c>
      <c r="P47" s="87"/>
      <c r="Q47" s="316"/>
      <c r="R47" s="304"/>
      <c r="S47" s="304"/>
      <c r="T47" s="317">
        <v>134</v>
      </c>
      <c r="U47" s="317">
        <v>6</v>
      </c>
      <c r="W47" s="321"/>
      <c r="X47" s="320"/>
      <c r="Y47" s="325"/>
      <c r="Z47" s="320"/>
      <c r="AA47" s="325"/>
      <c r="AB47" s="320"/>
      <c r="AC47" s="325"/>
      <c r="AD47" s="320"/>
      <c r="AE47" s="325"/>
      <c r="AF47" s="320"/>
      <c r="AG47" s="325"/>
      <c r="AH47" s="320"/>
      <c r="AI47" s="325"/>
      <c r="AJ47" s="320"/>
      <c r="AK47" s="325"/>
      <c r="AL47" s="320"/>
      <c r="AM47" s="325"/>
      <c r="AN47" s="320"/>
    </row>
    <row r="48" spans="1:40">
      <c r="A48" s="77">
        <v>45630</v>
      </c>
      <c r="B48" s="297"/>
      <c r="C48" s="298"/>
      <c r="D48" s="301"/>
      <c r="E48" s="298"/>
      <c r="F48" s="302"/>
      <c r="G48" s="298"/>
      <c r="H48" s="301"/>
      <c r="I48" s="298"/>
      <c r="J48" s="301"/>
      <c r="K48" s="299">
        <v>0</v>
      </c>
      <c r="L48" s="301">
        <f t="shared" si="18"/>
        <v>44019.82</v>
      </c>
      <c r="M48" s="304">
        <f t="shared" si="17"/>
        <v>0.0997050873901801</v>
      </c>
      <c r="N48" s="304">
        <f>O48/($L$16+SUM($K$16:K48))-1</f>
        <v>0.606806439995552</v>
      </c>
      <c r="O48" s="305">
        <v>48408.82</v>
      </c>
      <c r="P48" s="87"/>
      <c r="Q48" s="319"/>
      <c r="R48" s="309"/>
      <c r="S48" s="309"/>
      <c r="T48" s="317">
        <v>97</v>
      </c>
      <c r="U48" s="317">
        <v>19</v>
      </c>
      <c r="W48" s="321"/>
      <c r="X48" s="320"/>
      <c r="Y48" s="325"/>
      <c r="Z48" s="320"/>
      <c r="AA48" s="325"/>
      <c r="AB48" s="320"/>
      <c r="AC48" s="325"/>
      <c r="AD48" s="320"/>
      <c r="AE48" s="325"/>
      <c r="AF48" s="320"/>
      <c r="AG48" s="325"/>
      <c r="AH48" s="320"/>
      <c r="AI48" s="325"/>
      <c r="AJ48" s="320"/>
      <c r="AK48" s="325"/>
      <c r="AL48" s="320"/>
      <c r="AM48" s="325"/>
      <c r="AN48" s="320"/>
    </row>
    <row r="49" spans="1:40">
      <c r="A49" s="77">
        <v>45631</v>
      </c>
      <c r="B49" s="297"/>
      <c r="C49" s="298"/>
      <c r="D49" s="301"/>
      <c r="E49" s="298"/>
      <c r="F49" s="302"/>
      <c r="G49" s="298"/>
      <c r="H49" s="301"/>
      <c r="I49" s="298"/>
      <c r="J49" s="301"/>
      <c r="K49" s="299">
        <v>0</v>
      </c>
      <c r="L49" s="301">
        <f t="shared" si="18"/>
        <v>48408.82</v>
      </c>
      <c r="M49" s="304">
        <f t="shared" si="17"/>
        <v>0.0986183922681858</v>
      </c>
      <c r="N49" s="304">
        <f>O49/($L$16+SUM($K$16:K49))-1</f>
        <v>0.765267107794081</v>
      </c>
      <c r="O49" s="305">
        <v>53182.82</v>
      </c>
      <c r="P49" s="87"/>
      <c r="Q49" s="316"/>
      <c r="R49" s="304"/>
      <c r="S49" s="304"/>
      <c r="T49" s="317">
        <v>142</v>
      </c>
      <c r="U49" s="317">
        <v>11</v>
      </c>
      <c r="W49" s="321"/>
      <c r="X49" s="320"/>
      <c r="Y49" s="325"/>
      <c r="Z49" s="320"/>
      <c r="AA49" s="325"/>
      <c r="AB49" s="320"/>
      <c r="AC49" s="325"/>
      <c r="AD49" s="320"/>
      <c r="AE49" s="325"/>
      <c r="AF49" s="320"/>
      <c r="AG49" s="325"/>
      <c r="AH49" s="320"/>
      <c r="AI49" s="325"/>
      <c r="AJ49" s="320"/>
      <c r="AK49" s="325"/>
      <c r="AL49" s="320"/>
      <c r="AM49" s="325"/>
      <c r="AN49" s="320"/>
    </row>
    <row r="50" spans="1:40">
      <c r="A50" s="117">
        <v>45632</v>
      </c>
      <c r="B50" s="297"/>
      <c r="C50" s="298"/>
      <c r="D50" s="301"/>
      <c r="E50" s="298"/>
      <c r="F50" s="302"/>
      <c r="G50" s="298"/>
      <c r="H50" s="301"/>
      <c r="I50" s="298"/>
      <c r="J50" s="301"/>
      <c r="K50" s="299">
        <v>0</v>
      </c>
      <c r="L50" s="301">
        <f t="shared" si="18"/>
        <v>53182.82</v>
      </c>
      <c r="M50" s="304">
        <f t="shared" ref="M50:M113" si="19">(O50-L50)/L50</f>
        <v>0.0194756502193753</v>
      </c>
      <c r="N50" s="304">
        <f>O50/($L$16+SUM($K$16:K50))-1</f>
        <v>0.799646832529247</v>
      </c>
      <c r="O50" s="305">
        <v>54218.59</v>
      </c>
      <c r="P50" s="87"/>
      <c r="Q50" s="316"/>
      <c r="R50" s="304"/>
      <c r="S50" s="304"/>
      <c r="T50" s="317">
        <v>134</v>
      </c>
      <c r="U50" s="317">
        <v>6</v>
      </c>
      <c r="W50" s="321"/>
      <c r="X50" s="320"/>
      <c r="Y50" s="325"/>
      <c r="Z50" s="320"/>
      <c r="AA50" s="325"/>
      <c r="AB50" s="320"/>
      <c r="AC50" s="325"/>
      <c r="AD50" s="320"/>
      <c r="AE50" s="325"/>
      <c r="AF50" s="320"/>
      <c r="AG50" s="325"/>
      <c r="AH50" s="320"/>
      <c r="AI50" s="325"/>
      <c r="AJ50" s="320"/>
      <c r="AK50" s="325"/>
      <c r="AL50" s="320"/>
      <c r="AM50" s="325"/>
      <c r="AN50" s="320"/>
    </row>
    <row r="51" spans="1:40">
      <c r="A51" s="77">
        <v>45635</v>
      </c>
      <c r="B51" s="297"/>
      <c r="C51" s="298"/>
      <c r="D51" s="301"/>
      <c r="E51" s="298"/>
      <c r="F51" s="302"/>
      <c r="G51" s="298"/>
      <c r="H51" s="301"/>
      <c r="I51" s="298"/>
      <c r="J51" s="301"/>
      <c r="K51" s="299">
        <v>0</v>
      </c>
      <c r="L51" s="301">
        <f t="shared" si="18"/>
        <v>54218.59</v>
      </c>
      <c r="M51" s="304">
        <f t="shared" si="19"/>
        <v>0.0656273060586784</v>
      </c>
      <c r="N51" s="304">
        <f>O51/($L$16+SUM($K$16:K51))-1</f>
        <v>0.917752806005175</v>
      </c>
      <c r="O51" s="305">
        <v>57776.81</v>
      </c>
      <c r="P51" s="87"/>
      <c r="Q51" s="319"/>
      <c r="R51" s="309"/>
      <c r="S51" s="309"/>
      <c r="T51" s="317">
        <v>118</v>
      </c>
      <c r="U51" s="317">
        <v>27</v>
      </c>
      <c r="W51" s="321"/>
      <c r="X51" s="320"/>
      <c r="Y51" s="325"/>
      <c r="Z51" s="320"/>
      <c r="AA51" s="325"/>
      <c r="AB51" s="320"/>
      <c r="AC51" s="325"/>
      <c r="AD51" s="320"/>
      <c r="AE51" s="325"/>
      <c r="AF51" s="320"/>
      <c r="AG51" s="325"/>
      <c r="AH51" s="320"/>
      <c r="AI51" s="325"/>
      <c r="AJ51" s="320"/>
      <c r="AK51" s="325"/>
      <c r="AL51" s="320"/>
      <c r="AM51" s="325"/>
      <c r="AN51" s="320"/>
    </row>
    <row r="52" spans="1:40">
      <c r="A52" s="77">
        <v>45636</v>
      </c>
      <c r="B52" s="297"/>
      <c r="C52" s="298"/>
      <c r="D52" s="301"/>
      <c r="E52" s="298"/>
      <c r="F52" s="302"/>
      <c r="G52" s="298"/>
      <c r="H52" s="301"/>
      <c r="I52" s="298"/>
      <c r="J52" s="301"/>
      <c r="K52" s="299">
        <v>0</v>
      </c>
      <c r="L52" s="307">
        <f t="shared" si="18"/>
        <v>57776.81</v>
      </c>
      <c r="M52" s="309">
        <f t="shared" si="19"/>
        <v>-0.0372883168870001</v>
      </c>
      <c r="N52" s="309">
        <f>O52/($L$16+SUM($K$16:K52))-1</f>
        <v>0.84624303166392</v>
      </c>
      <c r="O52" s="310">
        <v>55622.41</v>
      </c>
      <c r="P52" s="87"/>
      <c r="Q52" s="316"/>
      <c r="R52" s="304"/>
      <c r="S52" s="304"/>
      <c r="T52" s="317">
        <v>119</v>
      </c>
      <c r="U52" s="317">
        <v>6</v>
      </c>
      <c r="W52" s="321"/>
      <c r="X52" s="320"/>
      <c r="Y52" s="325"/>
      <c r="Z52" s="320"/>
      <c r="AA52" s="325"/>
      <c r="AB52" s="320"/>
      <c r="AC52" s="325"/>
      <c r="AD52" s="320"/>
      <c r="AE52" s="325"/>
      <c r="AF52" s="320"/>
      <c r="AG52" s="325"/>
      <c r="AH52" s="320"/>
      <c r="AI52" s="325"/>
      <c r="AJ52" s="320"/>
      <c r="AK52" s="325"/>
      <c r="AL52" s="320"/>
      <c r="AM52" s="325"/>
      <c r="AN52" s="320"/>
    </row>
    <row r="53" spans="1:40">
      <c r="A53" s="77">
        <v>45637</v>
      </c>
      <c r="B53" s="297"/>
      <c r="C53" s="298"/>
      <c r="D53" s="301"/>
      <c r="E53" s="298"/>
      <c r="F53" s="302"/>
      <c r="G53" s="298"/>
      <c r="H53" s="301"/>
      <c r="I53" s="298"/>
      <c r="J53" s="301"/>
      <c r="K53" s="299">
        <v>0</v>
      </c>
      <c r="L53" s="307">
        <f t="shared" si="18"/>
        <v>55622.41</v>
      </c>
      <c r="M53" s="309">
        <f t="shared" si="19"/>
        <v>-0.0411228136285358</v>
      </c>
      <c r="N53" s="309">
        <f>O53/($L$16+SUM($K$16:K53))-1</f>
        <v>0.770320323559822</v>
      </c>
      <c r="O53" s="310">
        <v>53335.06</v>
      </c>
      <c r="P53" s="87"/>
      <c r="Q53" s="316"/>
      <c r="R53" s="304"/>
      <c r="S53" s="304"/>
      <c r="T53" s="317">
        <v>156</v>
      </c>
      <c r="U53" s="317">
        <v>11</v>
      </c>
      <c r="W53" s="321"/>
      <c r="X53" s="320"/>
      <c r="Y53" s="325"/>
      <c r="Z53" s="320"/>
      <c r="AA53" s="325"/>
      <c r="AB53" s="320"/>
      <c r="AC53" s="325"/>
      <c r="AD53" s="320"/>
      <c r="AE53" s="325"/>
      <c r="AF53" s="320"/>
      <c r="AG53" s="325"/>
      <c r="AH53" s="320"/>
      <c r="AI53" s="325"/>
      <c r="AJ53" s="320"/>
      <c r="AK53" s="325"/>
      <c r="AL53" s="320"/>
      <c r="AM53" s="325"/>
      <c r="AN53" s="320"/>
    </row>
    <row r="54" spans="1:40">
      <c r="A54" s="77">
        <v>45638</v>
      </c>
      <c r="B54" s="297"/>
      <c r="C54" s="298"/>
      <c r="D54" s="301"/>
      <c r="E54" s="298"/>
      <c r="F54" s="302"/>
      <c r="G54" s="298"/>
      <c r="H54" s="301"/>
      <c r="I54" s="298"/>
      <c r="J54" s="301"/>
      <c r="K54" s="299">
        <v>0</v>
      </c>
      <c r="L54" s="301">
        <f t="shared" si="18"/>
        <v>53335.06</v>
      </c>
      <c r="M54" s="304">
        <f t="shared" si="19"/>
        <v>0.016555714008759</v>
      </c>
      <c r="N54" s="304">
        <f>O54/($L$16+SUM($K$16:K54))-1</f>
        <v>0.799629240540572</v>
      </c>
      <c r="O54" s="305">
        <v>54218.06</v>
      </c>
      <c r="P54" s="87"/>
      <c r="Q54" s="316"/>
      <c r="R54" s="304"/>
      <c r="S54" s="304"/>
      <c r="T54" s="317">
        <v>155</v>
      </c>
      <c r="U54" s="317">
        <v>7</v>
      </c>
      <c r="W54" s="321"/>
      <c r="X54" s="320"/>
      <c r="Y54" s="325"/>
      <c r="Z54" s="320"/>
      <c r="AA54" s="325"/>
      <c r="AB54" s="320"/>
      <c r="AC54" s="325"/>
      <c r="AD54" s="320"/>
      <c r="AE54" s="325"/>
      <c r="AF54" s="320"/>
      <c r="AG54" s="325"/>
      <c r="AH54" s="320"/>
      <c r="AI54" s="325"/>
      <c r="AJ54" s="320"/>
      <c r="AK54" s="325"/>
      <c r="AL54" s="320"/>
      <c r="AM54" s="325"/>
      <c r="AN54" s="320"/>
    </row>
    <row r="55" spans="1:40">
      <c r="A55" s="117">
        <v>45639</v>
      </c>
      <c r="B55" s="297"/>
      <c r="C55" s="298"/>
      <c r="D55" s="301"/>
      <c r="E55" s="298"/>
      <c r="F55" s="302"/>
      <c r="G55" s="298"/>
      <c r="H55" s="301"/>
      <c r="I55" s="298"/>
      <c r="J55" s="301"/>
      <c r="K55" s="299">
        <v>0</v>
      </c>
      <c r="L55" s="307">
        <f t="shared" si="18"/>
        <v>54218.06</v>
      </c>
      <c r="M55" s="309">
        <f t="shared" si="19"/>
        <v>-0.0963123726669673</v>
      </c>
      <c r="N55" s="309">
        <f>O55/($L$16+SUM($K$16:K55))-1</f>
        <v>0.626302678463257</v>
      </c>
      <c r="O55" s="310">
        <v>48996.19</v>
      </c>
      <c r="P55" s="87"/>
      <c r="Q55" s="319"/>
      <c r="R55" s="309"/>
      <c r="S55" s="309"/>
      <c r="T55" s="317">
        <v>100</v>
      </c>
      <c r="U55" s="317">
        <v>17</v>
      </c>
      <c r="W55" s="321"/>
      <c r="X55" s="320"/>
      <c r="Y55" s="325"/>
      <c r="Z55" s="320"/>
      <c r="AA55" s="325"/>
      <c r="AB55" s="320"/>
      <c r="AC55" s="325"/>
      <c r="AD55" s="320"/>
      <c r="AE55" s="325"/>
      <c r="AF55" s="320"/>
      <c r="AG55" s="325"/>
      <c r="AH55" s="320"/>
      <c r="AI55" s="325"/>
      <c r="AJ55" s="320"/>
      <c r="AK55" s="325"/>
      <c r="AL55" s="320"/>
      <c r="AM55" s="325"/>
      <c r="AN55" s="320"/>
    </row>
    <row r="56" spans="1:40">
      <c r="A56" s="77">
        <v>45642</v>
      </c>
      <c r="B56" s="297"/>
      <c r="C56" s="298"/>
      <c r="D56" s="301"/>
      <c r="E56" s="298"/>
      <c r="F56" s="302"/>
      <c r="G56" s="298"/>
      <c r="H56" s="301"/>
      <c r="I56" s="298"/>
      <c r="J56" s="301"/>
      <c r="K56" s="299">
        <v>0</v>
      </c>
      <c r="L56" s="307">
        <f t="shared" si="18"/>
        <v>48996.19</v>
      </c>
      <c r="M56" s="309">
        <f t="shared" si="19"/>
        <v>-0.0469652844435456</v>
      </c>
      <c r="N56" s="309">
        <f>O56/($L$16+SUM($K$16:K56))-1</f>
        <v>0.54992291057793</v>
      </c>
      <c r="O56" s="310">
        <v>46695.07</v>
      </c>
      <c r="P56" s="87"/>
      <c r="Q56" s="319"/>
      <c r="R56" s="309"/>
      <c r="S56" s="309"/>
      <c r="T56" s="317">
        <v>115</v>
      </c>
      <c r="U56" s="317">
        <v>30</v>
      </c>
      <c r="W56" s="321"/>
      <c r="X56" s="320"/>
      <c r="Y56" s="325"/>
      <c r="Z56" s="320"/>
      <c r="AA56" s="325"/>
      <c r="AB56" s="320"/>
      <c r="AC56" s="325"/>
      <c r="AD56" s="320"/>
      <c r="AE56" s="325"/>
      <c r="AF56" s="320"/>
      <c r="AG56" s="325"/>
      <c r="AH56" s="320"/>
      <c r="AI56" s="325"/>
      <c r="AJ56" s="320"/>
      <c r="AK56" s="325"/>
      <c r="AL56" s="320"/>
      <c r="AM56" s="325"/>
      <c r="AN56" s="320"/>
    </row>
    <row r="57" spans="1:40">
      <c r="A57" s="77">
        <v>45643</v>
      </c>
      <c r="B57" s="297"/>
      <c r="C57" s="298"/>
      <c r="D57" s="301"/>
      <c r="E57" s="298"/>
      <c r="F57" s="302"/>
      <c r="G57" s="298"/>
      <c r="H57" s="301"/>
      <c r="I57" s="298"/>
      <c r="J57" s="301"/>
      <c r="K57" s="299">
        <v>0</v>
      </c>
      <c r="L57" s="307">
        <f t="shared" si="18"/>
        <v>46695.07</v>
      </c>
      <c r="M57" s="309">
        <f t="shared" si="19"/>
        <v>-0.000214155370149354</v>
      </c>
      <c r="N57" s="309">
        <f>O57/($L$16+SUM($K$16:K57))-1</f>
        <v>0.549590986263312</v>
      </c>
      <c r="O57" s="310">
        <v>46685.07</v>
      </c>
      <c r="P57" s="87"/>
      <c r="Q57" s="319"/>
      <c r="R57" s="309"/>
      <c r="S57" s="309"/>
      <c r="T57" s="317">
        <v>31</v>
      </c>
      <c r="U57" s="317">
        <v>162</v>
      </c>
      <c r="W57" s="322"/>
      <c r="X57" s="320"/>
      <c r="Y57" s="325"/>
      <c r="Z57" s="320"/>
      <c r="AA57" s="325"/>
      <c r="AB57" s="320"/>
      <c r="AC57" s="325"/>
      <c r="AD57" s="320"/>
      <c r="AE57" s="325"/>
      <c r="AF57" s="320"/>
      <c r="AG57" s="325"/>
      <c r="AH57" s="320"/>
      <c r="AI57" s="325"/>
      <c r="AJ57" s="320"/>
      <c r="AK57" s="325"/>
      <c r="AL57" s="320"/>
      <c r="AM57" s="325"/>
      <c r="AN57" s="320"/>
    </row>
    <row r="58" spans="1:40">
      <c r="A58" s="77">
        <v>45644</v>
      </c>
      <c r="B58" s="297"/>
      <c r="C58" s="298"/>
      <c r="D58" s="301"/>
      <c r="E58" s="298"/>
      <c r="F58" s="302"/>
      <c r="G58" s="298"/>
      <c r="H58" s="301"/>
      <c r="I58" s="298"/>
      <c r="J58" s="301"/>
      <c r="K58" s="299">
        <v>0</v>
      </c>
      <c r="L58" s="301">
        <f t="shared" si="18"/>
        <v>46685.07</v>
      </c>
      <c r="M58" s="304">
        <f t="shared" si="19"/>
        <v>0.0967983982887891</v>
      </c>
      <c r="N58" s="304">
        <f>O58/($L$16+SUM($K$16:K58))-1</f>
        <v>0.699588911736346</v>
      </c>
      <c r="O58" s="305">
        <v>51204.11</v>
      </c>
      <c r="P58" s="87"/>
      <c r="Q58" s="316"/>
      <c r="R58" s="304"/>
      <c r="S58" s="304"/>
      <c r="T58" s="317">
        <v>108</v>
      </c>
      <c r="U58" s="317">
        <v>15</v>
      </c>
      <c r="W58" s="322"/>
      <c r="X58" s="320"/>
      <c r="Y58" s="325"/>
      <c r="Z58" s="320"/>
      <c r="AA58" s="325"/>
      <c r="AB58" s="320"/>
      <c r="AC58" s="325"/>
      <c r="AD58" s="320"/>
      <c r="AE58" s="325"/>
      <c r="AF58" s="320"/>
      <c r="AG58" s="325"/>
      <c r="AH58" s="320"/>
      <c r="AI58" s="325"/>
      <c r="AJ58" s="320"/>
      <c r="AK58" s="325"/>
      <c r="AL58" s="320"/>
      <c r="AM58" s="325"/>
      <c r="AN58" s="320"/>
    </row>
    <row r="59" spans="1:26">
      <c r="A59" s="77">
        <v>45645</v>
      </c>
      <c r="B59" s="297"/>
      <c r="C59" s="298"/>
      <c r="D59" s="301"/>
      <c r="E59" s="298"/>
      <c r="F59" s="302"/>
      <c r="G59" s="298"/>
      <c r="H59" s="301"/>
      <c r="I59" s="298"/>
      <c r="J59" s="301"/>
      <c r="K59" s="299">
        <v>0</v>
      </c>
      <c r="L59" s="307">
        <f t="shared" si="18"/>
        <v>51204.11</v>
      </c>
      <c r="M59" s="309">
        <f t="shared" si="19"/>
        <v>-0.000906567851682184</v>
      </c>
      <c r="N59" s="309">
        <f>O59/($L$16+SUM($K$16:K59))-1</f>
        <v>0.69804811906789</v>
      </c>
      <c r="O59" s="310">
        <v>51157.69</v>
      </c>
      <c r="P59" s="87"/>
      <c r="Q59" s="319"/>
      <c r="R59" s="309"/>
      <c r="S59" s="309"/>
      <c r="T59" s="317">
        <v>81</v>
      </c>
      <c r="U59" s="317">
        <v>25</v>
      </c>
      <c r="W59" s="318"/>
      <c r="Z59" s="323"/>
    </row>
    <row r="60" spans="1:26">
      <c r="A60" s="117">
        <v>45646</v>
      </c>
      <c r="B60" s="297"/>
      <c r="C60" s="298"/>
      <c r="D60" s="301"/>
      <c r="E60" s="298"/>
      <c r="F60" s="302"/>
      <c r="G60" s="298"/>
      <c r="H60" s="301"/>
      <c r="I60" s="298"/>
      <c r="J60" s="301"/>
      <c r="K60" s="299">
        <v>0</v>
      </c>
      <c r="L60" s="307">
        <f t="shared" si="18"/>
        <v>51157.69</v>
      </c>
      <c r="M60" s="309">
        <f t="shared" si="19"/>
        <v>-0.0942585562405183</v>
      </c>
      <c r="N60" s="309">
        <f>O60/($L$16+SUM($K$16:K60))-1</f>
        <v>0.537992554937623</v>
      </c>
      <c r="O60" s="310">
        <v>46335.64</v>
      </c>
      <c r="P60" s="87"/>
      <c r="Q60" s="319"/>
      <c r="R60" s="309"/>
      <c r="S60" s="309"/>
      <c r="T60" s="317">
        <v>98</v>
      </c>
      <c r="U60" s="317">
        <v>16</v>
      </c>
      <c r="W60" s="318"/>
      <c r="Z60" s="323"/>
    </row>
    <row r="61" spans="1:26">
      <c r="A61" s="77">
        <v>45649</v>
      </c>
      <c r="B61" s="297"/>
      <c r="C61" s="298"/>
      <c r="D61" s="301"/>
      <c r="E61" s="298"/>
      <c r="F61" s="302"/>
      <c r="G61" s="298"/>
      <c r="H61" s="301"/>
      <c r="I61" s="298"/>
      <c r="J61" s="301"/>
      <c r="K61" s="299">
        <v>0</v>
      </c>
      <c r="L61" s="307">
        <f t="shared" si="18"/>
        <v>46335.64</v>
      </c>
      <c r="M61" s="309">
        <f t="shared" si="19"/>
        <v>-0.100705418118753</v>
      </c>
      <c r="N61" s="309">
        <f>O61/($L$16+SUM($K$16:K61))-1</f>
        <v>0.383108371629101</v>
      </c>
      <c r="O61" s="310">
        <v>41669.39</v>
      </c>
      <c r="P61" s="87"/>
      <c r="Q61" s="319"/>
      <c r="R61" s="309"/>
      <c r="S61" s="309"/>
      <c r="T61" s="317">
        <v>33</v>
      </c>
      <c r="U61" s="317">
        <v>207</v>
      </c>
      <c r="W61" s="318"/>
      <c r="Z61" s="323"/>
    </row>
    <row r="62" spans="1:26">
      <c r="A62" s="77">
        <v>45650</v>
      </c>
      <c r="B62" s="297"/>
      <c r="C62" s="298"/>
      <c r="D62" s="301"/>
      <c r="E62" s="298"/>
      <c r="F62" s="302"/>
      <c r="G62" s="298"/>
      <c r="H62" s="301"/>
      <c r="I62" s="298"/>
      <c r="J62" s="301"/>
      <c r="K62" s="299">
        <v>0</v>
      </c>
      <c r="L62" s="307">
        <f t="shared" si="18"/>
        <v>41669.39</v>
      </c>
      <c r="M62" s="309">
        <f t="shared" si="19"/>
        <v>-0.100127935638127</v>
      </c>
      <c r="N62" s="309">
        <f>O62/($L$16+SUM($K$16:K62))-1</f>
        <v>0.244620585614068</v>
      </c>
      <c r="O62" s="310">
        <v>37497.12</v>
      </c>
      <c r="P62" s="87"/>
      <c r="Q62" s="316"/>
      <c r="R62" s="304"/>
      <c r="S62" s="304"/>
      <c r="T62" s="317">
        <v>83</v>
      </c>
      <c r="U62" s="317">
        <v>37</v>
      </c>
      <c r="W62" s="318"/>
      <c r="Z62" s="323"/>
    </row>
    <row r="63" spans="1:26">
      <c r="A63" s="77">
        <v>45651</v>
      </c>
      <c r="B63" s="297"/>
      <c r="C63" s="298"/>
      <c r="D63" s="301"/>
      <c r="E63" s="298"/>
      <c r="F63" s="302"/>
      <c r="G63" s="298"/>
      <c r="H63" s="301"/>
      <c r="I63" s="298"/>
      <c r="J63" s="301"/>
      <c r="K63" s="299">
        <v>0</v>
      </c>
      <c r="L63" s="307">
        <f t="shared" si="18"/>
        <v>37497.12</v>
      </c>
      <c r="M63" s="309">
        <f t="shared" si="19"/>
        <v>-0.00300849771929164</v>
      </c>
      <c r="N63" s="309">
        <f>O63/($L$16+SUM($K$16:K63))-1</f>
        <v>0.240876147420865</v>
      </c>
      <c r="O63" s="310">
        <v>37384.31</v>
      </c>
      <c r="P63" s="87"/>
      <c r="Q63" s="319"/>
      <c r="R63" s="309"/>
      <c r="S63" s="309"/>
      <c r="T63" s="317">
        <v>46</v>
      </c>
      <c r="U63" s="317">
        <v>62</v>
      </c>
      <c r="W63" s="318"/>
      <c r="Z63" s="323"/>
    </row>
    <row r="64" spans="1:26">
      <c r="A64" s="77">
        <v>45652</v>
      </c>
      <c r="B64" s="297"/>
      <c r="C64" s="298"/>
      <c r="D64" s="301"/>
      <c r="E64" s="298"/>
      <c r="F64" s="302"/>
      <c r="G64" s="298"/>
      <c r="H64" s="301"/>
      <c r="I64" s="298"/>
      <c r="J64" s="301"/>
      <c r="K64" s="299">
        <v>0</v>
      </c>
      <c r="L64" s="301">
        <f t="shared" si="18"/>
        <v>37384.31</v>
      </c>
      <c r="M64" s="304">
        <f t="shared" si="19"/>
        <v>0.00156964245160604</v>
      </c>
      <c r="N64" s="304">
        <f>O64/($L$16+SUM($K$16:K64))-1</f>
        <v>0.242823879299042</v>
      </c>
      <c r="O64" s="305">
        <v>37442.99</v>
      </c>
      <c r="P64" s="87"/>
      <c r="Q64" s="316"/>
      <c r="R64" s="304"/>
      <c r="S64" s="304"/>
      <c r="T64" s="317">
        <v>107</v>
      </c>
      <c r="U64" s="317">
        <v>9</v>
      </c>
      <c r="W64" s="318"/>
      <c r="Z64" s="323"/>
    </row>
    <row r="65" spans="1:26">
      <c r="A65" s="117">
        <v>45653</v>
      </c>
      <c r="B65" s="297"/>
      <c r="C65" s="298"/>
      <c r="D65" s="301"/>
      <c r="E65" s="298"/>
      <c r="F65" s="302"/>
      <c r="G65" s="298"/>
      <c r="H65" s="301"/>
      <c r="I65" s="298"/>
      <c r="J65" s="301"/>
      <c r="K65" s="299">
        <v>0</v>
      </c>
      <c r="L65" s="307">
        <f t="shared" si="18"/>
        <v>37442.99</v>
      </c>
      <c r="M65" s="309">
        <f t="shared" si="19"/>
        <v>-0.0158141750965934</v>
      </c>
      <c r="N65" s="309">
        <f>O65/($L$16+SUM($K$16:K65))-1</f>
        <v>0.22316964485758</v>
      </c>
      <c r="O65" s="310">
        <v>36850.86</v>
      </c>
      <c r="P65" s="87"/>
      <c r="Q65" s="316"/>
      <c r="R65" s="304"/>
      <c r="S65" s="304"/>
      <c r="T65" s="317">
        <v>79</v>
      </c>
      <c r="U65" s="317">
        <v>13</v>
      </c>
      <c r="W65" s="318"/>
      <c r="Z65" s="323"/>
    </row>
    <row r="66" spans="1:26">
      <c r="A66" s="77">
        <v>45656</v>
      </c>
      <c r="B66" s="297"/>
      <c r="C66" s="298"/>
      <c r="D66" s="301"/>
      <c r="E66" s="298"/>
      <c r="F66" s="302"/>
      <c r="G66" s="298"/>
      <c r="H66" s="301"/>
      <c r="I66" s="298"/>
      <c r="J66" s="301"/>
      <c r="K66" s="299">
        <v>0</v>
      </c>
      <c r="L66" s="301">
        <f t="shared" si="18"/>
        <v>36850.86</v>
      </c>
      <c r="M66" s="304">
        <f t="shared" si="19"/>
        <v>0</v>
      </c>
      <c r="N66" s="304">
        <f>O66/($L$16+SUM($K$16:K66))-1</f>
        <v>0.22316964485758</v>
      </c>
      <c r="O66" s="305">
        <v>36850.86</v>
      </c>
      <c r="P66" s="87"/>
      <c r="Q66" s="316"/>
      <c r="R66" s="304"/>
      <c r="S66" s="304"/>
      <c r="T66" s="317">
        <v>54</v>
      </c>
      <c r="U66" s="317">
        <v>20</v>
      </c>
      <c r="W66" s="318"/>
      <c r="Z66" s="323"/>
    </row>
    <row r="67" spans="1:26">
      <c r="A67" s="77">
        <v>45657</v>
      </c>
      <c r="B67" s="297"/>
      <c r="C67" s="298"/>
      <c r="D67" s="301"/>
      <c r="E67" s="298"/>
      <c r="F67" s="302"/>
      <c r="G67" s="298"/>
      <c r="H67" s="301"/>
      <c r="I67" s="298"/>
      <c r="J67" s="301"/>
      <c r="K67" s="299">
        <v>0</v>
      </c>
      <c r="L67" s="307">
        <f t="shared" si="18"/>
        <v>36850.86</v>
      </c>
      <c r="M67" s="309">
        <f t="shared" si="19"/>
        <v>-0.0484384896309068</v>
      </c>
      <c r="N67" s="309">
        <f>O67/($L$16+SUM($K$16:K67))-1</f>
        <v>0.163921154698306</v>
      </c>
      <c r="O67" s="310">
        <v>35065.86</v>
      </c>
      <c r="P67" s="87"/>
      <c r="Q67" s="319"/>
      <c r="R67" s="309"/>
      <c r="S67" s="309"/>
      <c r="T67" s="317">
        <v>57</v>
      </c>
      <c r="U67" s="317">
        <v>30</v>
      </c>
      <c r="W67" s="318"/>
      <c r="Z67" s="323"/>
    </row>
    <row r="68" spans="1:26">
      <c r="A68" s="77">
        <v>45659</v>
      </c>
      <c r="B68" s="297"/>
      <c r="C68" s="298"/>
      <c r="D68" s="301"/>
      <c r="E68" s="298"/>
      <c r="F68" s="302"/>
      <c r="G68" s="298"/>
      <c r="H68" s="301"/>
      <c r="I68" s="298"/>
      <c r="J68" s="301"/>
      <c r="K68" s="299">
        <v>0</v>
      </c>
      <c r="L68" s="307">
        <f t="shared" si="18"/>
        <v>35065.86</v>
      </c>
      <c r="M68" s="309">
        <f t="shared" si="19"/>
        <v>-0.0364519792185334</v>
      </c>
      <c r="N68" s="309">
        <f>O68/($L$16+SUM($K$16:K68))-1</f>
        <v>0.121493924955232</v>
      </c>
      <c r="O68" s="310">
        <v>33787.64</v>
      </c>
      <c r="P68" s="87"/>
      <c r="Q68" s="319"/>
      <c r="R68" s="309"/>
      <c r="S68" s="309"/>
      <c r="T68" s="317">
        <v>67</v>
      </c>
      <c r="U68" s="317">
        <v>32</v>
      </c>
      <c r="W68" s="318"/>
      <c r="Z68" s="323"/>
    </row>
    <row r="69" spans="1:26">
      <c r="A69" s="117">
        <v>45660</v>
      </c>
      <c r="B69" s="297"/>
      <c r="C69" s="298"/>
      <c r="D69" s="301"/>
      <c r="E69" s="298"/>
      <c r="F69" s="302"/>
      <c r="G69" s="298"/>
      <c r="H69" s="301"/>
      <c r="I69" s="298"/>
      <c r="J69" s="301"/>
      <c r="K69" s="299">
        <v>0</v>
      </c>
      <c r="L69" s="307">
        <f t="shared" si="18"/>
        <v>33787.64</v>
      </c>
      <c r="M69" s="309">
        <f t="shared" si="19"/>
        <v>-0.0473377246827538</v>
      </c>
      <c r="N69" s="309">
        <f>O69/($L$16+SUM($K$16:K69))-1</f>
        <v>0.06840495430232</v>
      </c>
      <c r="O69" s="310">
        <v>32188.21</v>
      </c>
      <c r="P69" s="87"/>
      <c r="Q69" s="319"/>
      <c r="R69" s="309"/>
      <c r="S69" s="309"/>
      <c r="T69" s="317">
        <v>55</v>
      </c>
      <c r="U69" s="317">
        <v>111</v>
      </c>
      <c r="W69" s="318"/>
      <c r="Z69" s="323"/>
    </row>
    <row r="70" spans="1:26">
      <c r="A70" s="77">
        <v>45663</v>
      </c>
      <c r="B70" s="297"/>
      <c r="C70" s="298"/>
      <c r="D70" s="301"/>
      <c r="E70" s="298"/>
      <c r="F70" s="302"/>
      <c r="G70" s="298"/>
      <c r="H70" s="301"/>
      <c r="I70" s="298"/>
      <c r="J70" s="301"/>
      <c r="K70" s="299">
        <v>0</v>
      </c>
      <c r="L70" s="307">
        <f t="shared" si="18"/>
        <v>32188.21</v>
      </c>
      <c r="M70" s="309">
        <f t="shared" si="19"/>
        <v>-0.015934405796408</v>
      </c>
      <c r="N70" s="309">
        <f>O70/($L$16+SUM($K$16:K70))-1</f>
        <v>0.051380556205574</v>
      </c>
      <c r="O70" s="310">
        <v>31675.31</v>
      </c>
      <c r="P70" s="87"/>
      <c r="Q70" s="319"/>
      <c r="R70" s="309"/>
      <c r="S70" s="309"/>
      <c r="T70" s="317">
        <v>68</v>
      </c>
      <c r="U70" s="317">
        <v>91</v>
      </c>
      <c r="W70" s="318"/>
      <c r="Z70" s="323"/>
    </row>
    <row r="71" spans="1:26">
      <c r="A71" s="77">
        <v>45664</v>
      </c>
      <c r="B71" s="297"/>
      <c r="C71" s="298"/>
      <c r="D71" s="301"/>
      <c r="E71" s="298"/>
      <c r="F71" s="302"/>
      <c r="G71" s="298"/>
      <c r="H71" s="301"/>
      <c r="I71" s="298"/>
      <c r="J71" s="301"/>
      <c r="K71" s="299">
        <v>0</v>
      </c>
      <c r="L71" s="307">
        <f t="shared" si="18"/>
        <v>31675.31</v>
      </c>
      <c r="M71" s="309">
        <f t="shared" si="19"/>
        <v>-0.0317881656091133</v>
      </c>
      <c r="N71" s="309">
        <f>O71/($L$16+SUM($K$16:K71))-1</f>
        <v>0.0179590969667096</v>
      </c>
      <c r="O71" s="310">
        <v>30668.41</v>
      </c>
      <c r="P71" s="87"/>
      <c r="Q71" s="316"/>
      <c r="R71" s="304"/>
      <c r="S71" s="304"/>
      <c r="T71" s="317">
        <v>104</v>
      </c>
      <c r="U71" s="317">
        <v>18</v>
      </c>
      <c r="W71" s="318"/>
      <c r="Z71" s="323"/>
    </row>
    <row r="72" spans="1:26">
      <c r="A72" s="77">
        <v>45665</v>
      </c>
      <c r="B72" s="297"/>
      <c r="C72" s="298"/>
      <c r="D72" s="301"/>
      <c r="E72" s="298"/>
      <c r="F72" s="302"/>
      <c r="G72" s="298"/>
      <c r="H72" s="301"/>
      <c r="I72" s="298"/>
      <c r="J72" s="301"/>
      <c r="K72" s="299">
        <v>0</v>
      </c>
      <c r="L72" s="301">
        <f t="shared" si="18"/>
        <v>30668.41</v>
      </c>
      <c r="M72" s="304">
        <f t="shared" si="19"/>
        <v>0.00689862956703656</v>
      </c>
      <c r="N72" s="304">
        <f>O72/($L$16+SUM($K$16:K72))-1</f>
        <v>0.0249816196910781</v>
      </c>
      <c r="O72" s="305">
        <v>30879.98</v>
      </c>
      <c r="P72" s="87"/>
      <c r="Q72" s="316"/>
      <c r="R72" s="304"/>
      <c r="S72" s="304"/>
      <c r="T72" s="317">
        <v>74</v>
      </c>
      <c r="U72" s="317">
        <v>9</v>
      </c>
      <c r="W72" s="318"/>
      <c r="Z72" s="323"/>
    </row>
    <row r="73" spans="1:26">
      <c r="A73" s="77">
        <v>45666</v>
      </c>
      <c r="B73" s="297"/>
      <c r="C73" s="298"/>
      <c r="D73" s="301"/>
      <c r="E73" s="298"/>
      <c r="F73" s="302"/>
      <c r="G73" s="298"/>
      <c r="H73" s="301"/>
      <c r="I73" s="298"/>
      <c r="J73" s="301"/>
      <c r="K73" s="299">
        <v>0</v>
      </c>
      <c r="L73" s="328">
        <f t="shared" si="18"/>
        <v>30879.98</v>
      </c>
      <c r="M73" s="329">
        <f t="shared" si="19"/>
        <v>3.23834406628502e-5</v>
      </c>
      <c r="N73" s="329">
        <f>O73/($L$16+SUM($K$16:K73))-1</f>
        <v>0.0250148121225398</v>
      </c>
      <c r="O73" s="330">
        <v>30880.98</v>
      </c>
      <c r="P73" s="87"/>
      <c r="Q73" s="319"/>
      <c r="R73" s="309"/>
      <c r="S73" s="309"/>
      <c r="T73" s="317">
        <v>97</v>
      </c>
      <c r="U73" s="317">
        <v>11</v>
      </c>
      <c r="W73" s="318"/>
      <c r="Z73" s="323"/>
    </row>
    <row r="74" spans="1:26">
      <c r="A74" s="117">
        <v>45667</v>
      </c>
      <c r="B74" s="297"/>
      <c r="C74" s="298"/>
      <c r="D74" s="301"/>
      <c r="E74" s="298"/>
      <c r="F74" s="302"/>
      <c r="G74" s="298"/>
      <c r="H74" s="301"/>
      <c r="I74" s="298"/>
      <c r="J74" s="301"/>
      <c r="K74" s="299">
        <v>0</v>
      </c>
      <c r="L74" s="301">
        <f t="shared" si="18"/>
        <v>30880.98</v>
      </c>
      <c r="M74" s="304">
        <f t="shared" si="19"/>
        <v>0.00266766145374923</v>
      </c>
      <c r="N74" s="304">
        <f>O74/($L$16+SUM($K$16:K74))-1</f>
        <v>0.0277492046263612</v>
      </c>
      <c r="O74" s="305">
        <v>30963.36</v>
      </c>
      <c r="P74" s="87"/>
      <c r="Q74" s="319"/>
      <c r="R74" s="309"/>
      <c r="S74" s="309"/>
      <c r="T74" s="317">
        <v>44</v>
      </c>
      <c r="U74" s="317">
        <v>52</v>
      </c>
      <c r="W74" s="318"/>
      <c r="Z74" s="323"/>
    </row>
    <row r="75" spans="1:26">
      <c r="A75" s="77">
        <v>45670</v>
      </c>
      <c r="B75" s="297"/>
      <c r="C75" s="298"/>
      <c r="D75" s="301"/>
      <c r="E75" s="298"/>
      <c r="F75" s="302"/>
      <c r="G75" s="298"/>
      <c r="H75" s="301"/>
      <c r="I75" s="298"/>
      <c r="J75" s="301"/>
      <c r="K75" s="299">
        <v>0</v>
      </c>
      <c r="L75" s="301">
        <f t="shared" si="18"/>
        <v>30963.36</v>
      </c>
      <c r="M75" s="304">
        <f t="shared" si="19"/>
        <v>0.00242544736746912</v>
      </c>
      <c r="N75" s="304">
        <f>O75/($L$16+SUM($K$16:K75))-1</f>
        <v>0.0302419562291407</v>
      </c>
      <c r="O75" s="305">
        <v>31038.46</v>
      </c>
      <c r="P75" s="87"/>
      <c r="Q75" s="319"/>
      <c r="R75" s="309"/>
      <c r="S75" s="309"/>
      <c r="T75" s="317">
        <v>52</v>
      </c>
      <c r="U75" s="317">
        <v>41</v>
      </c>
      <c r="W75" s="318"/>
      <c r="Z75" s="323"/>
    </row>
    <row r="76" spans="1:26">
      <c r="A76" s="77">
        <v>45671</v>
      </c>
      <c r="B76" s="297"/>
      <c r="C76" s="298"/>
      <c r="D76" s="301"/>
      <c r="E76" s="298"/>
      <c r="F76" s="302"/>
      <c r="G76" s="298"/>
      <c r="H76" s="301"/>
      <c r="I76" s="298"/>
      <c r="J76" s="301"/>
      <c r="K76" s="299">
        <v>0</v>
      </c>
      <c r="L76" s="307">
        <f t="shared" si="18"/>
        <v>31038.46</v>
      </c>
      <c r="M76" s="309">
        <f t="shared" si="19"/>
        <v>-0.00409975237173494</v>
      </c>
      <c r="N76" s="309">
        <f>O76/($L$16+SUM($K$16:K76))-1</f>
        <v>0.0260182193256293</v>
      </c>
      <c r="O76" s="310">
        <v>30911.21</v>
      </c>
      <c r="P76" s="87"/>
      <c r="Q76" s="316"/>
      <c r="R76" s="304"/>
      <c r="S76" s="304"/>
      <c r="T76" s="317">
        <v>157</v>
      </c>
      <c r="U76" s="317">
        <v>3</v>
      </c>
      <c r="W76" s="318"/>
      <c r="Z76" s="323"/>
    </row>
    <row r="77" spans="1:21">
      <c r="A77" s="77">
        <v>45672</v>
      </c>
      <c r="B77" s="297"/>
      <c r="C77" s="298"/>
      <c r="D77" s="301"/>
      <c r="E77" s="298"/>
      <c r="F77" s="302"/>
      <c r="G77" s="298"/>
      <c r="H77" s="301"/>
      <c r="I77" s="298"/>
      <c r="J77" s="301"/>
      <c r="K77" s="299">
        <v>0</v>
      </c>
      <c r="L77" s="307">
        <f t="shared" si="18"/>
        <v>30911.21</v>
      </c>
      <c r="M77" s="309">
        <f t="shared" si="19"/>
        <v>-0.014170587304735</v>
      </c>
      <c r="N77" s="309">
        <f>O77/($L$16+SUM($K$16:K77))-1</f>
        <v>0.0114789385724268</v>
      </c>
      <c r="O77" s="310">
        <v>30473.18</v>
      </c>
      <c r="P77" s="87"/>
      <c r="Q77" s="319"/>
      <c r="R77" s="309"/>
      <c r="S77" s="309"/>
      <c r="T77" s="317">
        <v>81</v>
      </c>
      <c r="U77" s="317">
        <v>10</v>
      </c>
    </row>
    <row r="78" spans="1:21">
      <c r="A78" s="77">
        <v>45673</v>
      </c>
      <c r="B78" s="297"/>
      <c r="C78" s="298"/>
      <c r="D78" s="301"/>
      <c r="E78" s="298"/>
      <c r="F78" s="302"/>
      <c r="G78" s="298"/>
      <c r="H78" s="301"/>
      <c r="I78" s="298"/>
      <c r="J78" s="301"/>
      <c r="K78" s="299">
        <v>0</v>
      </c>
      <c r="L78" s="307">
        <f t="shared" si="18"/>
        <v>30473.18</v>
      </c>
      <c r="M78" s="309">
        <f t="shared" si="19"/>
        <v>-0.0416264400367799</v>
      </c>
      <c r="N78" s="309">
        <f>O78/($L$16+SUM($K$16:K78))-1</f>
        <v>-0.0306253288125241</v>
      </c>
      <c r="O78" s="310">
        <v>29204.69</v>
      </c>
      <c r="P78" s="87"/>
      <c r="Q78" s="316"/>
      <c r="R78" s="304"/>
      <c r="S78" s="304"/>
      <c r="T78" s="317">
        <v>84</v>
      </c>
      <c r="U78" s="317">
        <v>7</v>
      </c>
    </row>
    <row r="79" spans="1:21">
      <c r="A79" s="117">
        <v>45674</v>
      </c>
      <c r="B79" s="297"/>
      <c r="C79" s="298"/>
      <c r="D79" s="301"/>
      <c r="E79" s="298"/>
      <c r="F79" s="302"/>
      <c r="G79" s="298"/>
      <c r="H79" s="301"/>
      <c r="I79" s="298"/>
      <c r="J79" s="301"/>
      <c r="K79" s="299">
        <v>0</v>
      </c>
      <c r="L79" s="307">
        <f t="shared" si="18"/>
        <v>29204.69</v>
      </c>
      <c r="M79" s="309">
        <f t="shared" si="19"/>
        <v>-0.0252195794579569</v>
      </c>
      <c r="N79" s="309">
        <f>O79/($L$16+SUM($K$16:K79))-1</f>
        <v>-0.0550725503570676</v>
      </c>
      <c r="O79" s="310">
        <v>28468.16</v>
      </c>
      <c r="P79" s="87"/>
      <c r="Q79" s="316"/>
      <c r="R79" s="304"/>
      <c r="S79" s="304"/>
      <c r="T79" s="317">
        <v>65</v>
      </c>
      <c r="U79" s="317">
        <v>16</v>
      </c>
    </row>
    <row r="80" spans="1:21">
      <c r="A80" s="77">
        <v>45677</v>
      </c>
      <c r="B80" s="297"/>
      <c r="C80" s="298"/>
      <c r="D80" s="301"/>
      <c r="E80" s="298"/>
      <c r="F80" s="302"/>
      <c r="G80" s="298"/>
      <c r="H80" s="301"/>
      <c r="I80" s="298"/>
      <c r="J80" s="301"/>
      <c r="K80" s="299">
        <v>0</v>
      </c>
      <c r="L80" s="307">
        <f t="shared" si="18"/>
        <v>28468.16</v>
      </c>
      <c r="M80" s="309">
        <f t="shared" si="19"/>
        <v>-0.037351553454807</v>
      </c>
      <c r="N80" s="309">
        <f>O80/($L$16+SUM($K$16:K80))-1</f>
        <v>-0.0903670585033199</v>
      </c>
      <c r="O80" s="310">
        <v>27404.83</v>
      </c>
      <c r="P80" s="87"/>
      <c r="Q80" s="316"/>
      <c r="R80" s="304"/>
      <c r="S80" s="304"/>
      <c r="T80" s="317">
        <v>80</v>
      </c>
      <c r="U80" s="317">
        <v>26</v>
      </c>
    </row>
    <row r="81" spans="1:21">
      <c r="A81" s="77">
        <v>45678</v>
      </c>
      <c r="B81" s="297"/>
      <c r="C81" s="298"/>
      <c r="D81" s="301"/>
      <c r="E81" s="298"/>
      <c r="F81" s="302"/>
      <c r="G81" s="298"/>
      <c r="H81" s="301"/>
      <c r="I81" s="298"/>
      <c r="J81" s="301"/>
      <c r="K81" s="299">
        <v>0</v>
      </c>
      <c r="L81" s="301">
        <f t="shared" si="18"/>
        <v>27404.83</v>
      </c>
      <c r="M81" s="304">
        <f t="shared" si="19"/>
        <v>0.0160997167287664</v>
      </c>
      <c r="N81" s="304">
        <f>O81/($L$16+SUM($K$16:K81))-1</f>
        <v>-0.0757222258180689</v>
      </c>
      <c r="O81" s="305">
        <v>27846.04</v>
      </c>
      <c r="P81" s="87"/>
      <c r="Q81" s="319"/>
      <c r="R81" s="309"/>
      <c r="S81" s="309"/>
      <c r="T81" s="317">
        <v>52</v>
      </c>
      <c r="U81" s="317">
        <v>27</v>
      </c>
    </row>
    <row r="82" spans="1:21">
      <c r="A82" s="77">
        <v>45679</v>
      </c>
      <c r="B82" s="297"/>
      <c r="C82" s="298"/>
      <c r="D82" s="301"/>
      <c r="E82" s="298"/>
      <c r="F82" s="302"/>
      <c r="G82" s="298"/>
      <c r="H82" s="301"/>
      <c r="I82" s="298"/>
      <c r="J82" s="301"/>
      <c r="K82" s="299">
        <v>0</v>
      </c>
      <c r="L82" s="307">
        <f t="shared" si="18"/>
        <v>27846.04</v>
      </c>
      <c r="M82" s="309">
        <f t="shared" si="19"/>
        <v>-0.0062127325824426</v>
      </c>
      <c r="N82" s="309">
        <f>O82/($L$16+SUM($K$16:K82))-1</f>
        <v>-0.0814645164609565</v>
      </c>
      <c r="O82" s="310">
        <v>27673.04</v>
      </c>
      <c r="P82" s="87"/>
      <c r="Q82" s="319"/>
      <c r="R82" s="309"/>
      <c r="S82" s="309"/>
      <c r="T82" s="317">
        <v>48</v>
      </c>
      <c r="U82" s="317">
        <v>26</v>
      </c>
    </row>
    <row r="83" spans="1:21">
      <c r="A83" s="77">
        <v>45680</v>
      </c>
      <c r="B83" s="297"/>
      <c r="C83" s="298"/>
      <c r="D83" s="301"/>
      <c r="E83" s="298"/>
      <c r="F83" s="302"/>
      <c r="G83" s="298"/>
      <c r="H83" s="301"/>
      <c r="I83" s="298"/>
      <c r="J83" s="301"/>
      <c r="K83" s="299">
        <v>0</v>
      </c>
      <c r="L83" s="307">
        <f t="shared" si="18"/>
        <v>27673.04</v>
      </c>
      <c r="M83" s="309">
        <f t="shared" si="19"/>
        <v>-0.0117847551262891</v>
      </c>
      <c r="N83" s="309">
        <f>O83/($L$16+SUM($K$16:K83))-1</f>
        <v>-0.0922892322092717</v>
      </c>
      <c r="O83" s="310">
        <v>27346.92</v>
      </c>
      <c r="P83" s="87"/>
      <c r="Q83" s="316"/>
      <c r="R83" s="304"/>
      <c r="S83" s="304"/>
      <c r="T83" s="317">
        <v>46</v>
      </c>
      <c r="U83" s="317">
        <v>29</v>
      </c>
    </row>
    <row r="84" spans="1:21">
      <c r="A84" s="117">
        <v>45681</v>
      </c>
      <c r="B84" s="297"/>
      <c r="C84" s="298"/>
      <c r="D84" s="301"/>
      <c r="E84" s="298"/>
      <c r="F84" s="302"/>
      <c r="G84" s="298"/>
      <c r="H84" s="301"/>
      <c r="I84" s="298"/>
      <c r="J84" s="301"/>
      <c r="K84" s="299">
        <v>0</v>
      </c>
      <c r="L84" s="307">
        <f t="shared" si="18"/>
        <v>27346.92</v>
      </c>
      <c r="M84" s="309">
        <f t="shared" si="19"/>
        <v>-0.00080447816426859</v>
      </c>
      <c r="N84" s="309">
        <f>O84/($L$16+SUM($K$16:K84))-1</f>
        <v>-0.0930194657014308</v>
      </c>
      <c r="O84" s="310">
        <v>27324.92</v>
      </c>
      <c r="P84" s="87"/>
      <c r="Q84" s="316"/>
      <c r="R84" s="304"/>
      <c r="S84" s="304"/>
      <c r="T84" s="317">
        <v>74</v>
      </c>
      <c r="U84" s="317">
        <v>29</v>
      </c>
    </row>
    <row r="85" spans="1:21">
      <c r="A85" s="77">
        <v>45684</v>
      </c>
      <c r="B85" s="297"/>
      <c r="C85" s="298"/>
      <c r="D85" s="301"/>
      <c r="E85" s="298"/>
      <c r="F85" s="302"/>
      <c r="G85" s="298"/>
      <c r="H85" s="301"/>
      <c r="I85" s="298"/>
      <c r="J85" s="301"/>
      <c r="K85" s="299">
        <v>0</v>
      </c>
      <c r="L85" s="301">
        <f t="shared" si="18"/>
        <v>27324.92</v>
      </c>
      <c r="M85" s="304">
        <f t="shared" si="19"/>
        <v>0.0950956123567792</v>
      </c>
      <c r="N85" s="304">
        <f>O85/($L$16+SUM($K$16:K85))-1</f>
        <v>-0.00676959639662955</v>
      </c>
      <c r="O85" s="305">
        <v>29923.4</v>
      </c>
      <c r="P85" s="87"/>
      <c r="Q85" s="319"/>
      <c r="R85" s="309"/>
      <c r="S85" s="309"/>
      <c r="T85" s="317">
        <v>45</v>
      </c>
      <c r="U85" s="317">
        <v>48</v>
      </c>
    </row>
    <row r="86" spans="1:21">
      <c r="A86" s="77">
        <v>45693</v>
      </c>
      <c r="B86" s="297">
        <v>0</v>
      </c>
      <c r="C86" s="298">
        <v>1</v>
      </c>
      <c r="D86" s="301">
        <v>30000</v>
      </c>
      <c r="E86" s="298">
        <v>1</v>
      </c>
      <c r="F86" s="302">
        <v>30000</v>
      </c>
      <c r="G86" s="298">
        <v>1</v>
      </c>
      <c r="H86" s="301">
        <v>30000</v>
      </c>
      <c r="I86" s="298">
        <v>1</v>
      </c>
      <c r="J86" s="301">
        <v>30000</v>
      </c>
      <c r="K86" s="299">
        <v>0</v>
      </c>
      <c r="L86" s="301">
        <f t="shared" si="18"/>
        <v>29923.4</v>
      </c>
      <c r="M86" s="304">
        <f t="shared" si="19"/>
        <v>0.00167093311588924</v>
      </c>
      <c r="N86" s="304">
        <f>O86/($L$16+SUM($K$16:K86))-1</f>
        <v>-0.00510997482354059</v>
      </c>
      <c r="O86" s="305">
        <v>29973.4</v>
      </c>
      <c r="P86" s="87">
        <v>0</v>
      </c>
      <c r="Q86" s="319"/>
      <c r="R86" s="309"/>
      <c r="S86" s="309"/>
      <c r="T86" s="317">
        <v>83</v>
      </c>
      <c r="U86" s="317">
        <v>45</v>
      </c>
    </row>
    <row r="87" spans="1:21">
      <c r="A87" s="77">
        <v>45694</v>
      </c>
      <c r="B87" s="297">
        <v>1</v>
      </c>
      <c r="C87" s="298">
        <v>1.03</v>
      </c>
      <c r="D87" s="301">
        <f>($L$16+SUM($K$16:K87))*C87</f>
        <v>31031.1705</v>
      </c>
      <c r="E87" s="298">
        <v>1.02</v>
      </c>
      <c r="F87" s="302">
        <f>($L$16+SUM($K$16:K87))*E87</f>
        <v>30729.897</v>
      </c>
      <c r="G87" s="298">
        <v>1.015</v>
      </c>
      <c r="H87" s="301">
        <f>($L$16+SUM($K$16:K87))*G87</f>
        <v>30579.26025</v>
      </c>
      <c r="I87" s="298">
        <v>1.01</v>
      </c>
      <c r="J87" s="301">
        <f>($L$16+SUM($K$16:K87))*I87</f>
        <v>30428.6235</v>
      </c>
      <c r="K87" s="299">
        <v>0</v>
      </c>
      <c r="L87" s="301">
        <f t="shared" si="18"/>
        <v>29973.4</v>
      </c>
      <c r="M87" s="304">
        <f t="shared" si="19"/>
        <v>0.0414157219401202</v>
      </c>
      <c r="N87" s="304">
        <f>O87/($L$16+SUM($K$16:K87))-1</f>
        <v>0.0360941138201667</v>
      </c>
      <c r="O87" s="305">
        <v>31214.77</v>
      </c>
      <c r="P87" s="87">
        <f t="shared" ref="P86:P103" si="20">I87-1</f>
        <v>0.01</v>
      </c>
      <c r="Q87" s="316"/>
      <c r="R87" s="304"/>
      <c r="S87" s="304"/>
      <c r="T87" s="317">
        <v>101</v>
      </c>
      <c r="U87" s="317">
        <v>4</v>
      </c>
    </row>
    <row r="88" spans="1:21">
      <c r="A88" s="117">
        <v>45695</v>
      </c>
      <c r="B88" s="297">
        <v>2</v>
      </c>
      <c r="C88" s="298">
        <f>POWER($C$87,B88)</f>
        <v>1.0609</v>
      </c>
      <c r="D88" s="301">
        <f>($L$16+SUM($K$16:K88))*C88</f>
        <v>31962.105615</v>
      </c>
      <c r="E88" s="298">
        <f>POWER($E$87,B88)</f>
        <v>1.0404</v>
      </c>
      <c r="F88" s="302">
        <f>($L$16+SUM($K$16:K88))*E88</f>
        <v>31344.49494</v>
      </c>
      <c r="G88" s="298">
        <f>POWER($G$87,B88)</f>
        <v>1.030225</v>
      </c>
      <c r="H88" s="301">
        <f>($L$16+SUM($K$16:K88))*G88</f>
        <v>31037.94915375</v>
      </c>
      <c r="I88" s="298">
        <f>POWER($I$87,B88)</f>
        <v>1.0201</v>
      </c>
      <c r="J88" s="301">
        <f>($L$16+SUM($K$16:K88))*I88</f>
        <v>30732.909735</v>
      </c>
      <c r="K88" s="299">
        <v>0</v>
      </c>
      <c r="L88" s="301">
        <f t="shared" si="18"/>
        <v>31214.77</v>
      </c>
      <c r="M88" s="304">
        <f t="shared" si="19"/>
        <v>0.0317157550736398</v>
      </c>
      <c r="N88" s="304">
        <f>O88/($L$16+SUM($K$16:K88))-1</f>
        <v>0.0689546209673271</v>
      </c>
      <c r="O88" s="305">
        <v>32204.77</v>
      </c>
      <c r="P88" s="87">
        <f t="shared" si="20"/>
        <v>0.0201</v>
      </c>
      <c r="Q88" s="316"/>
      <c r="R88" s="304"/>
      <c r="S88" s="304"/>
      <c r="T88" s="317">
        <v>93</v>
      </c>
      <c r="U88" s="317">
        <v>2</v>
      </c>
    </row>
    <row r="89" spans="1:21">
      <c r="A89" s="77">
        <v>45698</v>
      </c>
      <c r="B89" s="297">
        <v>3</v>
      </c>
      <c r="C89" s="298">
        <f t="shared" ref="C89:C103" si="21">POWER($C$87,B89)</f>
        <v>1.092727</v>
      </c>
      <c r="D89" s="301">
        <f>($L$16+SUM($K$16:K89))*C89</f>
        <v>32920.96878345</v>
      </c>
      <c r="E89" s="298">
        <f t="shared" ref="E89:E103" si="22">POWER($E$87,B89)</f>
        <v>1.061208</v>
      </c>
      <c r="F89" s="302">
        <f>($L$16+SUM($K$16:K89))*E89</f>
        <v>31971.3848388</v>
      </c>
      <c r="G89" s="298">
        <f t="shared" ref="G89:G103" si="23">POWER($G$87,B89)</f>
        <v>1.045678375</v>
      </c>
      <c r="H89" s="301">
        <f>($L$16+SUM($K$16:K89))*G89</f>
        <v>31503.5183910562</v>
      </c>
      <c r="I89" s="298">
        <f t="shared" ref="I89:I103" si="24">POWER($I$87,B89)</f>
        <v>1.030301</v>
      </c>
      <c r="J89" s="301">
        <f>($L$16+SUM($K$16:K89))*I89</f>
        <v>31040.23883235</v>
      </c>
      <c r="K89" s="299">
        <v>0</v>
      </c>
      <c r="L89" s="307">
        <f t="shared" si="18"/>
        <v>32204.77</v>
      </c>
      <c r="M89" s="309">
        <f t="shared" si="19"/>
        <v>-0.000154945990920028</v>
      </c>
      <c r="N89" s="309">
        <f>O89/($L$16+SUM($K$16:K89))-1</f>
        <v>0.0687889907343329</v>
      </c>
      <c r="O89" s="310">
        <v>32199.78</v>
      </c>
      <c r="P89" s="87">
        <f t="shared" si="20"/>
        <v>0.0303010000000001</v>
      </c>
      <c r="Q89" s="316"/>
      <c r="R89" s="304"/>
      <c r="S89" s="304"/>
      <c r="T89" s="317">
        <v>140</v>
      </c>
      <c r="U89" s="317">
        <v>2</v>
      </c>
    </row>
    <row r="90" spans="1:21">
      <c r="A90" s="77">
        <v>45699</v>
      </c>
      <c r="B90" s="297">
        <v>4</v>
      </c>
      <c r="C90" s="298">
        <f t="shared" si="21"/>
        <v>1.12550881</v>
      </c>
      <c r="D90" s="301">
        <f>($L$16+SUM($K$16:K90))*C90</f>
        <v>33908.5978469535</v>
      </c>
      <c r="E90" s="298">
        <f t="shared" si="22"/>
        <v>1.08243216</v>
      </c>
      <c r="F90" s="302">
        <f>($L$16+SUM($K$16:K90))*E90</f>
        <v>32610.812535576</v>
      </c>
      <c r="G90" s="298">
        <f t="shared" si="23"/>
        <v>1.061363550625</v>
      </c>
      <c r="H90" s="301">
        <f>($L$16+SUM($K$16:K90))*G90</f>
        <v>31976.0711669221</v>
      </c>
      <c r="I90" s="298">
        <f t="shared" si="24"/>
        <v>1.04060401</v>
      </c>
      <c r="J90" s="301">
        <f>($L$16+SUM($K$16:K90))*I90</f>
        <v>31350.6412206735</v>
      </c>
      <c r="K90" s="299">
        <v>0</v>
      </c>
      <c r="L90" s="307">
        <f t="shared" si="18"/>
        <v>32199.78</v>
      </c>
      <c r="M90" s="309">
        <f t="shared" si="19"/>
        <v>-0.0243989244647013</v>
      </c>
      <c r="N90" s="309">
        <f>O90/($L$16+SUM($K$16:K90))-1</f>
        <v>0.0427116888807015</v>
      </c>
      <c r="O90" s="310">
        <v>31414.14</v>
      </c>
      <c r="P90" s="87">
        <f t="shared" si="20"/>
        <v>0.04060401</v>
      </c>
      <c r="Q90" s="319"/>
      <c r="R90" s="309"/>
      <c r="S90" s="309"/>
      <c r="T90" s="317">
        <v>84</v>
      </c>
      <c r="U90" s="317">
        <v>2</v>
      </c>
    </row>
    <row r="91" spans="1:21">
      <c r="A91" s="77">
        <v>45700</v>
      </c>
      <c r="B91" s="297">
        <v>5</v>
      </c>
      <c r="C91" s="298">
        <f t="shared" si="21"/>
        <v>1.1592740743</v>
      </c>
      <c r="D91" s="301">
        <f>($L$16+SUM($K$16:K91))*C91</f>
        <v>34925.8557823621</v>
      </c>
      <c r="E91" s="298">
        <f t="shared" si="22"/>
        <v>1.1040808032</v>
      </c>
      <c r="F91" s="302">
        <f>($L$16+SUM($K$16:K91))*E91</f>
        <v>33263.0287862875</v>
      </c>
      <c r="G91" s="298">
        <f t="shared" si="23"/>
        <v>1.07728400388437</v>
      </c>
      <c r="H91" s="301">
        <f>($L$16+SUM($K$16:K91))*G91</f>
        <v>32455.7122344259</v>
      </c>
      <c r="I91" s="298">
        <f t="shared" si="24"/>
        <v>1.0510100501</v>
      </c>
      <c r="J91" s="301">
        <f>($L$16+SUM($K$16:K91))*I91</f>
        <v>31664.1476328802</v>
      </c>
      <c r="K91" s="299">
        <v>0</v>
      </c>
      <c r="L91" s="328">
        <f t="shared" si="18"/>
        <v>31414.14</v>
      </c>
      <c r="M91" s="329">
        <f t="shared" si="19"/>
        <v>3.18327988606405e-5</v>
      </c>
      <c r="N91" s="329">
        <f>O91/($L$16+SUM($K$16:K91))-1</f>
        <v>0.0427448813121631</v>
      </c>
      <c r="O91" s="330">
        <v>31415.14</v>
      </c>
      <c r="P91" s="87">
        <f t="shared" si="20"/>
        <v>0.0510100501000001</v>
      </c>
      <c r="Q91" s="316"/>
      <c r="R91" s="304"/>
      <c r="S91" s="304"/>
      <c r="T91" s="317">
        <v>95</v>
      </c>
      <c r="U91" s="317">
        <v>2</v>
      </c>
    </row>
    <row r="92" spans="1:21">
      <c r="A92" s="77">
        <v>45701</v>
      </c>
      <c r="B92" s="297">
        <v>6</v>
      </c>
      <c r="C92" s="298">
        <f t="shared" si="21"/>
        <v>1.194052296529</v>
      </c>
      <c r="D92" s="301">
        <f>($L$16+SUM($K$16:K92))*C92</f>
        <v>35973.631455833</v>
      </c>
      <c r="E92" s="298">
        <f t="shared" si="22"/>
        <v>1.126162419264</v>
      </c>
      <c r="F92" s="302">
        <f>($L$16+SUM($K$16:K92))*E92</f>
        <v>33928.2893620133</v>
      </c>
      <c r="G92" s="298">
        <f t="shared" si="23"/>
        <v>1.09344326394264</v>
      </c>
      <c r="H92" s="301">
        <f>($L$16+SUM($K$16:K92))*G92</f>
        <v>32942.5479179423</v>
      </c>
      <c r="I92" s="298">
        <f t="shared" si="24"/>
        <v>1.061520150601</v>
      </c>
      <c r="J92" s="301">
        <f>($L$16+SUM($K$16:K92))*I92</f>
        <v>31980.789109209</v>
      </c>
      <c r="K92" s="299">
        <v>0</v>
      </c>
      <c r="L92" s="307">
        <f t="shared" si="18"/>
        <v>31415.14</v>
      </c>
      <c r="M92" s="309">
        <f t="shared" si="19"/>
        <v>-0.000187807534838228</v>
      </c>
      <c r="N92" s="309">
        <f>O92/($L$16+SUM($K$16:K92))-1</f>
        <v>0.0425490459665387</v>
      </c>
      <c r="O92" s="310">
        <v>31409.24</v>
      </c>
      <c r="P92" s="87">
        <f t="shared" si="20"/>
        <v>0.0615201506010001</v>
      </c>
      <c r="Q92" s="319"/>
      <c r="R92" s="309"/>
      <c r="S92" s="309"/>
      <c r="T92" s="317">
        <v>74</v>
      </c>
      <c r="U92" s="317">
        <v>7</v>
      </c>
    </row>
    <row r="93" spans="1:21">
      <c r="A93" s="117">
        <v>45702</v>
      </c>
      <c r="B93" s="297">
        <v>7</v>
      </c>
      <c r="C93" s="298">
        <f t="shared" si="21"/>
        <v>1.22987386542487</v>
      </c>
      <c r="D93" s="301">
        <f>($L$16+SUM($K$16:K93))*C93</f>
        <v>37052.840399508</v>
      </c>
      <c r="E93" s="298">
        <f t="shared" si="22"/>
        <v>1.14868566764928</v>
      </c>
      <c r="F93" s="302">
        <f>($L$16+SUM($K$16:K93))*E93</f>
        <v>34606.8551492535</v>
      </c>
      <c r="G93" s="298">
        <f t="shared" si="23"/>
        <v>1.10984491290178</v>
      </c>
      <c r="H93" s="301">
        <f>($L$16+SUM($K$16:K93))*G93</f>
        <v>33436.6861367114</v>
      </c>
      <c r="I93" s="298">
        <f t="shared" si="24"/>
        <v>1.07213535210701</v>
      </c>
      <c r="J93" s="301">
        <f>($L$16+SUM($K$16:K93))*I93</f>
        <v>32300.5970003011</v>
      </c>
      <c r="K93" s="299">
        <v>0</v>
      </c>
      <c r="L93" s="301">
        <f t="shared" si="18"/>
        <v>31409.24</v>
      </c>
      <c r="M93" s="304">
        <f t="shared" si="19"/>
        <v>0.00543597998550738</v>
      </c>
      <c r="N93" s="304">
        <f>O93/($L$16+SUM($K$16:K93))-1</f>
        <v>0.0482163217143228</v>
      </c>
      <c r="O93" s="305">
        <v>31579.98</v>
      </c>
      <c r="P93" s="87">
        <f t="shared" si="20"/>
        <v>0.0721353521070101</v>
      </c>
      <c r="Q93" s="316"/>
      <c r="R93" s="304"/>
      <c r="S93" s="304"/>
      <c r="T93" s="317">
        <v>87</v>
      </c>
      <c r="U93" s="317">
        <v>9</v>
      </c>
    </row>
    <row r="94" spans="1:21">
      <c r="A94" s="77">
        <v>45705</v>
      </c>
      <c r="B94" s="297">
        <v>8</v>
      </c>
      <c r="C94" s="298">
        <f t="shared" si="21"/>
        <v>1.26677008138762</v>
      </c>
      <c r="D94" s="301">
        <f>($L$16+SUM($K$16:K94))*C94</f>
        <v>38164.4256114932</v>
      </c>
      <c r="E94" s="298">
        <f t="shared" si="22"/>
        <v>1.17165938100227</v>
      </c>
      <c r="F94" s="302">
        <f>($L$16+SUM($K$16:K94))*E94</f>
        <v>35298.9922522386</v>
      </c>
      <c r="G94" s="298">
        <f t="shared" si="23"/>
        <v>1.12649258659531</v>
      </c>
      <c r="H94" s="301">
        <f>($L$16+SUM($K$16:K94))*G94</f>
        <v>33938.2364287621</v>
      </c>
      <c r="I94" s="298">
        <f t="shared" si="24"/>
        <v>1.08285670562808</v>
      </c>
      <c r="J94" s="301">
        <f>($L$16+SUM($K$16:K94))*I94</f>
        <v>32623.6029703041</v>
      </c>
      <c r="K94" s="299">
        <v>0</v>
      </c>
      <c r="L94" s="307">
        <f t="shared" si="18"/>
        <v>31579.98</v>
      </c>
      <c r="M94" s="309">
        <f t="shared" si="19"/>
        <v>-0.133679628676142</v>
      </c>
      <c r="N94" s="309">
        <f>O94/($L$16+SUM($K$16:K94))-1</f>
        <v>-0.0919088469447196</v>
      </c>
      <c r="O94" s="310">
        <v>27358.38</v>
      </c>
      <c r="P94" s="87">
        <f t="shared" si="20"/>
        <v>0.0828567056280802</v>
      </c>
      <c r="Q94" s="316"/>
      <c r="R94" s="304"/>
      <c r="S94" s="304"/>
      <c r="T94" s="317">
        <v>114</v>
      </c>
      <c r="U94" s="317">
        <v>7</v>
      </c>
    </row>
    <row r="95" spans="1:21">
      <c r="A95" s="77">
        <v>45706</v>
      </c>
      <c r="B95" s="297">
        <v>9</v>
      </c>
      <c r="C95" s="298">
        <f t="shared" si="21"/>
        <v>1.30477318382924</v>
      </c>
      <c r="D95" s="301">
        <f>($L$16+SUM($K$16:K95))*C95</f>
        <v>39309.358379838</v>
      </c>
      <c r="E95" s="298">
        <f t="shared" si="22"/>
        <v>1.19509256862231</v>
      </c>
      <c r="F95" s="302">
        <f>($L$16+SUM($K$16:K95))*E95</f>
        <v>36004.9720972834</v>
      </c>
      <c r="G95" s="298">
        <f t="shared" si="23"/>
        <v>1.14338997539424</v>
      </c>
      <c r="H95" s="301">
        <f>($L$16+SUM($K$16:K95))*G95</f>
        <v>34447.3099751935</v>
      </c>
      <c r="I95" s="298">
        <f t="shared" si="24"/>
        <v>1.09368527268436</v>
      </c>
      <c r="J95" s="301">
        <f>($L$16+SUM($K$16:K95))*I95</f>
        <v>32949.8390000072</v>
      </c>
      <c r="K95" s="299">
        <v>0</v>
      </c>
      <c r="L95" s="301">
        <f t="shared" si="18"/>
        <v>27358.38</v>
      </c>
      <c r="M95" s="304">
        <f t="shared" si="19"/>
        <v>0.0222235380896091</v>
      </c>
      <c r="N95" s="304">
        <f>O95/($L$16+SUM($K$16:K95))-1</f>
        <v>-0.0717278486159585</v>
      </c>
      <c r="O95" s="305">
        <v>27966.38</v>
      </c>
      <c r="P95" s="87">
        <f t="shared" si="20"/>
        <v>0.0936852726843609</v>
      </c>
      <c r="Q95" s="319"/>
      <c r="R95" s="309"/>
      <c r="S95" s="309"/>
      <c r="T95" s="317">
        <v>53</v>
      </c>
      <c r="U95" s="317">
        <v>21</v>
      </c>
    </row>
    <row r="96" spans="1:21">
      <c r="A96" s="77">
        <v>45707</v>
      </c>
      <c r="B96" s="297">
        <v>10</v>
      </c>
      <c r="C96" s="298">
        <f t="shared" si="21"/>
        <v>1.34391637934412</v>
      </c>
      <c r="D96" s="301">
        <f>($L$16+SUM($K$16:K96))*C96</f>
        <v>40488.6391312331</v>
      </c>
      <c r="E96" s="298">
        <f t="shared" si="22"/>
        <v>1.21899441999476</v>
      </c>
      <c r="F96" s="302">
        <f>($L$16+SUM($K$16:K96))*E96</f>
        <v>36725.0715392291</v>
      </c>
      <c r="G96" s="298">
        <f t="shared" si="23"/>
        <v>1.16054082502515</v>
      </c>
      <c r="H96" s="301">
        <f>($L$16+SUM($K$16:K96))*G96</f>
        <v>34964.0196248214</v>
      </c>
      <c r="I96" s="298">
        <f t="shared" si="24"/>
        <v>1.1046221254112</v>
      </c>
      <c r="J96" s="301">
        <f>($L$16+SUM($K$16:K96))*I96</f>
        <v>33279.3373900072</v>
      </c>
      <c r="K96" s="299">
        <v>0</v>
      </c>
      <c r="L96" s="307">
        <f t="shared" si="18"/>
        <v>27966.38</v>
      </c>
      <c r="M96" s="309">
        <f t="shared" si="19"/>
        <v>-0.0137271967269272</v>
      </c>
      <c r="N96" s="309">
        <f>O96/($L$16+SUM($K$16:K96))-1</f>
        <v>-0.0844704230541352</v>
      </c>
      <c r="O96" s="310">
        <v>27582.48</v>
      </c>
      <c r="P96" s="87">
        <f t="shared" si="20"/>
        <v>0.104622125411205</v>
      </c>
      <c r="Q96" s="316"/>
      <c r="R96" s="304"/>
      <c r="S96" s="304"/>
      <c r="T96" s="317">
        <v>120</v>
      </c>
      <c r="U96" s="317">
        <v>4</v>
      </c>
    </row>
    <row r="97" spans="1:21">
      <c r="A97" s="77">
        <v>45708</v>
      </c>
      <c r="B97" s="297">
        <v>11</v>
      </c>
      <c r="C97" s="298">
        <f t="shared" si="21"/>
        <v>1.38423387072445</v>
      </c>
      <c r="D97" s="301">
        <f>($L$16+SUM($K$16:K97))*C97</f>
        <v>41703.2983051701</v>
      </c>
      <c r="E97" s="298">
        <f t="shared" si="22"/>
        <v>1.24337430839465</v>
      </c>
      <c r="F97" s="302">
        <f>($L$16+SUM($K$16:K97))*E97</f>
        <v>37459.5729700136</v>
      </c>
      <c r="G97" s="298">
        <f t="shared" si="23"/>
        <v>1.17794893740053</v>
      </c>
      <c r="H97" s="301">
        <f>($L$16+SUM($K$16:K97))*G97</f>
        <v>35488.4799191937</v>
      </c>
      <c r="I97" s="298">
        <f t="shared" si="24"/>
        <v>1.11566834666532</v>
      </c>
      <c r="J97" s="301">
        <f>($L$16+SUM($K$16:K97))*I97</f>
        <v>33612.1307639073</v>
      </c>
      <c r="K97" s="299">
        <v>0</v>
      </c>
      <c r="L97" s="301">
        <f t="shared" si="18"/>
        <v>27582.48</v>
      </c>
      <c r="M97" s="304">
        <f t="shared" si="19"/>
        <v>0.0178482863034796</v>
      </c>
      <c r="N97" s="304">
        <f>O97/($L$16+SUM($K$16:K97))-1</f>
        <v>-0.0681297890455018</v>
      </c>
      <c r="O97" s="305">
        <v>28074.78</v>
      </c>
      <c r="P97" s="87">
        <f t="shared" si="20"/>
        <v>0.115668346665317</v>
      </c>
      <c r="Q97" s="319"/>
      <c r="R97" s="309"/>
      <c r="S97" s="309"/>
      <c r="T97" s="317">
        <v>107</v>
      </c>
      <c r="U97" s="317">
        <v>1</v>
      </c>
    </row>
    <row r="98" spans="1:21">
      <c r="A98" s="117">
        <v>45709</v>
      </c>
      <c r="B98" s="297">
        <v>12</v>
      </c>
      <c r="C98" s="298">
        <f t="shared" si="21"/>
        <v>1.42576088684618</v>
      </c>
      <c r="D98" s="301">
        <f>($L$16+SUM($K$16:K98))*C98</f>
        <v>42954.3972543252</v>
      </c>
      <c r="E98" s="298">
        <f t="shared" si="22"/>
        <v>1.26824179456255</v>
      </c>
      <c r="F98" s="302">
        <f>($L$16+SUM($K$16:K98))*E98</f>
        <v>38208.7644294139</v>
      </c>
      <c r="G98" s="298">
        <f t="shared" si="23"/>
        <v>1.19561817146153</v>
      </c>
      <c r="H98" s="301">
        <f>($L$16+SUM($K$16:K98))*G98</f>
        <v>36020.8071179816</v>
      </c>
      <c r="I98" s="298">
        <f t="shared" si="24"/>
        <v>1.12682503013197</v>
      </c>
      <c r="J98" s="301">
        <f>($L$16+SUM($K$16:K98))*I98</f>
        <v>33948.2520715464</v>
      </c>
      <c r="K98" s="299">
        <v>0</v>
      </c>
      <c r="L98" s="307">
        <f t="shared" si="18"/>
        <v>28074.78</v>
      </c>
      <c r="M98" s="309">
        <f t="shared" si="19"/>
        <v>-0.0478803395787963</v>
      </c>
      <c r="N98" s="309">
        <f>O98/($L$16+SUM($K$16:K98))-1</f>
        <v>-0.112748051189368</v>
      </c>
      <c r="O98" s="310">
        <v>26730.55</v>
      </c>
      <c r="P98" s="87">
        <f t="shared" si="20"/>
        <v>0.12682503013197</v>
      </c>
      <c r="Q98" s="316"/>
      <c r="R98" s="304"/>
      <c r="S98" s="304"/>
      <c r="T98" s="317">
        <v>119</v>
      </c>
      <c r="U98" s="317">
        <v>4</v>
      </c>
    </row>
    <row r="99" spans="1:21">
      <c r="A99" s="77">
        <v>45712</v>
      </c>
      <c r="B99" s="297">
        <v>13</v>
      </c>
      <c r="C99" s="298">
        <f t="shared" si="21"/>
        <v>1.46853371345156</v>
      </c>
      <c r="D99" s="301">
        <f>($L$16+SUM($K$16:K99))*C99</f>
        <v>44243.029171955</v>
      </c>
      <c r="E99" s="298">
        <f t="shared" si="22"/>
        <v>1.2936066304538</v>
      </c>
      <c r="F99" s="302">
        <f>($L$16+SUM($K$16:K99))*E99</f>
        <v>38972.9397180022</v>
      </c>
      <c r="G99" s="298">
        <f t="shared" si="23"/>
        <v>1.21355244403346</v>
      </c>
      <c r="H99" s="301">
        <f>($L$16+SUM($K$16:K99))*G99</f>
        <v>36561.1192247514</v>
      </c>
      <c r="I99" s="298">
        <f t="shared" si="24"/>
        <v>1.13809328043329</v>
      </c>
      <c r="J99" s="301">
        <f>($L$16+SUM($K$16:K99))*I99</f>
        <v>34287.7345922619</v>
      </c>
      <c r="K99" s="299">
        <v>0</v>
      </c>
      <c r="L99" s="307">
        <f t="shared" si="18"/>
        <v>26730.55</v>
      </c>
      <c r="M99" s="309">
        <f t="shared" si="19"/>
        <v>-0.000187051893806899</v>
      </c>
      <c r="N99" s="309">
        <f>O99/($L$16+SUM($K$16:K99))-1</f>
        <v>-0.112914013346677</v>
      </c>
      <c r="O99" s="310">
        <v>26725.55</v>
      </c>
      <c r="P99" s="87">
        <f t="shared" si="20"/>
        <v>0.13809328043329</v>
      </c>
      <c r="Q99" s="319"/>
      <c r="R99" s="309"/>
      <c r="S99" s="309"/>
      <c r="T99" s="317">
        <v>91</v>
      </c>
      <c r="U99" s="317">
        <v>18</v>
      </c>
    </row>
    <row r="100" spans="1:21">
      <c r="A100" s="77">
        <v>45713</v>
      </c>
      <c r="B100" s="297">
        <v>14</v>
      </c>
      <c r="C100" s="298">
        <f t="shared" si="21"/>
        <v>1.51258972485511</v>
      </c>
      <c r="D100" s="301">
        <f>($L$16+SUM($K$16:K100))*C100</f>
        <v>45570.3200471137</v>
      </c>
      <c r="E100" s="298">
        <f t="shared" si="22"/>
        <v>1.31947876306287</v>
      </c>
      <c r="F100" s="302">
        <f>($L$16+SUM($K$16:K100))*E100</f>
        <v>39752.3985123622</v>
      </c>
      <c r="G100" s="298">
        <f t="shared" si="23"/>
        <v>1.23175573069396</v>
      </c>
      <c r="H100" s="301">
        <f>($L$16+SUM($K$16:K100))*G100</f>
        <v>37109.5360131226</v>
      </c>
      <c r="I100" s="298">
        <f t="shared" si="24"/>
        <v>1.14947421323762</v>
      </c>
      <c r="J100" s="301">
        <f>($L$16+SUM($K$16:K100))*I100</f>
        <v>34630.6119381845</v>
      </c>
      <c r="K100" s="299">
        <v>0</v>
      </c>
      <c r="L100" s="307">
        <f t="shared" si="18"/>
        <v>26725.55</v>
      </c>
      <c r="M100" s="309">
        <f t="shared" si="19"/>
        <v>-0.00562308352868318</v>
      </c>
      <c r="N100" s="309">
        <f>O100/($L$16+SUM($K$16:K100))-1</f>
        <v>-0.117902171946753</v>
      </c>
      <c r="O100" s="310">
        <v>26575.27</v>
      </c>
      <c r="P100" s="87">
        <f t="shared" si="20"/>
        <v>0.149474213237623</v>
      </c>
      <c r="Q100" s="319"/>
      <c r="R100" s="309"/>
      <c r="S100" s="309"/>
      <c r="T100" s="317">
        <v>65</v>
      </c>
      <c r="U100" s="317">
        <v>7</v>
      </c>
    </row>
    <row r="101" spans="1:21">
      <c r="A101" s="77">
        <v>45714</v>
      </c>
      <c r="B101" s="297">
        <v>15</v>
      </c>
      <c r="C101" s="298">
        <f t="shared" si="21"/>
        <v>1.55796741660077</v>
      </c>
      <c r="D101" s="301">
        <f>($L$16+SUM($K$16:K101))*C101</f>
        <v>46937.4296485271</v>
      </c>
      <c r="E101" s="298">
        <f t="shared" si="22"/>
        <v>1.34586833832413</v>
      </c>
      <c r="F101" s="302">
        <f>($L$16+SUM($K$16:K101))*E101</f>
        <v>40547.4464826095</v>
      </c>
      <c r="G101" s="298">
        <f t="shared" si="23"/>
        <v>1.25023206665437</v>
      </c>
      <c r="H101" s="301">
        <f>($L$16+SUM($K$16:K101))*G101</f>
        <v>37666.1790533195</v>
      </c>
      <c r="I101" s="298">
        <f t="shared" si="24"/>
        <v>1.16096895537</v>
      </c>
      <c r="J101" s="301">
        <f>($L$16+SUM($K$16:K101))*I101</f>
        <v>34976.9180575663</v>
      </c>
      <c r="K101" s="299">
        <v>0</v>
      </c>
      <c r="L101" s="301">
        <f t="shared" si="18"/>
        <v>26575.27</v>
      </c>
      <c r="M101" s="304">
        <f t="shared" si="19"/>
        <v>0.0382197433930117</v>
      </c>
      <c r="N101" s="304">
        <f>O101/($L$16+SUM($K$16:K101))-1</f>
        <v>-0.0841886193110246</v>
      </c>
      <c r="O101" s="305">
        <v>27590.97</v>
      </c>
      <c r="P101" s="87">
        <f t="shared" si="20"/>
        <v>0.160968955369999</v>
      </c>
      <c r="Q101" s="316"/>
      <c r="R101" s="304"/>
      <c r="S101" s="304"/>
      <c r="T101" s="317">
        <v>108</v>
      </c>
      <c r="U101" s="317">
        <v>3</v>
      </c>
    </row>
    <row r="102" spans="1:21">
      <c r="A102" s="77">
        <v>45715</v>
      </c>
      <c r="B102" s="297">
        <v>16</v>
      </c>
      <c r="C102" s="298">
        <f t="shared" si="21"/>
        <v>1.60470643909879</v>
      </c>
      <c r="D102" s="301">
        <f>($L$16+SUM($K$16:K102))*C102</f>
        <v>48345.5525379829</v>
      </c>
      <c r="E102" s="298">
        <f t="shared" si="22"/>
        <v>1.37278570509061</v>
      </c>
      <c r="F102" s="302">
        <f>($L$16+SUM($K$16:K102))*E102</f>
        <v>41358.3954122617</v>
      </c>
      <c r="G102" s="298">
        <f t="shared" si="23"/>
        <v>1.26898554765418</v>
      </c>
      <c r="H102" s="301">
        <f>($L$16+SUM($K$16:K102))*G102</f>
        <v>38231.1717391193</v>
      </c>
      <c r="I102" s="298">
        <f t="shared" si="24"/>
        <v>1.1725786449237</v>
      </c>
      <c r="J102" s="301">
        <f>($L$16+SUM($K$16:K102))*I102</f>
        <v>35326.687238142</v>
      </c>
      <c r="K102" s="299">
        <v>0</v>
      </c>
      <c r="L102" s="307">
        <f t="shared" si="18"/>
        <v>27590.97</v>
      </c>
      <c r="M102" s="309">
        <f t="shared" si="19"/>
        <v>-0.0263488380437513</v>
      </c>
      <c r="N102" s="309">
        <f>O102/($L$16+SUM($K$16:K102))-1</f>
        <v>-0.108319185059423</v>
      </c>
      <c r="O102" s="310">
        <v>26863.98</v>
      </c>
      <c r="P102" s="87">
        <f t="shared" si="20"/>
        <v>0.172578644923699</v>
      </c>
      <c r="Q102" s="316"/>
      <c r="R102" s="304"/>
      <c r="S102" s="304"/>
      <c r="T102" s="317">
        <v>90</v>
      </c>
      <c r="U102" s="317">
        <v>12</v>
      </c>
    </row>
    <row r="103" spans="1:21">
      <c r="A103" s="117">
        <v>45716</v>
      </c>
      <c r="B103" s="297">
        <v>17</v>
      </c>
      <c r="C103" s="298">
        <f t="shared" si="21"/>
        <v>1.65284763227175</v>
      </c>
      <c r="D103" s="301">
        <f>($L$16+SUM($K$16:K103))*C103</f>
        <v>49795.9191141223</v>
      </c>
      <c r="E103" s="298">
        <f t="shared" si="22"/>
        <v>1.40024141919242</v>
      </c>
      <c r="F103" s="302">
        <f>($L$16+SUM($K$16:K103))*E103</f>
        <v>42185.5633205067</v>
      </c>
      <c r="G103" s="298">
        <f t="shared" si="23"/>
        <v>1.288020330869</v>
      </c>
      <c r="H103" s="301">
        <f>($L$16+SUM($K$16:K103))*G103</f>
        <v>38804.6393152062</v>
      </c>
      <c r="I103" s="298">
        <f t="shared" si="24"/>
        <v>1.18430443137294</v>
      </c>
      <c r="J103" s="301">
        <f>($L$16+SUM($K$16:K103))*I103</f>
        <v>35679.9541105235</v>
      </c>
      <c r="K103" s="299">
        <v>0</v>
      </c>
      <c r="L103" s="307">
        <f t="shared" si="18"/>
        <v>26863.98</v>
      </c>
      <c r="M103" s="309">
        <f t="shared" si="19"/>
        <v>-0.0505692008406795</v>
      </c>
      <c r="N103" s="309">
        <f>O103/($L$16+SUM($K$16:K103))-1</f>
        <v>-0.153410771275934</v>
      </c>
      <c r="O103" s="310">
        <v>25505.49</v>
      </c>
      <c r="P103" s="87">
        <f t="shared" si="20"/>
        <v>0.184304431372936</v>
      </c>
      <c r="Q103" s="319"/>
      <c r="R103" s="309"/>
      <c r="S103" s="309"/>
      <c r="T103" s="317">
        <v>56</v>
      </c>
      <c r="U103" s="317">
        <v>47</v>
      </c>
    </row>
    <row r="104" spans="1:21">
      <c r="A104" s="77">
        <v>45719</v>
      </c>
      <c r="B104" s="297">
        <v>18</v>
      </c>
      <c r="C104" s="298">
        <f t="shared" ref="C104:C123" si="25">POWER($C$87,B104)</f>
        <v>1.7024330612399</v>
      </c>
      <c r="D104" s="301">
        <f>($L$16+SUM($K$16:K104))*C104</f>
        <v>51289.7966875459</v>
      </c>
      <c r="E104" s="298">
        <f t="shared" ref="E104:E123" si="26">POWER($E$87,B104)</f>
        <v>1.42824624757627</v>
      </c>
      <c r="F104" s="302">
        <f>($L$16+SUM($K$16:K104))*E104</f>
        <v>43029.2745869169</v>
      </c>
      <c r="G104" s="298">
        <f t="shared" ref="G104:G123" si="27">POWER($G$87,B104)</f>
        <v>1.30734063583203</v>
      </c>
      <c r="H104" s="301">
        <f>($L$16+SUM($K$16:K104))*G104</f>
        <v>39386.7089049341</v>
      </c>
      <c r="I104" s="298">
        <f t="shared" ref="I104:I123" si="28">POWER($I$87,B104)</f>
        <v>1.19614747568667</v>
      </c>
      <c r="J104" s="301">
        <f>($L$16+SUM($K$16:K104))*I104</f>
        <v>36036.7536516288</v>
      </c>
      <c r="K104" s="299">
        <v>0</v>
      </c>
      <c r="L104" s="307">
        <f t="shared" si="18"/>
        <v>25505.49</v>
      </c>
      <c r="M104" s="309">
        <f t="shared" si="19"/>
        <v>-0.0129383909111332</v>
      </c>
      <c r="N104" s="309">
        <f>O104/($L$16+SUM($K$16:K104))-1</f>
        <v>-0.16436427365832</v>
      </c>
      <c r="O104" s="310">
        <v>25175.49</v>
      </c>
      <c r="P104" s="87">
        <f t="shared" ref="P104:P135" si="29">I104-1</f>
        <v>0.19614747568667</v>
      </c>
      <c r="Q104" s="319"/>
      <c r="R104" s="309"/>
      <c r="S104" s="309"/>
      <c r="T104" s="317">
        <v>70</v>
      </c>
      <c r="U104" s="317">
        <v>34</v>
      </c>
    </row>
    <row r="105" spans="1:21">
      <c r="A105" s="77">
        <v>45720</v>
      </c>
      <c r="B105" s="297">
        <v>19</v>
      </c>
      <c r="C105" s="298">
        <f t="shared" si="25"/>
        <v>1.7535060530771</v>
      </c>
      <c r="D105" s="301">
        <f>($L$16+SUM($K$16:K105))*C105</f>
        <v>52828.4905881724</v>
      </c>
      <c r="E105" s="298">
        <f t="shared" si="26"/>
        <v>1.4568111725278</v>
      </c>
      <c r="F105" s="302">
        <f>($L$16+SUM($K$16:K105))*E105</f>
        <v>43889.8600786554</v>
      </c>
      <c r="G105" s="298">
        <f t="shared" si="27"/>
        <v>1.32695074536951</v>
      </c>
      <c r="H105" s="301">
        <f>($L$16+SUM($K$16:K105))*G105</f>
        <v>39977.5095385081</v>
      </c>
      <c r="I105" s="298">
        <f t="shared" si="28"/>
        <v>1.20810895044353</v>
      </c>
      <c r="J105" s="301">
        <f>($L$16+SUM($K$16:K105))*I105</f>
        <v>36397.1211881449</v>
      </c>
      <c r="K105" s="299">
        <v>0</v>
      </c>
      <c r="L105" s="307">
        <f t="shared" si="18"/>
        <v>25175.49</v>
      </c>
      <c r="M105" s="309">
        <f t="shared" si="19"/>
        <v>-0.0149335722959117</v>
      </c>
      <c r="N105" s="309">
        <f>O105/($L$16+SUM($K$16:K105))-1</f>
        <v>-0.17684330019069</v>
      </c>
      <c r="O105" s="310">
        <v>24799.53</v>
      </c>
      <c r="P105" s="87">
        <f t="shared" si="29"/>
        <v>0.20810895044353</v>
      </c>
      <c r="Q105" s="316"/>
      <c r="R105" s="304"/>
      <c r="S105" s="304"/>
      <c r="T105" s="317">
        <v>88</v>
      </c>
      <c r="U105" s="317">
        <v>13</v>
      </c>
    </row>
    <row r="106" spans="1:21">
      <c r="A106" s="77">
        <v>45721</v>
      </c>
      <c r="B106" s="297">
        <v>20</v>
      </c>
      <c r="C106" s="298">
        <f t="shared" si="25"/>
        <v>1.80611123466941</v>
      </c>
      <c r="D106" s="301">
        <f>($L$16+SUM($K$16:K106))*C106</f>
        <v>54413.3453058174</v>
      </c>
      <c r="E106" s="298">
        <f t="shared" si="26"/>
        <v>1.48594739597835</v>
      </c>
      <c r="F106" s="302">
        <f>($L$16+SUM($K$16:K106))*E106</f>
        <v>44767.6572802283</v>
      </c>
      <c r="G106" s="298">
        <f t="shared" si="27"/>
        <v>1.34685500655005</v>
      </c>
      <c r="H106" s="301">
        <f>($L$16+SUM($K$16:K106))*G106</f>
        <v>40577.1721815856</v>
      </c>
      <c r="I106" s="298">
        <f t="shared" si="28"/>
        <v>1.22019003994797</v>
      </c>
      <c r="J106" s="301">
        <f>($L$16+SUM($K$16:K106))*I106</f>
        <v>36761.0924000265</v>
      </c>
      <c r="K106" s="299">
        <v>0</v>
      </c>
      <c r="L106" s="301">
        <f t="shared" si="18"/>
        <v>24799.53</v>
      </c>
      <c r="M106" s="304">
        <f t="shared" si="19"/>
        <v>0.00658076987749368</v>
      </c>
      <c r="N106" s="304">
        <f>O106/($L$16+SUM($K$16:K106))-1</f>
        <v>-0.171426295376128</v>
      </c>
      <c r="O106" s="305">
        <v>24962.73</v>
      </c>
      <c r="P106" s="87">
        <f t="shared" si="29"/>
        <v>0.22019003994797</v>
      </c>
      <c r="Q106" s="316"/>
      <c r="R106" s="304"/>
      <c r="S106" s="304"/>
      <c r="T106" s="317">
        <v>70</v>
      </c>
      <c r="U106" s="317">
        <v>6</v>
      </c>
    </row>
    <row r="107" spans="1:21">
      <c r="A107" s="77">
        <v>45722</v>
      </c>
      <c r="B107" s="297">
        <v>21</v>
      </c>
      <c r="C107" s="298">
        <f t="shared" si="25"/>
        <v>1.8602945717095</v>
      </c>
      <c r="D107" s="301">
        <f>($L$16+SUM($K$16:K107))*C107</f>
        <v>56045.7456649922</v>
      </c>
      <c r="E107" s="298">
        <f t="shared" si="26"/>
        <v>1.51566634389792</v>
      </c>
      <c r="F107" s="302">
        <f>($L$16+SUM($K$16:K107))*E107</f>
        <v>45663.010425833</v>
      </c>
      <c r="G107" s="298">
        <f t="shared" si="27"/>
        <v>1.3670578316483</v>
      </c>
      <c r="H107" s="301">
        <f>($L$16+SUM($K$16:K107))*G107</f>
        <v>41185.8297643094</v>
      </c>
      <c r="I107" s="298">
        <f t="shared" si="28"/>
        <v>1.23239194034745</v>
      </c>
      <c r="J107" s="301">
        <f>($L$16+SUM($K$16:K107))*I107</f>
        <v>37128.7033240267</v>
      </c>
      <c r="K107" s="299">
        <v>0</v>
      </c>
      <c r="L107" s="307">
        <f t="shared" si="18"/>
        <v>24962.73</v>
      </c>
      <c r="M107" s="309">
        <f t="shared" si="19"/>
        <v>-0.00576859982862451</v>
      </c>
      <c r="N107" s="309">
        <f>O107/($L$16+SUM($K$16:K107))-1</f>
        <v>-0.176206005506624</v>
      </c>
      <c r="O107" s="310">
        <v>24818.73</v>
      </c>
      <c r="P107" s="87">
        <f t="shared" si="29"/>
        <v>0.23239194034745</v>
      </c>
      <c r="Q107" s="316"/>
      <c r="R107" s="304"/>
      <c r="S107" s="304"/>
      <c r="T107" s="317">
        <v>118</v>
      </c>
      <c r="U107" s="317">
        <v>5</v>
      </c>
    </row>
    <row r="108" spans="1:21">
      <c r="A108" s="117">
        <v>45723</v>
      </c>
      <c r="B108" s="297">
        <v>22</v>
      </c>
      <c r="C108" s="298">
        <f t="shared" si="25"/>
        <v>1.91610340886078</v>
      </c>
      <c r="D108" s="301">
        <f>($L$16+SUM($K$16:K108))*C108</f>
        <v>57727.1180349418</v>
      </c>
      <c r="E108" s="298">
        <f t="shared" si="26"/>
        <v>1.54597967077588</v>
      </c>
      <c r="F108" s="302">
        <f>($L$16+SUM($K$16:K108))*E108</f>
        <v>46576.2706343497</v>
      </c>
      <c r="G108" s="298">
        <f t="shared" si="27"/>
        <v>1.38756369912303</v>
      </c>
      <c r="H108" s="301">
        <f>($L$16+SUM($K$16:K108))*G108</f>
        <v>41803.6172107742</v>
      </c>
      <c r="I108" s="298">
        <f t="shared" si="28"/>
        <v>1.24471585975092</v>
      </c>
      <c r="J108" s="301">
        <f>($L$16+SUM($K$16:K108))*I108</f>
        <v>37499.9903572669</v>
      </c>
      <c r="K108" s="299">
        <v>0</v>
      </c>
      <c r="L108" s="328">
        <f t="shared" si="18"/>
        <v>24818.73</v>
      </c>
      <c r="M108" s="329">
        <f t="shared" si="19"/>
        <v>0</v>
      </c>
      <c r="N108" s="329">
        <f>O108/($L$16+SUM($K$16:K108))-1</f>
        <v>-0.176206005506624</v>
      </c>
      <c r="O108" s="330">
        <v>24818.73</v>
      </c>
      <c r="P108" s="87">
        <f t="shared" si="29"/>
        <v>0.24471585975092</v>
      </c>
      <c r="Q108" s="319"/>
      <c r="R108" s="309"/>
      <c r="S108" s="309"/>
      <c r="T108" s="317">
        <v>62</v>
      </c>
      <c r="U108" s="317">
        <v>12</v>
      </c>
    </row>
    <row r="109" spans="1:21">
      <c r="A109" s="77">
        <v>45726</v>
      </c>
      <c r="B109" s="297">
        <v>23</v>
      </c>
      <c r="C109" s="298">
        <f t="shared" si="25"/>
        <v>1.97358651112661</v>
      </c>
      <c r="D109" s="301">
        <f>($L$16+SUM($K$16:K109))*C109</f>
        <v>59458.9315759903</v>
      </c>
      <c r="E109" s="298">
        <f t="shared" si="26"/>
        <v>1.5768992641914</v>
      </c>
      <c r="F109" s="302">
        <f>($L$16+SUM($K$16:K109))*E109</f>
        <v>47507.7960470368</v>
      </c>
      <c r="G109" s="298">
        <f t="shared" si="27"/>
        <v>1.40837715460987</v>
      </c>
      <c r="H109" s="301">
        <f>($L$16+SUM($K$16:K109))*G109</f>
        <v>42430.6714689357</v>
      </c>
      <c r="I109" s="298">
        <f t="shared" si="28"/>
        <v>1.25716301834843</v>
      </c>
      <c r="J109" s="301">
        <f>($L$16+SUM($K$16:K109))*I109</f>
        <v>37874.9902608396</v>
      </c>
      <c r="K109" s="299">
        <v>0</v>
      </c>
      <c r="L109" s="301">
        <f t="shared" si="18"/>
        <v>24818.73</v>
      </c>
      <c r="M109" s="304">
        <f t="shared" si="19"/>
        <v>0.00132964096067768</v>
      </c>
      <c r="N109" s="304">
        <f>O109/($L$16+SUM($K$16:K109))-1</f>
        <v>-0.175110655268386</v>
      </c>
      <c r="O109" s="305">
        <v>24851.73</v>
      </c>
      <c r="P109" s="87">
        <f t="shared" si="29"/>
        <v>0.25716301834843</v>
      </c>
      <c r="Q109" s="319"/>
      <c r="R109" s="309"/>
      <c r="S109" s="309"/>
      <c r="T109" s="317">
        <v>93</v>
      </c>
      <c r="U109" s="317">
        <v>8</v>
      </c>
    </row>
    <row r="110" spans="1:21">
      <c r="A110" s="77">
        <v>45727</v>
      </c>
      <c r="B110" s="297">
        <v>24</v>
      </c>
      <c r="C110" s="298">
        <f t="shared" si="25"/>
        <v>2.0327941064604</v>
      </c>
      <c r="D110" s="301">
        <f>($L$16+SUM($K$16:K110))*C110</f>
        <v>61242.6995232697</v>
      </c>
      <c r="E110" s="298">
        <f t="shared" si="26"/>
        <v>1.60843724947523</v>
      </c>
      <c r="F110" s="302">
        <f>($L$16+SUM($K$16:K110))*E110</f>
        <v>48457.9519679776</v>
      </c>
      <c r="G110" s="298">
        <f t="shared" si="27"/>
        <v>1.42950281192902</v>
      </c>
      <c r="H110" s="301">
        <f>($L$16+SUM($K$16:K110))*G110</f>
        <v>43067.1315409698</v>
      </c>
      <c r="I110" s="298">
        <f t="shared" si="28"/>
        <v>1.26973464853191</v>
      </c>
      <c r="J110" s="301">
        <f>($L$16+SUM($K$16:K110))*I110</f>
        <v>38253.7401634478</v>
      </c>
      <c r="K110" s="299">
        <v>0</v>
      </c>
      <c r="L110" s="307">
        <f t="shared" si="18"/>
        <v>24851.73</v>
      </c>
      <c r="M110" s="309">
        <f t="shared" si="19"/>
        <v>-0.00309837584747621</v>
      </c>
      <c r="N110" s="309">
        <f>O110/($L$16+SUM($K$16:K110))-1</f>
        <v>-0.177666472490943</v>
      </c>
      <c r="O110" s="310">
        <v>24774.73</v>
      </c>
      <c r="P110" s="87">
        <f t="shared" si="29"/>
        <v>0.26973464853191</v>
      </c>
      <c r="Q110" s="316"/>
      <c r="R110" s="304"/>
      <c r="S110" s="304"/>
      <c r="T110" s="317">
        <v>66</v>
      </c>
      <c r="U110" s="317">
        <v>5</v>
      </c>
    </row>
    <row r="111" spans="1:21">
      <c r="A111" s="77">
        <v>45728</v>
      </c>
      <c r="B111" s="297">
        <v>25</v>
      </c>
      <c r="C111" s="298">
        <f t="shared" si="25"/>
        <v>2.09377792965422</v>
      </c>
      <c r="D111" s="301">
        <f>($L$16+SUM($K$16:K111))*C111</f>
        <v>63079.9805089681</v>
      </c>
      <c r="E111" s="298">
        <f t="shared" si="26"/>
        <v>1.64060599446473</v>
      </c>
      <c r="F111" s="302">
        <f>($L$16+SUM($K$16:K111))*E111</f>
        <v>49427.111007337</v>
      </c>
      <c r="G111" s="298">
        <f t="shared" si="27"/>
        <v>1.45094535410796</v>
      </c>
      <c r="H111" s="301">
        <f>($L$16+SUM($K$16:K111))*G111</f>
        <v>43713.1385140844</v>
      </c>
      <c r="I111" s="298">
        <f t="shared" si="28"/>
        <v>1.28243199501723</v>
      </c>
      <c r="J111" s="301">
        <f>($L$16+SUM($K$16:K111))*I111</f>
        <v>38636.2775650823</v>
      </c>
      <c r="K111" s="299">
        <v>0</v>
      </c>
      <c r="L111" s="307">
        <f t="shared" ref="L111:L124" si="30">IF(K111&gt;0,K111+O110,O110)</f>
        <v>24774.73</v>
      </c>
      <c r="M111" s="309">
        <f t="shared" si="19"/>
        <v>-0.0107771103862686</v>
      </c>
      <c r="N111" s="309">
        <f>O111/($L$16+SUM($K$16:K111))-1</f>
        <v>-0.186528851691237</v>
      </c>
      <c r="O111" s="310">
        <v>24507.73</v>
      </c>
      <c r="P111" s="87">
        <f t="shared" si="29"/>
        <v>0.28243199501723</v>
      </c>
      <c r="Q111" s="319"/>
      <c r="R111" s="309"/>
      <c r="S111" s="309"/>
      <c r="T111" s="317">
        <v>94</v>
      </c>
      <c r="U111" s="317">
        <v>2</v>
      </c>
    </row>
    <row r="112" spans="1:21">
      <c r="A112" s="77">
        <v>45729</v>
      </c>
      <c r="B112" s="297">
        <v>26</v>
      </c>
      <c r="C112" s="298">
        <f t="shared" si="25"/>
        <v>2.15659126754384</v>
      </c>
      <c r="D112" s="301">
        <f>($L$16+SUM($K$16:K112))*C112</f>
        <v>64972.3799242369</v>
      </c>
      <c r="E112" s="298">
        <f t="shared" si="26"/>
        <v>1.67341811435403</v>
      </c>
      <c r="F112" s="302">
        <f>($L$16+SUM($K$16:K112))*E112</f>
        <v>50415.6532274839</v>
      </c>
      <c r="G112" s="298">
        <f t="shared" si="27"/>
        <v>1.47270953441958</v>
      </c>
      <c r="H112" s="301">
        <f>($L$16+SUM($K$16:K112))*G112</f>
        <v>44368.8355917957</v>
      </c>
      <c r="I112" s="298">
        <f t="shared" si="28"/>
        <v>1.29525631496741</v>
      </c>
      <c r="J112" s="301">
        <f>($L$16+SUM($K$16:K112))*I112</f>
        <v>39022.6403407334</v>
      </c>
      <c r="K112" s="299">
        <v>0</v>
      </c>
      <c r="L112" s="307">
        <f t="shared" si="30"/>
        <v>24507.73</v>
      </c>
      <c r="M112" s="309">
        <f t="shared" si="19"/>
        <v>-0.0408034526249473</v>
      </c>
      <c r="N112" s="309">
        <f>O112/($L$16+SUM($K$16:K112))-1</f>
        <v>-0.219721283153015</v>
      </c>
      <c r="O112" s="310">
        <v>23507.73</v>
      </c>
      <c r="P112" s="87">
        <f t="shared" si="29"/>
        <v>0.29525631496741</v>
      </c>
      <c r="Q112" s="319"/>
      <c r="R112" s="309"/>
      <c r="S112" s="309"/>
      <c r="T112" s="317">
        <v>57</v>
      </c>
      <c r="U112" s="317">
        <v>14</v>
      </c>
    </row>
    <row r="113" spans="1:21">
      <c r="A113" s="117">
        <v>45730</v>
      </c>
      <c r="B113" s="297">
        <v>27</v>
      </c>
      <c r="C113" s="298">
        <f t="shared" si="25"/>
        <v>2.22128900557016</v>
      </c>
      <c r="D113" s="301">
        <f>($L$16+SUM($K$16:K113))*C113</f>
        <v>66921.5513219642</v>
      </c>
      <c r="E113" s="298">
        <f t="shared" si="26"/>
        <v>1.70688647664111</v>
      </c>
      <c r="F113" s="302">
        <f>($L$16+SUM($K$16:K113))*E113</f>
        <v>51423.9662920335</v>
      </c>
      <c r="G113" s="298">
        <f t="shared" si="27"/>
        <v>1.49480017743587</v>
      </c>
      <c r="H113" s="301">
        <f>($L$16+SUM($K$16:K113))*G113</f>
        <v>45034.3681256726</v>
      </c>
      <c r="I113" s="298">
        <f t="shared" si="28"/>
        <v>1.30820887811708</v>
      </c>
      <c r="J113" s="301">
        <f>($L$16+SUM($K$16:K113))*I113</f>
        <v>39412.8667441406</v>
      </c>
      <c r="K113" s="299">
        <v>0</v>
      </c>
      <c r="L113" s="301">
        <f t="shared" si="30"/>
        <v>23507.73</v>
      </c>
      <c r="M113" s="304">
        <f t="shared" si="19"/>
        <v>0.0289266551895908</v>
      </c>
      <c r="N113" s="304">
        <f>O113/($L$16+SUM($K$16:K113))-1</f>
        <v>-0.197150429759006</v>
      </c>
      <c r="O113" s="305">
        <v>24187.73</v>
      </c>
      <c r="P113" s="87">
        <f t="shared" si="29"/>
        <v>0.30820887811708</v>
      </c>
      <c r="Q113" s="316"/>
      <c r="R113" s="304"/>
      <c r="S113" s="304"/>
      <c r="T113" s="317">
        <v>96</v>
      </c>
      <c r="U113" s="317">
        <v>6</v>
      </c>
    </row>
    <row r="114" spans="1:21">
      <c r="A114" s="77">
        <v>45733</v>
      </c>
      <c r="B114" s="297">
        <v>28</v>
      </c>
      <c r="C114" s="298">
        <f t="shared" si="25"/>
        <v>2.28792767573726</v>
      </c>
      <c r="D114" s="301">
        <f>($L$16+SUM($K$16:K114))*C114</f>
        <v>68929.1978616229</v>
      </c>
      <c r="E114" s="298">
        <f t="shared" si="26"/>
        <v>1.74102420617393</v>
      </c>
      <c r="F114" s="302">
        <f>($L$16+SUM($K$16:K114))*E114</f>
        <v>52452.4456178741</v>
      </c>
      <c r="G114" s="298">
        <f t="shared" si="27"/>
        <v>1.51722218009741</v>
      </c>
      <c r="H114" s="301">
        <f>($L$16+SUM($K$16:K114))*G114</f>
        <v>45709.8836475577</v>
      </c>
      <c r="I114" s="298">
        <f t="shared" si="28"/>
        <v>1.32129096689825</v>
      </c>
      <c r="J114" s="301">
        <f>($L$16+SUM($K$16:K114))*I114</f>
        <v>39806.995411582</v>
      </c>
      <c r="K114" s="299">
        <v>0</v>
      </c>
      <c r="L114" s="307">
        <f t="shared" si="30"/>
        <v>24187.73</v>
      </c>
      <c r="M114" s="309">
        <f t="shared" ref="M114:M124" si="31">(O114-L114)/L114</f>
        <v>-0.00603611831288013</v>
      </c>
      <c r="N114" s="309">
        <f>O114/($L$16+SUM($K$16:K114))-1</f>
        <v>-0.201996524752426</v>
      </c>
      <c r="O114" s="310">
        <v>24041.73</v>
      </c>
      <c r="P114" s="87">
        <f t="shared" si="29"/>
        <v>0.32129096689825</v>
      </c>
      <c r="Q114" s="316"/>
      <c r="R114" s="304"/>
      <c r="S114" s="304"/>
      <c r="T114" s="317">
        <v>84</v>
      </c>
      <c r="U114" s="317">
        <v>11</v>
      </c>
    </row>
    <row r="115" spans="1:21">
      <c r="A115" s="77">
        <v>45734</v>
      </c>
      <c r="B115" s="297">
        <v>29</v>
      </c>
      <c r="C115" s="298">
        <f t="shared" si="25"/>
        <v>2.35656550600938</v>
      </c>
      <c r="D115" s="301">
        <f>($L$16+SUM($K$16:K115))*C115</f>
        <v>70997.0737974717</v>
      </c>
      <c r="E115" s="298">
        <f t="shared" si="26"/>
        <v>1.77584469029741</v>
      </c>
      <c r="F115" s="302">
        <f>($L$16+SUM($K$16:K115))*E115</f>
        <v>53501.4945302317</v>
      </c>
      <c r="G115" s="298">
        <f t="shared" si="27"/>
        <v>1.53998051279887</v>
      </c>
      <c r="H115" s="301">
        <f>($L$16+SUM($K$16:K115))*G115</f>
        <v>46395.531902271</v>
      </c>
      <c r="I115" s="298">
        <f t="shared" si="28"/>
        <v>1.33450387656723</v>
      </c>
      <c r="J115" s="301">
        <f>($L$16+SUM($K$16:K115))*I115</f>
        <v>40205.0653656977</v>
      </c>
      <c r="K115" s="299">
        <v>0</v>
      </c>
      <c r="L115" s="307">
        <f t="shared" si="30"/>
        <v>24041.73</v>
      </c>
      <c r="M115" s="309">
        <f t="shared" si="31"/>
        <v>-0.00316117018201269</v>
      </c>
      <c r="N115" s="309">
        <f>O115/($L$16+SUM($K$16:K115))-1</f>
        <v>-0.204519149543521</v>
      </c>
      <c r="O115" s="310">
        <v>23965.73</v>
      </c>
      <c r="P115" s="87">
        <f t="shared" si="29"/>
        <v>0.33450387656723</v>
      </c>
      <c r="Q115" s="316"/>
      <c r="R115" s="304"/>
      <c r="S115" s="304"/>
      <c r="T115" s="317">
        <v>78</v>
      </c>
      <c r="U115" s="317">
        <v>11</v>
      </c>
    </row>
    <row r="116" spans="1:21">
      <c r="A116" s="77">
        <v>45735</v>
      </c>
      <c r="B116" s="297">
        <v>30</v>
      </c>
      <c r="C116" s="298">
        <f t="shared" si="25"/>
        <v>2.42726247118966</v>
      </c>
      <c r="D116" s="301">
        <f>($L$16+SUM($K$16:K116))*C116</f>
        <v>73126.9860113958</v>
      </c>
      <c r="E116" s="298">
        <f t="shared" si="26"/>
        <v>1.81136158410335</v>
      </c>
      <c r="F116" s="302">
        <f>($L$16+SUM($K$16:K116))*E116</f>
        <v>54571.5244208361</v>
      </c>
      <c r="G116" s="298">
        <f t="shared" si="27"/>
        <v>1.56308022049085</v>
      </c>
      <c r="H116" s="301">
        <f>($L$16+SUM($K$16:K116))*G116</f>
        <v>47091.464880805</v>
      </c>
      <c r="I116" s="298">
        <f t="shared" si="28"/>
        <v>1.34784891533291</v>
      </c>
      <c r="J116" s="301">
        <f>($L$16+SUM($K$16:K116))*I116</f>
        <v>40607.1160193549</v>
      </c>
      <c r="K116" s="299">
        <v>0</v>
      </c>
      <c r="L116" s="307">
        <f t="shared" si="30"/>
        <v>23965.73</v>
      </c>
      <c r="M116" s="309">
        <f t="shared" si="31"/>
        <v>-0.00801143966822625</v>
      </c>
      <c r="N116" s="309">
        <f>O116/($L$16+SUM($K$16:K116))-1</f>
        <v>-0.210892096384182</v>
      </c>
      <c r="O116" s="310">
        <v>23773.73</v>
      </c>
      <c r="P116" s="87">
        <f t="shared" si="29"/>
        <v>0.34784891533291</v>
      </c>
      <c r="Q116" s="319"/>
      <c r="R116" s="331"/>
      <c r="S116" s="309"/>
      <c r="T116" s="317">
        <v>56</v>
      </c>
      <c r="U116" s="317">
        <v>8</v>
      </c>
    </row>
    <row r="117" spans="1:21">
      <c r="A117" s="77">
        <v>45736</v>
      </c>
      <c r="B117" s="297">
        <v>31</v>
      </c>
      <c r="C117" s="298">
        <f t="shared" si="25"/>
        <v>2.50008034532535</v>
      </c>
      <c r="D117" s="301">
        <f>($L$16+SUM($K$16:K117))*C117</f>
        <v>75320.7955917377</v>
      </c>
      <c r="E117" s="298">
        <f t="shared" si="26"/>
        <v>1.84758881578542</v>
      </c>
      <c r="F117" s="302">
        <f>($L$16+SUM($K$16:K117))*E117</f>
        <v>55662.9549092529</v>
      </c>
      <c r="G117" s="298">
        <f t="shared" si="27"/>
        <v>1.58652642379821</v>
      </c>
      <c r="H117" s="301">
        <f>($L$16+SUM($K$16:K117))*G117</f>
        <v>47797.836854017</v>
      </c>
      <c r="I117" s="298">
        <f t="shared" si="28"/>
        <v>1.36132740448624</v>
      </c>
      <c r="J117" s="301">
        <f>($L$16+SUM($K$16:K117))*I117</f>
        <v>41013.1871795485</v>
      </c>
      <c r="K117" s="299">
        <v>0</v>
      </c>
      <c r="L117" s="307">
        <f t="shared" si="30"/>
        <v>23773.73</v>
      </c>
      <c r="M117" s="309">
        <f t="shared" si="31"/>
        <v>-0.00399600735770113</v>
      </c>
      <c r="N117" s="309">
        <f>O117/($L$16+SUM($K$16:K117))-1</f>
        <v>-0.214045377373051</v>
      </c>
      <c r="O117" s="310">
        <v>23678.73</v>
      </c>
      <c r="P117" s="87">
        <f t="shared" si="29"/>
        <v>0.36132740448624</v>
      </c>
      <c r="Q117" s="319"/>
      <c r="R117" s="309"/>
      <c r="S117" s="309"/>
      <c r="T117" s="317">
        <v>73</v>
      </c>
      <c r="U117" s="317">
        <v>7</v>
      </c>
    </row>
    <row r="118" spans="1:21">
      <c r="A118" s="117">
        <v>45737</v>
      </c>
      <c r="B118" s="297">
        <v>32</v>
      </c>
      <c r="C118" s="298">
        <f t="shared" si="25"/>
        <v>2.57508275568511</v>
      </c>
      <c r="D118" s="301">
        <f>($L$16+SUM($K$16:K118))*C118</f>
        <v>77580.4194594898</v>
      </c>
      <c r="E118" s="298">
        <f t="shared" si="26"/>
        <v>1.88454059210113</v>
      </c>
      <c r="F118" s="302">
        <f>($L$16+SUM($K$16:K118))*E118</f>
        <v>56776.214007438</v>
      </c>
      <c r="G118" s="298">
        <f t="shared" si="27"/>
        <v>1.61032432015519</v>
      </c>
      <c r="H118" s="301">
        <f>($L$16+SUM($K$16:K118))*G118</f>
        <v>48514.8044068275</v>
      </c>
      <c r="I118" s="298">
        <f t="shared" si="28"/>
        <v>1.3749406785311</v>
      </c>
      <c r="J118" s="301">
        <f>($L$16+SUM($K$16:K118))*I118</f>
        <v>41423.3190513439</v>
      </c>
      <c r="K118" s="299">
        <v>0</v>
      </c>
      <c r="L118" s="307">
        <f t="shared" si="30"/>
        <v>23678.73</v>
      </c>
      <c r="M118" s="309">
        <f t="shared" si="31"/>
        <v>-0.0142321822158536</v>
      </c>
      <c r="N118" s="309">
        <f>O118/($L$16+SUM($K$16:K118))-1</f>
        <v>-0.225231226775671</v>
      </c>
      <c r="O118" s="310">
        <v>23341.73</v>
      </c>
      <c r="P118" s="87">
        <f t="shared" si="29"/>
        <v>0.3749406785311</v>
      </c>
      <c r="Q118" s="319"/>
      <c r="R118" s="309"/>
      <c r="S118" s="309"/>
      <c r="T118" s="317">
        <v>56</v>
      </c>
      <c r="U118" s="317">
        <v>31</v>
      </c>
    </row>
    <row r="119" spans="1:21">
      <c r="A119" s="77">
        <v>45740</v>
      </c>
      <c r="B119" s="297">
        <v>33</v>
      </c>
      <c r="C119" s="298">
        <f t="shared" si="25"/>
        <v>2.65233523835567</v>
      </c>
      <c r="D119" s="301">
        <f>($L$16+SUM($K$16:K119))*C119</f>
        <v>79907.8320432747</v>
      </c>
      <c r="E119" s="298">
        <f t="shared" si="26"/>
        <v>1.92223140394315</v>
      </c>
      <c r="F119" s="302">
        <f>($L$16+SUM($K$16:K119))*E119</f>
        <v>57911.7382875867</v>
      </c>
      <c r="G119" s="298">
        <f t="shared" si="27"/>
        <v>1.63447918495751</v>
      </c>
      <c r="H119" s="301">
        <f>($L$16+SUM($K$16:K119))*G119</f>
        <v>49242.5264729296</v>
      </c>
      <c r="I119" s="298">
        <f t="shared" si="28"/>
        <v>1.38869008531641</v>
      </c>
      <c r="J119" s="301">
        <f>($L$16+SUM($K$16:K119))*I119</f>
        <v>41837.5522418573</v>
      </c>
      <c r="K119" s="299">
        <v>0</v>
      </c>
      <c r="L119" s="307">
        <f t="shared" si="30"/>
        <v>23341.73</v>
      </c>
      <c r="M119" s="309">
        <f t="shared" si="31"/>
        <v>-0.00351302152839571</v>
      </c>
      <c r="N119" s="309">
        <f>O119/($L$16+SUM($K$16:K119))-1</f>
        <v>-0.227953006155536</v>
      </c>
      <c r="O119" s="310">
        <v>23259.73</v>
      </c>
      <c r="P119" s="87">
        <f t="shared" si="29"/>
        <v>0.38869008531641</v>
      </c>
      <c r="Q119" s="316"/>
      <c r="R119" s="304"/>
      <c r="S119" s="304"/>
      <c r="T119" s="317">
        <v>54</v>
      </c>
      <c r="U119" s="317">
        <v>47</v>
      </c>
    </row>
    <row r="120" spans="1:21">
      <c r="A120" s="77">
        <v>45741</v>
      </c>
      <c r="B120" s="297">
        <v>34</v>
      </c>
      <c r="C120" s="298">
        <f t="shared" si="25"/>
        <v>2.73190529550634</v>
      </c>
      <c r="D120" s="301">
        <f>($L$16+SUM($K$16:K120))*C120</f>
        <v>82305.0670045729</v>
      </c>
      <c r="E120" s="298">
        <f t="shared" si="26"/>
        <v>1.96067603202202</v>
      </c>
      <c r="F120" s="302">
        <f>($L$16+SUM($K$16:K120))*E120</f>
        <v>59069.9730533386</v>
      </c>
      <c r="G120" s="298">
        <f t="shared" si="27"/>
        <v>1.65899637273188</v>
      </c>
      <c r="H120" s="301">
        <f>($L$16+SUM($K$16:K120))*G120</f>
        <v>49981.1643700238</v>
      </c>
      <c r="I120" s="298">
        <f t="shared" si="28"/>
        <v>1.40257698616957</v>
      </c>
      <c r="J120" s="301">
        <f>($L$16+SUM($K$16:K120))*I120</f>
        <v>42255.9277642758</v>
      </c>
      <c r="K120" s="299">
        <v>0</v>
      </c>
      <c r="L120" s="307">
        <f t="shared" si="30"/>
        <v>23259.73</v>
      </c>
      <c r="M120" s="309">
        <f t="shared" si="31"/>
        <v>-0.0798805489143683</v>
      </c>
      <c r="N120" s="309">
        <f>O120/($L$16+SUM($K$16:K120))-1</f>
        <v>-0.28962454381152</v>
      </c>
      <c r="O120" s="310">
        <v>21401.73</v>
      </c>
      <c r="P120" s="87">
        <f t="shared" si="29"/>
        <v>0.40257698616957</v>
      </c>
      <c r="Q120" s="316"/>
      <c r="R120" s="312"/>
      <c r="S120" s="312"/>
      <c r="T120" s="317">
        <v>57</v>
      </c>
      <c r="U120" s="317">
        <v>46</v>
      </c>
    </row>
    <row r="121" spans="1:21">
      <c r="A121" s="77">
        <v>45742</v>
      </c>
      <c r="B121" s="297">
        <v>35</v>
      </c>
      <c r="C121" s="298">
        <f t="shared" si="25"/>
        <v>2.81386245437153</v>
      </c>
      <c r="D121" s="301">
        <f>($L$16+SUM($K$16:K121))*C121</f>
        <v>84774.2190147101</v>
      </c>
      <c r="E121" s="298">
        <f t="shared" si="26"/>
        <v>1.99988955266246</v>
      </c>
      <c r="F121" s="302">
        <f>($L$16+SUM($K$16:K121))*E121</f>
        <v>60251.3725144054</v>
      </c>
      <c r="G121" s="298">
        <f t="shared" si="27"/>
        <v>1.68388131832286</v>
      </c>
      <c r="H121" s="301">
        <f>($L$16+SUM($K$16:K121))*G121</f>
        <v>50730.8818355742</v>
      </c>
      <c r="I121" s="298">
        <f t="shared" si="28"/>
        <v>1.41660275603127</v>
      </c>
      <c r="J121" s="301">
        <f>($L$16+SUM($K$16:K121))*I121</f>
        <v>42678.4870419187</v>
      </c>
      <c r="K121" s="299">
        <v>0</v>
      </c>
      <c r="L121" s="307">
        <f t="shared" si="30"/>
        <v>21401.73</v>
      </c>
      <c r="M121" s="309">
        <f t="shared" si="31"/>
        <v>-0.0189704290260647</v>
      </c>
      <c r="N121" s="309">
        <f>O121/($L$16+SUM($K$16:K121))-1</f>
        <v>-0.303100670985002</v>
      </c>
      <c r="O121" s="310">
        <v>20995.73</v>
      </c>
      <c r="P121" s="87">
        <f t="shared" si="29"/>
        <v>0.41660275603127</v>
      </c>
      <c r="Q121" s="316"/>
      <c r="R121" s="312"/>
      <c r="S121" s="312"/>
      <c r="T121" s="317">
        <v>90</v>
      </c>
      <c r="U121" s="317">
        <v>12</v>
      </c>
    </row>
    <row r="122" spans="1:21">
      <c r="A122" s="77">
        <v>45743</v>
      </c>
      <c r="B122" s="297">
        <v>36</v>
      </c>
      <c r="C122" s="298">
        <f t="shared" si="25"/>
        <v>2.89827832800267</v>
      </c>
      <c r="D122" s="301">
        <f>($L$16+SUM($K$16:K122))*C122</f>
        <v>87317.4455851512</v>
      </c>
      <c r="E122" s="298">
        <f t="shared" si="26"/>
        <v>2.03988734371571</v>
      </c>
      <c r="F122" s="302">
        <f>($L$16+SUM($K$16:K122))*E122</f>
        <v>61456.3999646935</v>
      </c>
      <c r="G122" s="298">
        <f t="shared" si="27"/>
        <v>1.7091395380977</v>
      </c>
      <c r="H122" s="301">
        <f>($L$16+SUM($K$16:K122))*G122</f>
        <v>51491.8450631077</v>
      </c>
      <c r="I122" s="298">
        <f t="shared" si="28"/>
        <v>1.43076878359158</v>
      </c>
      <c r="J122" s="301">
        <f>($L$16+SUM($K$16:K122))*I122</f>
        <v>43105.2719123378</v>
      </c>
      <c r="K122" s="299">
        <v>0</v>
      </c>
      <c r="L122" s="307">
        <f t="shared" si="30"/>
        <v>20995.73</v>
      </c>
      <c r="M122" s="309">
        <f t="shared" si="31"/>
        <v>-0.00966863262196647</v>
      </c>
      <c r="N122" s="309">
        <f>O122/($L$16+SUM($K$16:K122))-1</f>
        <v>-0.309838734571743</v>
      </c>
      <c r="O122" s="310">
        <v>20792.73</v>
      </c>
      <c r="P122" s="87">
        <f t="shared" si="29"/>
        <v>0.43076878359158</v>
      </c>
      <c r="Q122" s="316"/>
      <c r="R122" s="312"/>
      <c r="S122" s="312"/>
      <c r="T122" s="317">
        <v>55</v>
      </c>
      <c r="U122" s="317">
        <v>29</v>
      </c>
    </row>
    <row r="123" spans="1:21">
      <c r="A123" s="117">
        <v>45744</v>
      </c>
      <c r="B123" s="297">
        <v>37</v>
      </c>
      <c r="C123" s="298">
        <f t="shared" si="25"/>
        <v>2.98522667784275</v>
      </c>
      <c r="D123" s="301">
        <f>($L$16+SUM($K$16:K123))*C123</f>
        <v>89936.9689527058</v>
      </c>
      <c r="E123" s="298">
        <f t="shared" si="26"/>
        <v>2.08068509059002</v>
      </c>
      <c r="F123" s="302">
        <f>($L$16+SUM($K$16:K123))*E123</f>
        <v>62685.5279639872</v>
      </c>
      <c r="G123" s="298">
        <f t="shared" si="27"/>
        <v>1.73477663116916</v>
      </c>
      <c r="H123" s="301">
        <f>($L$16+SUM($K$16:K123))*G123</f>
        <v>52264.2227390542</v>
      </c>
      <c r="I123" s="298">
        <f t="shared" si="28"/>
        <v>1.4450764714275</v>
      </c>
      <c r="J123" s="301">
        <f>($L$16+SUM($K$16:K123))*I123</f>
        <v>43536.3246314613</v>
      </c>
      <c r="K123" s="299">
        <v>0</v>
      </c>
      <c r="L123" s="307">
        <f t="shared" si="30"/>
        <v>20792.73</v>
      </c>
      <c r="M123" s="309">
        <f t="shared" si="31"/>
        <v>-0.0359741121055292</v>
      </c>
      <c r="N123" s="309">
        <f>O123/($L$16+SUM($K$16:K123))-1</f>
        <v>-0.334666673305153</v>
      </c>
      <c r="O123" s="310">
        <v>20044.73</v>
      </c>
      <c r="P123" s="87">
        <f t="shared" si="29"/>
        <v>0.4450764714275</v>
      </c>
      <c r="Q123" s="316"/>
      <c r="R123" s="312"/>
      <c r="S123" s="312"/>
      <c r="T123" s="317">
        <v>35</v>
      </c>
      <c r="U123" s="317">
        <v>33</v>
      </c>
    </row>
    <row r="124" spans="1:21">
      <c r="A124" s="77">
        <v>45747</v>
      </c>
      <c r="B124" s="297">
        <v>38</v>
      </c>
      <c r="C124" s="298">
        <f t="shared" ref="C124:C136" si="32">POWER($C$87,B124)</f>
        <v>3.07478347817804</v>
      </c>
      <c r="D124" s="301">
        <f>($L$16+SUM($K$16:K124))*C124</f>
        <v>92635.0780212872</v>
      </c>
      <c r="E124" s="298">
        <f t="shared" ref="E124:E136" si="33">POWER($E$87,B124)</f>
        <v>2.12229879240182</v>
      </c>
      <c r="F124" s="302">
        <f>($L$16+SUM($K$16:K124))*E124</f>
        <v>63939.238523267</v>
      </c>
      <c r="G124" s="298">
        <f t="shared" ref="G124:G136" si="34">POWER($G$87,B124)</f>
        <v>1.7607982806367</v>
      </c>
      <c r="H124" s="301">
        <f>($L$16+SUM($K$16:K124))*G124</f>
        <v>53048.1860801401</v>
      </c>
      <c r="I124" s="298">
        <f t="shared" ref="I124:I136" si="35">POWER($I$87,B124)</f>
        <v>1.45952723614177</v>
      </c>
      <c r="J124" s="301">
        <f>($L$16+SUM($K$16:K124))*I124</f>
        <v>43971.6878777758</v>
      </c>
      <c r="K124" s="299">
        <v>0</v>
      </c>
      <c r="L124" s="307">
        <f t="shared" si="30"/>
        <v>20044.73</v>
      </c>
      <c r="M124" s="309">
        <f t="shared" si="31"/>
        <v>-0.0104765691530891</v>
      </c>
      <c r="N124" s="309">
        <f>O124/($L$16+SUM($K$16:K124))-1</f>
        <v>-0.341637083912126</v>
      </c>
      <c r="O124" s="310">
        <v>19834.73</v>
      </c>
      <c r="P124" s="87">
        <f t="shared" si="29"/>
        <v>0.45952723614177</v>
      </c>
      <c r="Q124" s="316"/>
      <c r="R124" s="312"/>
      <c r="S124" s="312"/>
      <c r="T124" s="317">
        <v>41</v>
      </c>
      <c r="U124" s="317">
        <v>43</v>
      </c>
    </row>
    <row r="125" spans="1:21">
      <c r="A125" s="77">
        <v>45748</v>
      </c>
      <c r="B125" s="297">
        <v>39</v>
      </c>
      <c r="C125" s="298">
        <f t="shared" si="32"/>
        <v>3.16702698252338</v>
      </c>
      <c r="D125" s="301">
        <f>($L$16+SUM($K$16:K125))*C125</f>
        <v>95414.1303619257</v>
      </c>
      <c r="E125" s="298">
        <f t="shared" si="33"/>
        <v>2.16474476824986</v>
      </c>
      <c r="F125" s="302">
        <f>($L$16+SUM($K$16:K125))*E125</f>
        <v>65218.0232937324</v>
      </c>
      <c r="G125" s="298">
        <f t="shared" si="34"/>
        <v>1.78721025484625</v>
      </c>
      <c r="H125" s="301">
        <f>($L$16+SUM($K$16:K125))*G125</f>
        <v>53843.9088713422</v>
      </c>
      <c r="I125" s="298">
        <f t="shared" si="35"/>
        <v>1.47412250850319</v>
      </c>
      <c r="J125" s="301">
        <f>($L$16+SUM($K$16:K125))*I125</f>
        <v>44411.4047565536</v>
      </c>
      <c r="K125" s="299">
        <v>0</v>
      </c>
      <c r="L125" s="299"/>
      <c r="M125" s="87"/>
      <c r="N125" s="87"/>
      <c r="O125" s="303"/>
      <c r="P125" s="87">
        <f t="shared" si="29"/>
        <v>0.47412250850319</v>
      </c>
      <c r="Q125" s="316"/>
      <c r="R125" s="312"/>
      <c r="S125" s="312"/>
      <c r="T125" s="317">
        <v>65</v>
      </c>
      <c r="U125" s="317">
        <v>19</v>
      </c>
    </row>
    <row r="126" spans="1:21">
      <c r="A126" s="77">
        <v>45749</v>
      </c>
      <c r="B126" s="297">
        <v>40</v>
      </c>
      <c r="C126" s="298">
        <f t="shared" si="32"/>
        <v>3.26203779199908</v>
      </c>
      <c r="D126" s="301">
        <f>($L$16+SUM($K$16:K126))*C126</f>
        <v>98276.5542727835</v>
      </c>
      <c r="E126" s="298">
        <f t="shared" si="33"/>
        <v>2.20803966361485</v>
      </c>
      <c r="F126" s="302">
        <f>($L$16+SUM($K$16:K126))*E126</f>
        <v>66522.3837596068</v>
      </c>
      <c r="G126" s="298">
        <f t="shared" si="34"/>
        <v>1.81401840866894</v>
      </c>
      <c r="H126" s="301">
        <f>($L$16+SUM($K$16:K126))*G126</f>
        <v>54651.5675044122</v>
      </c>
      <c r="I126" s="298">
        <f t="shared" si="35"/>
        <v>1.48886373358822</v>
      </c>
      <c r="J126" s="301">
        <f>($L$16+SUM($K$16:K126))*I126</f>
        <v>44855.5188041191</v>
      </c>
      <c r="K126" s="299">
        <v>0</v>
      </c>
      <c r="L126" s="299"/>
      <c r="M126" s="87"/>
      <c r="N126" s="87"/>
      <c r="O126" s="303"/>
      <c r="P126" s="87">
        <f t="shared" si="29"/>
        <v>0.48886373358822</v>
      </c>
      <c r="Q126" s="316"/>
      <c r="R126" s="312"/>
      <c r="S126" s="312"/>
      <c r="T126" s="317">
        <v>48</v>
      </c>
      <c r="U126" s="317">
        <v>19</v>
      </c>
    </row>
    <row r="127" spans="1:21">
      <c r="A127" s="117">
        <v>45750</v>
      </c>
      <c r="B127" s="297">
        <v>41</v>
      </c>
      <c r="C127" s="298">
        <f t="shared" si="32"/>
        <v>3.35989892575905</v>
      </c>
      <c r="D127" s="301">
        <f>($L$16+SUM($K$16:K127))*C127</f>
        <v>101224.850900967</v>
      </c>
      <c r="E127" s="298">
        <f t="shared" si="33"/>
        <v>2.25220045688715</v>
      </c>
      <c r="F127" s="302">
        <f>($L$16+SUM($K$16:K127))*E127</f>
        <v>67852.8314347991</v>
      </c>
      <c r="G127" s="298">
        <f t="shared" si="34"/>
        <v>1.84122868479898</v>
      </c>
      <c r="H127" s="301">
        <f>($L$16+SUM($K$16:K127))*G127</f>
        <v>55471.3410169785</v>
      </c>
      <c r="I127" s="298">
        <f t="shared" si="35"/>
        <v>1.5037523709241</v>
      </c>
      <c r="J127" s="301">
        <f>($L$16+SUM($K$16:K127))*I127</f>
        <v>45304.0739921602</v>
      </c>
      <c r="K127" s="299">
        <v>0</v>
      </c>
      <c r="L127" s="299"/>
      <c r="M127" s="87"/>
      <c r="N127" s="87"/>
      <c r="O127" s="303"/>
      <c r="P127" s="87">
        <f t="shared" si="29"/>
        <v>0.5037523709241</v>
      </c>
      <c r="Q127" s="316"/>
      <c r="R127" s="312"/>
      <c r="S127" s="312"/>
      <c r="T127" s="317">
        <v>59</v>
      </c>
      <c r="U127" s="317">
        <v>30</v>
      </c>
    </row>
    <row r="128" spans="1:21">
      <c r="A128" s="77">
        <v>45754</v>
      </c>
      <c r="B128" s="297">
        <v>42</v>
      </c>
      <c r="C128" s="298">
        <f t="shared" si="32"/>
        <v>3.46069589353182</v>
      </c>
      <c r="D128" s="301">
        <f>($L$16+SUM($K$16:K128))*C128</f>
        <v>104261.596427996</v>
      </c>
      <c r="E128" s="298">
        <f t="shared" si="33"/>
        <v>2.29724446602489</v>
      </c>
      <c r="F128" s="302">
        <f>($L$16+SUM($K$16:K128))*E128</f>
        <v>69209.888063495</v>
      </c>
      <c r="G128" s="298">
        <f t="shared" si="34"/>
        <v>1.86884711507096</v>
      </c>
      <c r="H128" s="301">
        <f>($L$16+SUM($K$16:K128))*G128</f>
        <v>56303.4111322331</v>
      </c>
      <c r="I128" s="298">
        <f t="shared" si="35"/>
        <v>1.51878989463334</v>
      </c>
      <c r="J128" s="301">
        <f>($L$16+SUM($K$16:K128))*I128</f>
        <v>45757.1147320818</v>
      </c>
      <c r="K128" s="299">
        <v>0</v>
      </c>
      <c r="L128" s="299"/>
      <c r="M128" s="87"/>
      <c r="N128" s="87"/>
      <c r="O128" s="303"/>
      <c r="P128" s="87">
        <f t="shared" si="29"/>
        <v>0.51878989463334</v>
      </c>
      <c r="Q128" s="316"/>
      <c r="R128" s="312"/>
      <c r="S128" s="312"/>
      <c r="T128" s="317">
        <v>25</v>
      </c>
      <c r="U128" s="317">
        <v>2902</v>
      </c>
    </row>
    <row r="129" spans="1:21">
      <c r="A129" s="77">
        <v>45755</v>
      </c>
      <c r="B129" s="297">
        <v>43</v>
      </c>
      <c r="C129" s="298">
        <f t="shared" si="32"/>
        <v>3.56451677033778</v>
      </c>
      <c r="D129" s="301">
        <f>($L$16+SUM($K$16:K129))*C129</f>
        <v>107389.444320836</v>
      </c>
      <c r="E129" s="298">
        <f t="shared" si="33"/>
        <v>2.34318935534539</v>
      </c>
      <c r="F129" s="302">
        <f>($L$16+SUM($K$16:K129))*E129</f>
        <v>70594.0858247649</v>
      </c>
      <c r="G129" s="298">
        <f t="shared" si="34"/>
        <v>1.89687982179703</v>
      </c>
      <c r="H129" s="301">
        <f>($L$16+SUM($K$16:K129))*G129</f>
        <v>57147.9622992167</v>
      </c>
      <c r="I129" s="298">
        <f t="shared" si="35"/>
        <v>1.53397779357968</v>
      </c>
      <c r="J129" s="301">
        <f>($L$16+SUM($K$16:K129))*I129</f>
        <v>46214.6858794028</v>
      </c>
      <c r="K129" s="299">
        <v>0</v>
      </c>
      <c r="L129" s="299"/>
      <c r="M129" s="87"/>
      <c r="N129" s="87"/>
      <c r="O129" s="303"/>
      <c r="P129" s="87">
        <f t="shared" si="29"/>
        <v>0.53397779357968</v>
      </c>
      <c r="Q129" s="316"/>
      <c r="R129" s="312"/>
      <c r="S129" s="312"/>
      <c r="T129" s="317">
        <v>127</v>
      </c>
      <c r="U129" s="317">
        <v>168</v>
      </c>
    </row>
    <row r="130" spans="1:21">
      <c r="A130" s="77">
        <v>45756</v>
      </c>
      <c r="B130" s="297">
        <v>44</v>
      </c>
      <c r="C130" s="298">
        <f t="shared" si="32"/>
        <v>3.67145227344791</v>
      </c>
      <c r="D130" s="301">
        <f>($L$16+SUM($K$16:K130))*C130</f>
        <v>110611.127650461</v>
      </c>
      <c r="E130" s="298">
        <f t="shared" si="33"/>
        <v>2.3900531424523</v>
      </c>
      <c r="F130" s="302">
        <f>($L$16+SUM($K$16:K130))*E130</f>
        <v>72005.9675412603</v>
      </c>
      <c r="G130" s="298">
        <f t="shared" si="34"/>
        <v>1.92533301912398</v>
      </c>
      <c r="H130" s="301">
        <f>($L$16+SUM($K$16:K130))*G130</f>
        <v>58005.1817337048</v>
      </c>
      <c r="I130" s="298">
        <f t="shared" si="35"/>
        <v>1.54931757151547</v>
      </c>
      <c r="J130" s="301">
        <f>($L$16+SUM($K$16:K130))*I130</f>
        <v>46676.8327381966</v>
      </c>
      <c r="K130" s="299">
        <v>0</v>
      </c>
      <c r="L130" s="299"/>
      <c r="M130" s="87"/>
      <c r="N130" s="87"/>
      <c r="O130" s="303"/>
      <c r="P130" s="87">
        <f t="shared" si="29"/>
        <v>0.54931757151547</v>
      </c>
      <c r="Q130" s="316"/>
      <c r="R130" s="312"/>
      <c r="S130" s="312"/>
      <c r="T130" s="317">
        <v>128</v>
      </c>
      <c r="U130" s="317">
        <v>13</v>
      </c>
    </row>
    <row r="131" spans="1:21">
      <c r="A131" s="77">
        <v>45757</v>
      </c>
      <c r="B131" s="297">
        <v>45</v>
      </c>
      <c r="C131" s="298">
        <f t="shared" si="32"/>
        <v>3.78159584165135</v>
      </c>
      <c r="D131" s="301">
        <f>($L$16+SUM($K$16:K131))*C131</f>
        <v>113929.461479975</v>
      </c>
      <c r="E131" s="298">
        <f t="shared" si="33"/>
        <v>2.43785420530135</v>
      </c>
      <c r="F131" s="302">
        <f>($L$16+SUM($K$16:K131))*E131</f>
        <v>73446.0868920856</v>
      </c>
      <c r="G131" s="298">
        <f t="shared" si="34"/>
        <v>1.95421301441084</v>
      </c>
      <c r="H131" s="301">
        <f>($L$16+SUM($K$16:K131))*G131</f>
        <v>58875.2594597104</v>
      </c>
      <c r="I131" s="298">
        <f t="shared" si="35"/>
        <v>1.56481074723063</v>
      </c>
      <c r="J131" s="301">
        <f>($L$16+SUM($K$16:K131))*I131</f>
        <v>47143.6010655787</v>
      </c>
      <c r="K131" s="299">
        <v>0</v>
      </c>
      <c r="L131" s="299"/>
      <c r="M131" s="87"/>
      <c r="N131" s="87"/>
      <c r="O131" s="303"/>
      <c r="P131" s="87">
        <f t="shared" si="29"/>
        <v>0.56481074723063</v>
      </c>
      <c r="Q131" s="316"/>
      <c r="R131" s="312"/>
      <c r="S131" s="312"/>
      <c r="T131" s="317">
        <v>174</v>
      </c>
      <c r="U131" s="317">
        <v>2</v>
      </c>
    </row>
    <row r="132" spans="1:21">
      <c r="A132" s="117">
        <v>45758</v>
      </c>
      <c r="B132" s="297">
        <v>46</v>
      </c>
      <c r="C132" s="298">
        <f t="shared" si="32"/>
        <v>3.89504371690089</v>
      </c>
      <c r="D132" s="301">
        <f>($L$16+SUM($K$16:K132))*C132</f>
        <v>117347.345324374</v>
      </c>
      <c r="E132" s="298">
        <f t="shared" si="33"/>
        <v>2.48661128940737</v>
      </c>
      <c r="F132" s="302">
        <f>($L$16+SUM($K$16:K132))*E132</f>
        <v>74915.0086299271</v>
      </c>
      <c r="G132" s="298">
        <f t="shared" si="34"/>
        <v>1.983526209627</v>
      </c>
      <c r="H132" s="301">
        <f>($L$16+SUM($K$16:K132))*G132</f>
        <v>59758.388351606</v>
      </c>
      <c r="I132" s="298">
        <f t="shared" si="35"/>
        <v>1.58045885470294</v>
      </c>
      <c r="J132" s="301">
        <f>($L$16+SUM($K$16:K132))*I132</f>
        <v>47615.0370762346</v>
      </c>
      <c r="K132" s="299">
        <v>0</v>
      </c>
      <c r="L132" s="299"/>
      <c r="M132" s="87"/>
      <c r="N132" s="87"/>
      <c r="O132" s="303"/>
      <c r="P132" s="87">
        <f t="shared" si="29"/>
        <v>0.58045885470294</v>
      </c>
      <c r="Q132" s="316"/>
      <c r="R132" s="312"/>
      <c r="S132" s="312"/>
      <c r="T132" s="317">
        <v>104</v>
      </c>
      <c r="U132" s="317">
        <v>11</v>
      </c>
    </row>
    <row r="133" spans="1:21">
      <c r="A133" s="77">
        <v>45761</v>
      </c>
      <c r="B133" s="297">
        <v>47</v>
      </c>
      <c r="C133" s="298">
        <f t="shared" si="32"/>
        <v>4.01189502840791</v>
      </c>
      <c r="D133" s="301">
        <f>($L$16+SUM($K$16:K133))*C133</f>
        <v>120867.765684105</v>
      </c>
      <c r="E133" s="298">
        <f t="shared" si="33"/>
        <v>2.53634351519552</v>
      </c>
      <c r="F133" s="302">
        <f>($L$16+SUM($K$16:K133))*E133</f>
        <v>76413.3088025257</v>
      </c>
      <c r="G133" s="298">
        <f t="shared" si="34"/>
        <v>2.01327910277141</v>
      </c>
      <c r="H133" s="301">
        <f>($L$16+SUM($K$16:K133))*G133</f>
        <v>60654.7641768802</v>
      </c>
      <c r="I133" s="298">
        <f t="shared" si="35"/>
        <v>1.59626344324997</v>
      </c>
      <c r="J133" s="301">
        <f>($L$16+SUM($K$16:K133))*I133</f>
        <v>48091.187446997</v>
      </c>
      <c r="K133" s="299">
        <v>0</v>
      </c>
      <c r="L133" s="299"/>
      <c r="M133" s="87"/>
      <c r="N133" s="87"/>
      <c r="O133" s="303"/>
      <c r="P133" s="87">
        <f t="shared" si="29"/>
        <v>0.59626344324997</v>
      </c>
      <c r="Q133" s="316"/>
      <c r="R133" s="312"/>
      <c r="S133" s="312"/>
      <c r="T133" s="317">
        <v>129</v>
      </c>
      <c r="U133" s="317">
        <v>4</v>
      </c>
    </row>
    <row r="134" spans="1:21">
      <c r="A134" s="77">
        <v>45762</v>
      </c>
      <c r="B134" s="297">
        <v>48</v>
      </c>
      <c r="C134" s="298">
        <f t="shared" si="32"/>
        <v>4.13225187926015</v>
      </c>
      <c r="D134" s="301">
        <f>($L$16+SUM($K$16:K134))*C134</f>
        <v>124493.798654628</v>
      </c>
      <c r="E134" s="298">
        <f t="shared" si="33"/>
        <v>2.58707038549943</v>
      </c>
      <c r="F134" s="302">
        <f>($L$16+SUM($K$16:K134))*E134</f>
        <v>77941.5749785762</v>
      </c>
      <c r="G134" s="298">
        <f t="shared" si="34"/>
        <v>2.04347828931298</v>
      </c>
      <c r="H134" s="301">
        <f>($L$16+SUM($K$16:K134))*G134</f>
        <v>61564.5856395334</v>
      </c>
      <c r="I134" s="298">
        <f t="shared" si="35"/>
        <v>1.61222607768247</v>
      </c>
      <c r="J134" s="301">
        <f>($L$16+SUM($K$16:K134))*I134</f>
        <v>48572.099321467</v>
      </c>
      <c r="K134" s="299">
        <v>0</v>
      </c>
      <c r="L134" s="299"/>
      <c r="M134" s="87"/>
      <c r="N134" s="87"/>
      <c r="O134" s="303"/>
      <c r="P134" s="87">
        <f t="shared" si="29"/>
        <v>0.61222607768247</v>
      </c>
      <c r="Q134" s="316"/>
      <c r="R134" s="312"/>
      <c r="S134" s="312"/>
      <c r="T134" s="317">
        <v>81</v>
      </c>
      <c r="U134" s="317">
        <v>11</v>
      </c>
    </row>
    <row r="135" spans="1:21">
      <c r="A135" s="77">
        <v>45763</v>
      </c>
      <c r="B135" s="297">
        <v>49</v>
      </c>
      <c r="C135" s="298">
        <f t="shared" si="32"/>
        <v>4.25621943563796</v>
      </c>
      <c r="D135" s="301">
        <f>($L$16+SUM($K$16:K135))*C135</f>
        <v>128228.612614267</v>
      </c>
      <c r="E135" s="298">
        <f t="shared" si="33"/>
        <v>2.63881179320942</v>
      </c>
      <c r="F135" s="302">
        <f>($L$16+SUM($K$16:K135))*E135</f>
        <v>79500.4064781478</v>
      </c>
      <c r="G135" s="298">
        <f t="shared" si="34"/>
        <v>2.07413046365267</v>
      </c>
      <c r="H135" s="301">
        <f>($L$16+SUM($K$16:K135))*G135</f>
        <v>62488.0544241263</v>
      </c>
      <c r="I135" s="298">
        <f t="shared" si="35"/>
        <v>1.62834833845929</v>
      </c>
      <c r="J135" s="301">
        <f>($L$16+SUM($K$16:K135))*I135</f>
        <v>49057.8203146815</v>
      </c>
      <c r="K135" s="299">
        <v>0</v>
      </c>
      <c r="L135" s="299"/>
      <c r="M135" s="87"/>
      <c r="N135" s="87"/>
      <c r="O135" s="303"/>
      <c r="P135" s="87">
        <f t="shared" si="29"/>
        <v>0.62834833845929</v>
      </c>
      <c r="Q135" s="316"/>
      <c r="R135" s="312"/>
      <c r="S135" s="312"/>
      <c r="T135" s="317">
        <v>54</v>
      </c>
      <c r="U135" s="317">
        <v>14</v>
      </c>
    </row>
    <row r="136" spans="1:21">
      <c r="A136" s="77">
        <v>45764</v>
      </c>
      <c r="B136" s="297">
        <v>50</v>
      </c>
      <c r="C136" s="298">
        <f t="shared" si="32"/>
        <v>4.3839060187071</v>
      </c>
      <c r="D136" s="301">
        <f>($L$16+SUM($K$16:K136))*C136</f>
        <v>132075.470992695</v>
      </c>
      <c r="E136" s="298">
        <f t="shared" si="33"/>
        <v>2.69158802907361</v>
      </c>
      <c r="F136" s="302">
        <f>($L$16+SUM($K$16:K136))*E136</f>
        <v>81090.4146077108</v>
      </c>
      <c r="G136" s="298">
        <f t="shared" si="34"/>
        <v>2.10524242060746</v>
      </c>
      <c r="H136" s="301">
        <f>($L$16+SUM($K$16:K136))*G136</f>
        <v>63425.3752404882</v>
      </c>
      <c r="I136" s="298">
        <f t="shared" si="35"/>
        <v>1.64463182184388</v>
      </c>
      <c r="J136" s="301">
        <f>($L$16+SUM($K$16:K136))*I136</f>
        <v>49548.3985178282</v>
      </c>
      <c r="K136" s="299">
        <v>0</v>
      </c>
      <c r="L136" s="299"/>
      <c r="M136" s="87"/>
      <c r="N136" s="87"/>
      <c r="O136" s="303"/>
      <c r="P136" s="87">
        <f t="shared" ref="P136:P167" si="36">I136-1</f>
        <v>0.64463182184388</v>
      </c>
      <c r="Q136" s="316"/>
      <c r="R136" s="312"/>
      <c r="S136" s="312"/>
      <c r="T136" s="317">
        <v>99</v>
      </c>
      <c r="U136" s="317">
        <v>12</v>
      </c>
    </row>
    <row r="137" spans="1:21">
      <c r="A137" s="117">
        <v>45765</v>
      </c>
      <c r="B137" s="297">
        <v>51</v>
      </c>
      <c r="C137" s="298">
        <f t="shared" ref="C137:C147" si="37">POWER($C$87,B137)</f>
        <v>4.51542319926831</v>
      </c>
      <c r="D137" s="301">
        <f>($L$16+SUM($K$16:K137))*C137</f>
        <v>136037.735122476</v>
      </c>
      <c r="E137" s="298">
        <f t="shared" ref="E137:E147" si="38">POWER($E$87,B137)</f>
        <v>2.74541978965508</v>
      </c>
      <c r="F137" s="302">
        <f>($L$16+SUM($K$16:K137))*E137</f>
        <v>82712.222899865</v>
      </c>
      <c r="G137" s="298">
        <f t="shared" ref="G137:G147" si="39">POWER($G$87,B137)</f>
        <v>2.13682105691658</v>
      </c>
      <c r="H137" s="301">
        <f>($L$16+SUM($K$16:K137))*G137</f>
        <v>64376.7558690957</v>
      </c>
      <c r="I137" s="298">
        <f t="shared" ref="I137:I147" si="40">POWER($I$87,B137)</f>
        <v>1.66107814006232</v>
      </c>
      <c r="J137" s="301">
        <f>($L$16+SUM($K$16:K137))*I137</f>
        <v>50043.8825030065</v>
      </c>
      <c r="K137" s="299">
        <v>0</v>
      </c>
      <c r="L137" s="299"/>
      <c r="M137" s="87"/>
      <c r="N137" s="87"/>
      <c r="O137" s="303"/>
      <c r="P137" s="87">
        <f t="shared" si="36"/>
        <v>0.66107814006232</v>
      </c>
      <c r="Q137" s="316"/>
      <c r="R137" s="312"/>
      <c r="S137" s="312"/>
      <c r="T137" s="317">
        <v>67</v>
      </c>
      <c r="U137" s="317">
        <v>20</v>
      </c>
    </row>
    <row r="138" spans="1:21">
      <c r="A138" s="77">
        <v>45768</v>
      </c>
      <c r="B138" s="297">
        <v>52</v>
      </c>
      <c r="C138" s="298">
        <f t="shared" si="37"/>
        <v>4.65088589524636</v>
      </c>
      <c r="D138" s="301">
        <f>($L$16+SUM($K$16:K138))*C138</f>
        <v>140118.86717615</v>
      </c>
      <c r="E138" s="298">
        <f t="shared" si="38"/>
        <v>2.80032818544818</v>
      </c>
      <c r="F138" s="302">
        <f>($L$16+SUM($K$16:K138))*E138</f>
        <v>84366.4673578622</v>
      </c>
      <c r="G138" s="298">
        <f t="shared" si="39"/>
        <v>2.16887337277032</v>
      </c>
      <c r="H138" s="301">
        <f>($L$16+SUM($K$16:K138))*G138</f>
        <v>65342.4072071319</v>
      </c>
      <c r="I138" s="298">
        <f t="shared" si="40"/>
        <v>1.67768892146294</v>
      </c>
      <c r="J138" s="301">
        <f>($L$16+SUM($K$16:K138))*I138</f>
        <v>50544.3213280365</v>
      </c>
      <c r="K138" s="299">
        <v>0</v>
      </c>
      <c r="L138" s="299"/>
      <c r="M138" s="87"/>
      <c r="N138" s="87"/>
      <c r="O138" s="303"/>
      <c r="P138" s="87">
        <f t="shared" si="36"/>
        <v>0.67768892146294</v>
      </c>
      <c r="Q138" s="316"/>
      <c r="R138" s="312"/>
      <c r="S138" s="312"/>
      <c r="T138" s="317">
        <v>114</v>
      </c>
      <c r="U138" s="317">
        <v>23</v>
      </c>
    </row>
    <row r="139" spans="1:21">
      <c r="A139" s="77">
        <v>45769</v>
      </c>
      <c r="B139" s="297">
        <v>53</v>
      </c>
      <c r="C139" s="298">
        <f t="shared" si="37"/>
        <v>4.79041247210375</v>
      </c>
      <c r="D139" s="301">
        <f>($L$16+SUM($K$16:K139))*C139</f>
        <v>144322.433191435</v>
      </c>
      <c r="E139" s="298">
        <f t="shared" si="38"/>
        <v>2.85633474915714</v>
      </c>
      <c r="F139" s="302">
        <f>($L$16+SUM($K$16:K139))*E139</f>
        <v>86053.7967050194</v>
      </c>
      <c r="G139" s="298">
        <f t="shared" si="39"/>
        <v>2.20140647336188</v>
      </c>
      <c r="H139" s="301">
        <f>($L$16+SUM($K$16:K139))*G139</f>
        <v>66322.543315239</v>
      </c>
      <c r="I139" s="298">
        <f t="shared" si="40"/>
        <v>1.69446581067757</v>
      </c>
      <c r="J139" s="301">
        <f>($L$16+SUM($K$16:K139))*I139</f>
        <v>51049.7645413169</v>
      </c>
      <c r="K139" s="299">
        <v>0</v>
      </c>
      <c r="L139" s="299"/>
      <c r="M139" s="87"/>
      <c r="N139" s="87"/>
      <c r="O139" s="303"/>
      <c r="P139" s="87">
        <f t="shared" si="36"/>
        <v>0.69446581067757</v>
      </c>
      <c r="Q139" s="316"/>
      <c r="R139" s="312"/>
      <c r="S139" s="312"/>
      <c r="T139" s="317">
        <v>93</v>
      </c>
      <c r="U139" s="317">
        <v>24</v>
      </c>
    </row>
    <row r="140" spans="1:21">
      <c r="A140" s="77">
        <v>45770</v>
      </c>
      <c r="B140" s="297">
        <v>54</v>
      </c>
      <c r="C140" s="298">
        <f t="shared" si="37"/>
        <v>4.93412484626686</v>
      </c>
      <c r="D140" s="301">
        <f>($L$16+SUM($K$16:K140))*C140</f>
        <v>148652.106187178</v>
      </c>
      <c r="E140" s="298">
        <f t="shared" si="38"/>
        <v>2.91346144414029</v>
      </c>
      <c r="F140" s="302">
        <f>($L$16+SUM($K$16:K140))*E140</f>
        <v>87774.87263912</v>
      </c>
      <c r="G140" s="298">
        <f t="shared" si="39"/>
        <v>2.23442757046231</v>
      </c>
      <c r="H140" s="301">
        <f>($L$16+SUM($K$16:K140))*G140</f>
        <v>67317.3814649677</v>
      </c>
      <c r="I140" s="298">
        <f t="shared" si="40"/>
        <v>1.71141046878435</v>
      </c>
      <c r="J140" s="301">
        <f>($L$16+SUM($K$16:K140))*I140</f>
        <v>51560.2621867302</v>
      </c>
      <c r="K140" s="299">
        <v>0</v>
      </c>
      <c r="L140" s="299"/>
      <c r="M140" s="87"/>
      <c r="N140" s="87"/>
      <c r="O140" s="303"/>
      <c r="P140" s="87">
        <f t="shared" si="36"/>
        <v>0.71141046878435</v>
      </c>
      <c r="Q140" s="316"/>
      <c r="R140" s="312"/>
      <c r="S140" s="312"/>
      <c r="T140" s="317">
        <v>72</v>
      </c>
      <c r="U140" s="317">
        <v>34</v>
      </c>
    </row>
    <row r="141" spans="1:21">
      <c r="A141" s="77">
        <v>45771</v>
      </c>
      <c r="B141" s="297">
        <v>55</v>
      </c>
      <c r="C141" s="298">
        <f t="shared" si="37"/>
        <v>5.08214859165487</v>
      </c>
      <c r="D141" s="301">
        <f>($L$16+SUM($K$16:K141))*C141</f>
        <v>153111.669372793</v>
      </c>
      <c r="E141" s="298">
        <f t="shared" si="38"/>
        <v>2.97173067302309</v>
      </c>
      <c r="F141" s="302">
        <f>($L$16+SUM($K$16:K141))*E141</f>
        <v>89530.3700919022</v>
      </c>
      <c r="G141" s="298">
        <f t="shared" si="39"/>
        <v>2.26794398401924</v>
      </c>
      <c r="H141" s="301">
        <f>($L$16+SUM($K$16:K141))*G141</f>
        <v>68327.142186942</v>
      </c>
      <c r="I141" s="298">
        <f t="shared" si="40"/>
        <v>1.72852457347219</v>
      </c>
      <c r="J141" s="301">
        <f>($L$16+SUM($K$16:K141))*I141</f>
        <v>52075.8648085974</v>
      </c>
      <c r="K141" s="299">
        <v>0</v>
      </c>
      <c r="L141" s="299"/>
      <c r="M141" s="87"/>
      <c r="N141" s="87"/>
      <c r="O141" s="303"/>
      <c r="P141" s="87">
        <f t="shared" si="36"/>
        <v>0.72852457347219</v>
      </c>
      <c r="Q141" s="316"/>
      <c r="R141" s="312"/>
      <c r="S141" s="312"/>
      <c r="T141" s="317">
        <v>64</v>
      </c>
      <c r="U141" s="317">
        <v>35</v>
      </c>
    </row>
    <row r="142" spans="1:21">
      <c r="A142" s="117">
        <v>45772</v>
      </c>
      <c r="B142" s="297">
        <v>56</v>
      </c>
      <c r="C142" s="298">
        <f t="shared" si="37"/>
        <v>5.23461304940451</v>
      </c>
      <c r="D142" s="301">
        <f>($L$16+SUM($K$16:K142))*C142</f>
        <v>157705.019453977</v>
      </c>
      <c r="E142" s="298">
        <f t="shared" si="38"/>
        <v>3.03116528648356</v>
      </c>
      <c r="F142" s="302">
        <f>($L$16+SUM($K$16:K142))*E142</f>
        <v>91320.9774937405</v>
      </c>
      <c r="G142" s="298">
        <f t="shared" si="39"/>
        <v>2.30196314377953</v>
      </c>
      <c r="H142" s="301">
        <f>($L$16+SUM($K$16:K142))*G142</f>
        <v>69352.0493197462</v>
      </c>
      <c r="I142" s="298">
        <f t="shared" si="40"/>
        <v>1.74580981920692</v>
      </c>
      <c r="J142" s="301">
        <f>($L$16+SUM($K$16:K142))*I142</f>
        <v>52596.6234566836</v>
      </c>
      <c r="K142" s="299">
        <v>0</v>
      </c>
      <c r="L142" s="299"/>
      <c r="M142" s="87"/>
      <c r="N142" s="87"/>
      <c r="O142" s="303"/>
      <c r="P142" s="87">
        <f t="shared" si="36"/>
        <v>0.74580981920692</v>
      </c>
      <c r="Q142" s="316"/>
      <c r="R142" s="312"/>
      <c r="S142" s="312"/>
      <c r="T142" s="317">
        <v>76</v>
      </c>
      <c r="U142" s="317">
        <v>34</v>
      </c>
    </row>
    <row r="143" spans="1:21">
      <c r="A143" s="77">
        <v>45775</v>
      </c>
      <c r="B143" s="297">
        <v>57</v>
      </c>
      <c r="C143" s="298">
        <f t="shared" si="37"/>
        <v>5.39165144088665</v>
      </c>
      <c r="D143" s="301">
        <f>($L$16+SUM($K$16:K143))*C143</f>
        <v>162436.170037596</v>
      </c>
      <c r="E143" s="298">
        <f t="shared" si="38"/>
        <v>3.09178859221323</v>
      </c>
      <c r="F143" s="302">
        <f>($L$16+SUM($K$16:K143))*E143</f>
        <v>93147.3970436153</v>
      </c>
      <c r="G143" s="298">
        <f t="shared" si="39"/>
        <v>2.33649259093622</v>
      </c>
      <c r="H143" s="301">
        <f>($L$16+SUM($K$16:K143))*G143</f>
        <v>70392.3300595423</v>
      </c>
      <c r="I143" s="298">
        <f t="shared" si="40"/>
        <v>1.76326791739898</v>
      </c>
      <c r="J143" s="301">
        <f>($L$16+SUM($K$16:K143))*I143</f>
        <v>53122.5896912502</v>
      </c>
      <c r="K143" s="299">
        <v>0</v>
      </c>
      <c r="L143" s="299"/>
      <c r="M143" s="87"/>
      <c r="N143" s="87"/>
      <c r="O143" s="303"/>
      <c r="P143" s="87">
        <f t="shared" si="36"/>
        <v>0.76326791739898</v>
      </c>
      <c r="Q143" s="316"/>
      <c r="R143" s="312"/>
      <c r="S143" s="312"/>
      <c r="T143" s="333"/>
      <c r="U143" s="333"/>
    </row>
    <row r="144" spans="1:21">
      <c r="A144" s="77">
        <v>45776</v>
      </c>
      <c r="B144" s="297">
        <v>58</v>
      </c>
      <c r="C144" s="298">
        <f t="shared" si="37"/>
        <v>5.55340098411325</v>
      </c>
      <c r="D144" s="301">
        <f>($L$16+SUM($K$16:K144))*C144</f>
        <v>167309.255138724</v>
      </c>
      <c r="E144" s="298">
        <f t="shared" si="38"/>
        <v>3.15362436405749</v>
      </c>
      <c r="F144" s="302">
        <f>($L$16+SUM($K$16:K144))*E144</f>
        <v>95010.3449844874</v>
      </c>
      <c r="G144" s="298">
        <f t="shared" si="39"/>
        <v>2.37153997980027</v>
      </c>
      <c r="H144" s="301">
        <f>($L$16+SUM($K$16:K144))*G144</f>
        <v>71448.2150104357</v>
      </c>
      <c r="I144" s="298">
        <f t="shared" si="40"/>
        <v>1.78090059657297</v>
      </c>
      <c r="J144" s="301">
        <f>($L$16+SUM($K$16:K144))*I144</f>
        <v>53653.8155881627</v>
      </c>
      <c r="K144" s="299">
        <v>0</v>
      </c>
      <c r="L144" s="299"/>
      <c r="M144" s="87"/>
      <c r="N144" s="87"/>
      <c r="O144" s="303"/>
      <c r="P144" s="87">
        <f t="shared" si="36"/>
        <v>0.78090059657297</v>
      </c>
      <c r="Q144" s="316"/>
      <c r="R144" s="312"/>
      <c r="S144" s="312"/>
      <c r="T144" s="333"/>
      <c r="U144" s="333"/>
    </row>
    <row r="145" spans="1:21">
      <c r="A145" s="117">
        <v>45777</v>
      </c>
      <c r="B145" s="297">
        <v>59</v>
      </c>
      <c r="C145" s="298">
        <f t="shared" si="37"/>
        <v>5.72000301363665</v>
      </c>
      <c r="D145" s="301">
        <f>($L$16+SUM($K$16:K145))*C145</f>
        <v>172328.532792886</v>
      </c>
      <c r="E145" s="298">
        <f t="shared" si="38"/>
        <v>3.21669685133864</v>
      </c>
      <c r="F145" s="302">
        <f>($L$16+SUM($K$16:K145))*E145</f>
        <v>96910.5518841772</v>
      </c>
      <c r="G145" s="298">
        <f t="shared" si="39"/>
        <v>2.40711307949727</v>
      </c>
      <c r="H145" s="301">
        <f>($L$16+SUM($K$16:K145))*G145</f>
        <v>72519.9382355921</v>
      </c>
      <c r="I145" s="298">
        <f t="shared" si="40"/>
        <v>1.7987096025387</v>
      </c>
      <c r="J145" s="301">
        <f>($L$16+SUM($K$16:K145))*I145</f>
        <v>54190.3537440443</v>
      </c>
      <c r="K145" s="299">
        <v>0</v>
      </c>
      <c r="L145" s="299"/>
      <c r="M145" s="87"/>
      <c r="N145" s="87"/>
      <c r="O145" s="303"/>
      <c r="P145" s="87">
        <f t="shared" si="36"/>
        <v>0.7987096025387</v>
      </c>
      <c r="Q145" s="316"/>
      <c r="R145" s="312"/>
      <c r="S145" s="312"/>
      <c r="T145" s="333"/>
      <c r="U145" s="333"/>
    </row>
    <row r="146" spans="1:21">
      <c r="A146" s="117"/>
      <c r="B146" s="297">
        <v>60</v>
      </c>
      <c r="C146" s="298">
        <f t="shared" si="37"/>
        <v>5.89160310404575</v>
      </c>
      <c r="D146" s="301">
        <f>($L$16+SUM($K$16:K146))*C146</f>
        <v>177498.388776673</v>
      </c>
      <c r="E146" s="298">
        <f t="shared" si="38"/>
        <v>3.28103078836541</v>
      </c>
      <c r="F146" s="302">
        <f>($L$16+SUM($K$16:K146))*E146</f>
        <v>98848.7629218606</v>
      </c>
      <c r="G146" s="298">
        <f t="shared" si="39"/>
        <v>2.44321977568973</v>
      </c>
      <c r="H146" s="301">
        <f>($L$16+SUM($K$16:K146))*G146</f>
        <v>73607.737309126</v>
      </c>
      <c r="I146" s="298">
        <f t="shared" si="40"/>
        <v>1.81669669856409</v>
      </c>
      <c r="J146" s="301">
        <f>($L$16+SUM($K$16:K146))*I146</f>
        <v>54732.2572814848</v>
      </c>
      <c r="K146" s="299">
        <v>0</v>
      </c>
      <c r="L146" s="299"/>
      <c r="M146" s="87"/>
      <c r="N146" s="87"/>
      <c r="O146" s="303"/>
      <c r="P146" s="87">
        <f t="shared" si="36"/>
        <v>0.81669669856409</v>
      </c>
      <c r="Q146" s="316"/>
      <c r="R146" s="312"/>
      <c r="S146" s="312"/>
      <c r="T146" s="333"/>
      <c r="U146" s="333"/>
    </row>
    <row r="147" spans="1:21">
      <c r="A147" s="117"/>
      <c r="B147" s="297">
        <v>61</v>
      </c>
      <c r="C147" s="298">
        <f t="shared" si="37"/>
        <v>6.06835119716712</v>
      </c>
      <c r="D147" s="301">
        <f>($L$16+SUM($K$16:K147))*C147</f>
        <v>182823.340439973</v>
      </c>
      <c r="E147" s="298">
        <f t="shared" si="38"/>
        <v>3.34665140413272</v>
      </c>
      <c r="F147" s="302">
        <f>($L$16+SUM($K$16:K147))*E147</f>
        <v>100825.738180298</v>
      </c>
      <c r="G147" s="298">
        <f t="shared" si="39"/>
        <v>2.47986807232507</v>
      </c>
      <c r="H147" s="301">
        <f>($L$16+SUM($K$16:K147))*G147</f>
        <v>74711.8533687627</v>
      </c>
      <c r="I147" s="298">
        <f t="shared" si="40"/>
        <v>1.83486366554973</v>
      </c>
      <c r="J147" s="301">
        <f>($L$16+SUM($K$16:K147))*I147</f>
        <v>55279.5798542996</v>
      </c>
      <c r="K147" s="299">
        <v>0</v>
      </c>
      <c r="L147" s="299"/>
      <c r="M147" s="87"/>
      <c r="N147" s="87"/>
      <c r="O147" s="303"/>
      <c r="P147" s="87">
        <f t="shared" si="36"/>
        <v>0.83486366554973</v>
      </c>
      <c r="Q147" s="316"/>
      <c r="R147" s="312"/>
      <c r="S147" s="312"/>
      <c r="T147" s="333"/>
      <c r="U147" s="333"/>
    </row>
    <row r="148" spans="1:21">
      <c r="A148" s="117"/>
      <c r="B148" s="297">
        <v>62</v>
      </c>
      <c r="C148" s="298">
        <f t="shared" ref="C148:C168" si="41">POWER($C$87,B148)</f>
        <v>6.25040173308213</v>
      </c>
      <c r="D148" s="301">
        <f>($L$16+SUM($K$16:K148))*C148</f>
        <v>188308.040653172</v>
      </c>
      <c r="E148" s="298">
        <f t="shared" ref="E148:E168" si="42">POWER($E$87,B148)</f>
        <v>3.41358443221538</v>
      </c>
      <c r="F148" s="302">
        <f>($L$16+SUM($K$16:K148))*E148</f>
        <v>102842.252943904</v>
      </c>
      <c r="G148" s="298">
        <f t="shared" ref="G148:G168" si="43">POWER($G$87,B148)</f>
        <v>2.51706609340995</v>
      </c>
      <c r="H148" s="301">
        <f>($L$16+SUM($K$16:K148))*G148</f>
        <v>75832.5311692942</v>
      </c>
      <c r="I148" s="298">
        <f t="shared" ref="I148:I168" si="44">POWER($I$87,B148)</f>
        <v>1.85321230220523</v>
      </c>
      <c r="J148" s="301">
        <f>($L$16+SUM($K$16:K148))*I148</f>
        <v>55832.3756528427</v>
      </c>
      <c r="K148" s="299">
        <v>0</v>
      </c>
      <c r="L148" s="299"/>
      <c r="M148" s="87"/>
      <c r="N148" s="87"/>
      <c r="O148" s="303"/>
      <c r="P148" s="87">
        <f t="shared" si="36"/>
        <v>0.85321230220523</v>
      </c>
      <c r="Q148" s="316"/>
      <c r="R148" s="312"/>
      <c r="S148" s="312"/>
      <c r="T148" s="333"/>
      <c r="U148" s="333"/>
    </row>
    <row r="149" spans="1:21">
      <c r="A149" s="117"/>
      <c r="B149" s="297">
        <v>63</v>
      </c>
      <c r="C149" s="298">
        <f t="shared" si="41"/>
        <v>6.4379137850746</v>
      </c>
      <c r="D149" s="301">
        <f>($L$16+SUM($K$16:K149))*C149</f>
        <v>193957.281872767</v>
      </c>
      <c r="E149" s="298">
        <f t="shared" si="42"/>
        <v>3.48185612085968</v>
      </c>
      <c r="F149" s="302">
        <f>($L$16+SUM($K$16:K149))*E149</f>
        <v>104899.098002782</v>
      </c>
      <c r="G149" s="298">
        <f t="shared" si="43"/>
        <v>2.5548220848111</v>
      </c>
      <c r="H149" s="301">
        <f>($L$16+SUM($K$16:K149))*G149</f>
        <v>76970.0191368337</v>
      </c>
      <c r="I149" s="298">
        <f t="shared" si="44"/>
        <v>1.87174442522728</v>
      </c>
      <c r="J149" s="301">
        <f>($L$16+SUM($K$16:K149))*I149</f>
        <v>56390.6994093711</v>
      </c>
      <c r="K149" s="299">
        <v>0</v>
      </c>
      <c r="L149" s="299"/>
      <c r="M149" s="87"/>
      <c r="N149" s="87"/>
      <c r="O149" s="303"/>
      <c r="P149" s="87">
        <f t="shared" si="36"/>
        <v>0.87174442522728</v>
      </c>
      <c r="Q149" s="316"/>
      <c r="R149" s="312"/>
      <c r="S149" s="312"/>
      <c r="T149" s="333"/>
      <c r="U149" s="333"/>
    </row>
    <row r="150" spans="1:21">
      <c r="A150" s="117"/>
      <c r="B150" s="297">
        <v>64</v>
      </c>
      <c r="C150" s="298">
        <f t="shared" si="41"/>
        <v>6.63105119862683</v>
      </c>
      <c r="D150" s="301">
        <f>($L$16+SUM($K$16:K150))*C150</f>
        <v>199776.00032895</v>
      </c>
      <c r="E150" s="298">
        <f t="shared" si="42"/>
        <v>3.55149324327688</v>
      </c>
      <c r="F150" s="302">
        <f>($L$16+SUM($K$16:K150))*E150</f>
        <v>106997.079962838</v>
      </c>
      <c r="G150" s="298">
        <f t="shared" si="43"/>
        <v>2.59314441608327</v>
      </c>
      <c r="H150" s="301">
        <f>($L$16+SUM($K$16:K150))*G150</f>
        <v>78124.5694238863</v>
      </c>
      <c r="I150" s="298">
        <f t="shared" si="44"/>
        <v>1.89046186947955</v>
      </c>
      <c r="J150" s="301">
        <f>($L$16+SUM($K$16:K150))*I150</f>
        <v>56954.6064034647</v>
      </c>
      <c r="K150" s="299">
        <v>0</v>
      </c>
      <c r="L150" s="299"/>
      <c r="M150" s="87"/>
      <c r="N150" s="87"/>
      <c r="O150" s="303"/>
      <c r="P150" s="87">
        <f t="shared" si="36"/>
        <v>0.89046186947955</v>
      </c>
      <c r="Q150" s="316"/>
      <c r="R150" s="312"/>
      <c r="S150" s="312"/>
      <c r="T150" s="333"/>
      <c r="U150" s="333"/>
    </row>
    <row r="151" spans="1:21">
      <c r="A151" s="117"/>
      <c r="B151" s="297">
        <v>65</v>
      </c>
      <c r="C151" s="298">
        <f t="shared" si="41"/>
        <v>6.82998273458564</v>
      </c>
      <c r="D151" s="301">
        <f>($L$16+SUM($K$16:K151))*C151</f>
        <v>205769.280338819</v>
      </c>
      <c r="E151" s="298">
        <f t="shared" si="42"/>
        <v>3.62252310814242</v>
      </c>
      <c r="F151" s="302">
        <f>($L$16+SUM($K$16:K151))*E151</f>
        <v>109137.021562095</v>
      </c>
      <c r="G151" s="298">
        <f t="shared" si="43"/>
        <v>2.63204158232451</v>
      </c>
      <c r="H151" s="301">
        <f>($L$16+SUM($K$16:K151))*G151</f>
        <v>79296.4379652443</v>
      </c>
      <c r="I151" s="298">
        <f t="shared" si="44"/>
        <v>1.90936648817435</v>
      </c>
      <c r="J151" s="301">
        <f>($L$16+SUM($K$16:K151))*I151</f>
        <v>57524.1524674995</v>
      </c>
      <c r="K151" s="299">
        <v>0</v>
      </c>
      <c r="L151" s="299"/>
      <c r="M151" s="87"/>
      <c r="N151" s="87"/>
      <c r="O151" s="303"/>
      <c r="P151" s="87">
        <f t="shared" si="36"/>
        <v>0.90936648817435</v>
      </c>
      <c r="Q151" s="316"/>
      <c r="R151" s="312"/>
      <c r="S151" s="312"/>
      <c r="T151" s="333"/>
      <c r="U151" s="333"/>
    </row>
    <row r="152" spans="1:21">
      <c r="A152" s="117"/>
      <c r="B152" s="297">
        <v>66</v>
      </c>
      <c r="C152" s="298">
        <f t="shared" si="41"/>
        <v>7.03488221662321</v>
      </c>
      <c r="D152" s="301">
        <f>($L$16+SUM($K$16:K152))*C152</f>
        <v>211942.358748983</v>
      </c>
      <c r="E152" s="298">
        <f t="shared" si="42"/>
        <v>3.69497357030526</v>
      </c>
      <c r="F152" s="302">
        <f>($L$16+SUM($K$16:K152))*E152</f>
        <v>111319.761993336</v>
      </c>
      <c r="G152" s="298">
        <f t="shared" si="43"/>
        <v>2.67152220605938</v>
      </c>
      <c r="H152" s="301">
        <f>($L$16+SUM($K$16:K152))*G152</f>
        <v>80485.8845347231</v>
      </c>
      <c r="I152" s="298">
        <f t="shared" si="44"/>
        <v>1.92846015305609</v>
      </c>
      <c r="J152" s="301">
        <f>($L$16+SUM($K$16:K152))*I152</f>
        <v>58099.3939921744</v>
      </c>
      <c r="K152" s="299">
        <v>0</v>
      </c>
      <c r="L152" s="299"/>
      <c r="M152" s="87"/>
      <c r="N152" s="87"/>
      <c r="O152" s="303"/>
      <c r="P152" s="87">
        <f t="shared" si="36"/>
        <v>0.92846015305609</v>
      </c>
      <c r="Q152" s="316"/>
      <c r="R152" s="312"/>
      <c r="S152" s="312"/>
      <c r="T152" s="333"/>
      <c r="U152" s="333"/>
    </row>
    <row r="153" spans="1:21">
      <c r="A153" s="117"/>
      <c r="B153" s="297">
        <v>67</v>
      </c>
      <c r="C153" s="298">
        <f t="shared" si="41"/>
        <v>7.2459286831219</v>
      </c>
      <c r="D153" s="301">
        <f>($L$16+SUM($K$16:K153))*C153</f>
        <v>218300.629511453</v>
      </c>
      <c r="E153" s="298">
        <f t="shared" si="42"/>
        <v>3.76887304171137</v>
      </c>
      <c r="F153" s="302">
        <f>($L$16+SUM($K$16:K153))*E153</f>
        <v>113546.157233203</v>
      </c>
      <c r="G153" s="298">
        <f t="shared" si="43"/>
        <v>2.71159503915027</v>
      </c>
      <c r="H153" s="301">
        <f>($L$16+SUM($K$16:K153))*G153</f>
        <v>81693.1728027439</v>
      </c>
      <c r="I153" s="298">
        <f t="shared" si="44"/>
        <v>1.94774475458665</v>
      </c>
      <c r="J153" s="301">
        <f>($L$16+SUM($K$16:K153))*I153</f>
        <v>58680.3879320961</v>
      </c>
      <c r="K153" s="299">
        <v>0</v>
      </c>
      <c r="L153" s="299"/>
      <c r="M153" s="87"/>
      <c r="N153" s="87"/>
      <c r="O153" s="303"/>
      <c r="P153" s="87">
        <f t="shared" si="36"/>
        <v>0.94774475458665</v>
      </c>
      <c r="Q153" s="316"/>
      <c r="R153" s="312"/>
      <c r="S153" s="312"/>
      <c r="T153" s="333"/>
      <c r="U153" s="333"/>
    </row>
    <row r="154" spans="1:21">
      <c r="A154" s="117"/>
      <c r="B154" s="297">
        <v>68</v>
      </c>
      <c r="C154" s="298">
        <f t="shared" si="41"/>
        <v>7.46330654361556</v>
      </c>
      <c r="D154" s="301">
        <f>($L$16+SUM($K$16:K154))*C154</f>
        <v>224849.648396796</v>
      </c>
      <c r="E154" s="298">
        <f t="shared" si="42"/>
        <v>3.8442505025456</v>
      </c>
      <c r="F154" s="302">
        <f>($L$16+SUM($K$16:K154))*E154</f>
        <v>115817.080377867</v>
      </c>
      <c r="G154" s="298">
        <f t="shared" si="43"/>
        <v>2.75226896473753</v>
      </c>
      <c r="H154" s="301">
        <f>($L$16+SUM($K$16:K154))*G154</f>
        <v>82918.5703947852</v>
      </c>
      <c r="I154" s="298">
        <f t="shared" si="44"/>
        <v>1.96722220213252</v>
      </c>
      <c r="J154" s="301">
        <f>($L$16+SUM($K$16:K154))*I154</f>
        <v>59267.1918114172</v>
      </c>
      <c r="K154" s="299">
        <v>0</v>
      </c>
      <c r="L154" s="299"/>
      <c r="M154" s="87"/>
      <c r="N154" s="87"/>
      <c r="O154" s="303"/>
      <c r="P154" s="87">
        <f t="shared" si="36"/>
        <v>0.96722220213252</v>
      </c>
      <c r="Q154" s="316"/>
      <c r="R154" s="312"/>
      <c r="S154" s="312"/>
      <c r="T154" s="333"/>
      <c r="U154" s="333"/>
    </row>
    <row r="155" spans="1:21">
      <c r="A155" s="117"/>
      <c r="B155" s="297">
        <v>69</v>
      </c>
      <c r="C155" s="298">
        <f t="shared" si="41"/>
        <v>7.68720573992403</v>
      </c>
      <c r="D155" s="301">
        <f>($L$16+SUM($K$16:K155))*C155</f>
        <v>231595.1378487</v>
      </c>
      <c r="E155" s="298">
        <f t="shared" si="42"/>
        <v>3.92113551259651</v>
      </c>
      <c r="F155" s="302">
        <f>($L$16+SUM($K$16:K155))*E155</f>
        <v>118133.421985424</v>
      </c>
      <c r="G155" s="298">
        <f t="shared" si="43"/>
        <v>2.79355299920859</v>
      </c>
      <c r="H155" s="301">
        <f>($L$16+SUM($K$16:K155))*G155</f>
        <v>84162.3489507069</v>
      </c>
      <c r="I155" s="298">
        <f t="shared" si="44"/>
        <v>1.98689442415385</v>
      </c>
      <c r="J155" s="301">
        <f>($L$16+SUM($K$16:K155))*I155</f>
        <v>59859.8637295315</v>
      </c>
      <c r="K155" s="299">
        <v>0</v>
      </c>
      <c r="L155" s="299"/>
      <c r="M155" s="87"/>
      <c r="N155" s="87"/>
      <c r="O155" s="303"/>
      <c r="P155" s="87">
        <f t="shared" si="36"/>
        <v>0.98689442415385</v>
      </c>
      <c r="Q155" s="316"/>
      <c r="R155" s="312"/>
      <c r="S155" s="312"/>
      <c r="T155" s="333"/>
      <c r="U155" s="333"/>
    </row>
    <row r="156" spans="1:21">
      <c r="A156" s="117"/>
      <c r="B156" s="297">
        <v>70</v>
      </c>
      <c r="C156" s="298">
        <f t="shared" si="41"/>
        <v>7.91782191212175</v>
      </c>
      <c r="D156" s="301">
        <f>($L$16+SUM($K$16:K156))*C156</f>
        <v>238542.991984161</v>
      </c>
      <c r="E156" s="298">
        <f t="shared" si="42"/>
        <v>3.99955822284844</v>
      </c>
      <c r="F156" s="302">
        <f>($L$16+SUM($K$16:K156))*E156</f>
        <v>120496.090425133</v>
      </c>
      <c r="G156" s="298">
        <f t="shared" si="43"/>
        <v>2.83545629419672</v>
      </c>
      <c r="H156" s="301">
        <f>($L$16+SUM($K$16:K156))*G156</f>
        <v>85424.7841849675</v>
      </c>
      <c r="I156" s="298">
        <f t="shared" si="44"/>
        <v>2.00676336839539</v>
      </c>
      <c r="J156" s="301">
        <f>($L$16+SUM($K$16:K156))*I156</f>
        <v>60458.4623668269</v>
      </c>
      <c r="K156" s="299">
        <v>0</v>
      </c>
      <c r="L156" s="299"/>
      <c r="M156" s="87"/>
      <c r="N156" s="87"/>
      <c r="O156" s="303"/>
      <c r="P156" s="87">
        <f t="shared" si="36"/>
        <v>1.00676336839539</v>
      </c>
      <c r="Q156" s="316"/>
      <c r="R156" s="312"/>
      <c r="S156" s="312"/>
      <c r="T156" s="333"/>
      <c r="U156" s="333"/>
    </row>
    <row r="157" spans="1:21">
      <c r="A157" s="117"/>
      <c r="B157" s="297">
        <v>71</v>
      </c>
      <c r="C157" s="298">
        <f t="shared" si="41"/>
        <v>8.1553565694854</v>
      </c>
      <c r="D157" s="301">
        <f>($L$16+SUM($K$16:K157))*C157</f>
        <v>245699.281743686</v>
      </c>
      <c r="E157" s="298">
        <f t="shared" si="42"/>
        <v>4.07954938730541</v>
      </c>
      <c r="F157" s="302">
        <f>($L$16+SUM($K$16:K157))*E157</f>
        <v>122906.012233636</v>
      </c>
      <c r="G157" s="298">
        <f t="shared" si="43"/>
        <v>2.87798813860967</v>
      </c>
      <c r="H157" s="301">
        <f>($L$16+SUM($K$16:K157))*G157</f>
        <v>86706.155947742</v>
      </c>
      <c r="I157" s="298">
        <f t="shared" si="44"/>
        <v>2.02683100207934</v>
      </c>
      <c r="J157" s="301">
        <f>($L$16+SUM($K$16:K157))*I157</f>
        <v>61063.046990495</v>
      </c>
      <c r="K157" s="299">
        <v>0</v>
      </c>
      <c r="L157" s="299"/>
      <c r="M157" s="87"/>
      <c r="N157" s="87"/>
      <c r="O157" s="303"/>
      <c r="P157" s="87">
        <f t="shared" si="36"/>
        <v>1.02683100207934</v>
      </c>
      <c r="Q157" s="316"/>
      <c r="R157" s="312"/>
      <c r="S157" s="312"/>
      <c r="T157" s="333"/>
      <c r="U157" s="333"/>
    </row>
    <row r="158" spans="1:21">
      <c r="A158" s="117"/>
      <c r="B158" s="297">
        <v>72</v>
      </c>
      <c r="C158" s="298">
        <f t="shared" si="41"/>
        <v>8.40001726656997</v>
      </c>
      <c r="D158" s="301">
        <f>($L$16+SUM($K$16:K158))*C158</f>
        <v>253070.260195997</v>
      </c>
      <c r="E158" s="298">
        <f t="shared" si="42"/>
        <v>4.16114037505152</v>
      </c>
      <c r="F158" s="302">
        <f>($L$16+SUM($K$16:K158))*E158</f>
        <v>125364.132478308</v>
      </c>
      <c r="G158" s="298">
        <f t="shared" si="43"/>
        <v>2.92115796068881</v>
      </c>
      <c r="H158" s="301">
        <f>($L$16+SUM($K$16:K158))*G158</f>
        <v>88006.748286958</v>
      </c>
      <c r="I158" s="298">
        <f t="shared" si="44"/>
        <v>2.04709931210013</v>
      </c>
      <c r="J158" s="301">
        <f>($L$16+SUM($K$16:K158))*I158</f>
        <v>61673.6774603998</v>
      </c>
      <c r="K158" s="299">
        <v>0</v>
      </c>
      <c r="L158" s="299"/>
      <c r="M158" s="87"/>
      <c r="N158" s="87"/>
      <c r="O158" s="303"/>
      <c r="P158" s="87">
        <f t="shared" si="36"/>
        <v>1.04709931210013</v>
      </c>
      <c r="Q158" s="316"/>
      <c r="R158" s="312"/>
      <c r="S158" s="312"/>
      <c r="T158" s="333"/>
      <c r="U158" s="333"/>
    </row>
    <row r="159" spans="1:21">
      <c r="A159" s="117"/>
      <c r="B159" s="297">
        <v>73</v>
      </c>
      <c r="C159" s="298">
        <f t="shared" si="41"/>
        <v>8.65201778456706</v>
      </c>
      <c r="D159" s="301">
        <f>($L$16+SUM($K$16:K159))*C159</f>
        <v>260662.368001876</v>
      </c>
      <c r="E159" s="298">
        <f t="shared" si="42"/>
        <v>4.24436318255255</v>
      </c>
      <c r="F159" s="302">
        <f>($L$16+SUM($K$16:K159))*E159</f>
        <v>127871.415127875</v>
      </c>
      <c r="G159" s="298">
        <f t="shared" si="43"/>
        <v>2.96497533009914</v>
      </c>
      <c r="H159" s="301">
        <f>($L$16+SUM($K$16:K159))*G159</f>
        <v>89326.8495112623</v>
      </c>
      <c r="I159" s="298">
        <f t="shared" si="44"/>
        <v>2.06757030522113</v>
      </c>
      <c r="J159" s="301">
        <f>($L$16+SUM($K$16:K159))*I159</f>
        <v>62290.4142350038</v>
      </c>
      <c r="K159" s="299">
        <v>0</v>
      </c>
      <c r="L159" s="299"/>
      <c r="M159" s="87"/>
      <c r="N159" s="87"/>
      <c r="O159" s="303"/>
      <c r="P159" s="87">
        <f t="shared" si="36"/>
        <v>1.06757030522113</v>
      </c>
      <c r="Q159" s="316"/>
      <c r="R159" s="312"/>
      <c r="S159" s="312"/>
      <c r="T159" s="333"/>
      <c r="U159" s="333"/>
    </row>
    <row r="160" spans="1:21">
      <c r="A160" s="117"/>
      <c r="B160" s="297">
        <v>74</v>
      </c>
      <c r="C160" s="298">
        <f t="shared" si="41"/>
        <v>8.91157831810408</v>
      </c>
      <c r="D160" s="301">
        <f>($L$16+SUM($K$16:K160))*C160</f>
        <v>268482.239041933</v>
      </c>
      <c r="E160" s="298">
        <f t="shared" si="42"/>
        <v>4.3292504462036</v>
      </c>
      <c r="F160" s="302">
        <f>($L$16+SUM($K$16:K160))*E160</f>
        <v>130428.843430432</v>
      </c>
      <c r="G160" s="298">
        <f t="shared" si="43"/>
        <v>3.00944996005063</v>
      </c>
      <c r="H160" s="301">
        <f>($L$16+SUM($K$16:K160))*G160</f>
        <v>90666.7522539314</v>
      </c>
      <c r="I160" s="298">
        <f t="shared" si="44"/>
        <v>2.08824600827334</v>
      </c>
      <c r="J160" s="301">
        <f>($L$16+SUM($K$16:K160))*I160</f>
        <v>62913.3183773538</v>
      </c>
      <c r="K160" s="299">
        <v>0</v>
      </c>
      <c r="L160" s="299"/>
      <c r="M160" s="87"/>
      <c r="N160" s="87"/>
      <c r="O160" s="303"/>
      <c r="P160" s="87">
        <f t="shared" si="36"/>
        <v>1.08824600827334</v>
      </c>
      <c r="Q160" s="316"/>
      <c r="R160" s="312"/>
      <c r="S160" s="312"/>
      <c r="T160" s="333"/>
      <c r="U160" s="333"/>
    </row>
    <row r="161" spans="1:21">
      <c r="A161" s="117"/>
      <c r="B161" s="297">
        <v>75</v>
      </c>
      <c r="C161" s="298">
        <f t="shared" si="41"/>
        <v>9.1789256676472</v>
      </c>
      <c r="D161" s="301">
        <f>($L$16+SUM($K$16:K161))*C161</f>
        <v>276536.706213191</v>
      </c>
      <c r="E161" s="298">
        <f t="shared" si="42"/>
        <v>4.41583545512767</v>
      </c>
      <c r="F161" s="302">
        <f>($L$16+SUM($K$16:K161))*E161</f>
        <v>133037.420299041</v>
      </c>
      <c r="G161" s="298">
        <f t="shared" si="43"/>
        <v>3.05459170945139</v>
      </c>
      <c r="H161" s="301">
        <f>($L$16+SUM($K$16:K161))*G161</f>
        <v>92026.7535377403</v>
      </c>
      <c r="I161" s="298">
        <f t="shared" si="44"/>
        <v>2.10912846835608</v>
      </c>
      <c r="J161" s="301">
        <f>($L$16+SUM($K$16:K161))*I161</f>
        <v>63542.4515611275</v>
      </c>
      <c r="K161" s="299">
        <v>0</v>
      </c>
      <c r="L161" s="299"/>
      <c r="M161" s="87"/>
      <c r="N161" s="87"/>
      <c r="O161" s="303"/>
      <c r="P161" s="87">
        <f t="shared" si="36"/>
        <v>1.10912846835608</v>
      </c>
      <c r="Q161" s="316"/>
      <c r="R161" s="312"/>
      <c r="S161" s="312"/>
      <c r="T161" s="333"/>
      <c r="U161" s="333"/>
    </row>
    <row r="162" spans="1:21">
      <c r="A162" s="117"/>
      <c r="B162" s="297">
        <v>76</v>
      </c>
      <c r="C162" s="298">
        <f t="shared" si="41"/>
        <v>9.45429343767662</v>
      </c>
      <c r="D162" s="301">
        <f>($L$16+SUM($K$16:K162))*C162</f>
        <v>284832.807399587</v>
      </c>
      <c r="E162" s="298">
        <f t="shared" si="42"/>
        <v>4.50415216423022</v>
      </c>
      <c r="F162" s="302">
        <f>($L$16+SUM($K$16:K162))*E162</f>
        <v>135698.168705021</v>
      </c>
      <c r="G162" s="298">
        <f t="shared" si="43"/>
        <v>3.10041058509316</v>
      </c>
      <c r="H162" s="301">
        <f>($L$16+SUM($K$16:K162))*G162</f>
        <v>93407.1548408064</v>
      </c>
      <c r="I162" s="298">
        <f t="shared" si="44"/>
        <v>2.13021975303964</v>
      </c>
      <c r="J162" s="301">
        <f>($L$16+SUM($K$16:K162))*I162</f>
        <v>64177.8760767388</v>
      </c>
      <c r="K162" s="299">
        <v>0</v>
      </c>
      <c r="L162" s="299"/>
      <c r="M162" s="87"/>
      <c r="N162" s="87"/>
      <c r="O162" s="303"/>
      <c r="P162" s="87">
        <f t="shared" si="36"/>
        <v>1.13021975303964</v>
      </c>
      <c r="Q162" s="316"/>
      <c r="R162" s="312"/>
      <c r="S162" s="312"/>
      <c r="T162" s="333"/>
      <c r="U162" s="333"/>
    </row>
    <row r="163" spans="1:21">
      <c r="A163" s="117"/>
      <c r="B163" s="297">
        <v>77</v>
      </c>
      <c r="C163" s="298">
        <f t="shared" si="41"/>
        <v>9.73792224080692</v>
      </c>
      <c r="D163" s="301">
        <f>($L$16+SUM($K$16:K163))*C163</f>
        <v>293377.791621574</v>
      </c>
      <c r="E163" s="298">
        <f t="shared" si="42"/>
        <v>4.59423520751483</v>
      </c>
      <c r="F163" s="302">
        <f>($L$16+SUM($K$16:K163))*E163</f>
        <v>138412.132079122</v>
      </c>
      <c r="G163" s="298">
        <f t="shared" si="43"/>
        <v>3.14691674386956</v>
      </c>
      <c r="H163" s="301">
        <f>($L$16+SUM($K$16:K163))*G163</f>
        <v>94808.2621634186</v>
      </c>
      <c r="I163" s="298">
        <f t="shared" si="44"/>
        <v>2.15152195057004</v>
      </c>
      <c r="J163" s="301">
        <f>($L$16+SUM($K$16:K163))*I163</f>
        <v>64819.6548375063</v>
      </c>
      <c r="K163" s="299">
        <v>0</v>
      </c>
      <c r="L163" s="299"/>
      <c r="M163" s="87"/>
      <c r="N163" s="87"/>
      <c r="O163" s="303"/>
      <c r="P163" s="87">
        <f t="shared" si="36"/>
        <v>1.15152195057004</v>
      </c>
      <c r="Q163" s="316"/>
      <c r="R163" s="312"/>
      <c r="S163" s="312"/>
      <c r="T163" s="333"/>
      <c r="U163" s="333"/>
    </row>
    <row r="164" spans="1:21">
      <c r="A164" s="117"/>
      <c r="B164" s="297">
        <v>78</v>
      </c>
      <c r="C164" s="298">
        <f t="shared" si="41"/>
        <v>10.0300599080311</v>
      </c>
      <c r="D164" s="301">
        <f>($L$16+SUM($K$16:K164))*C164</f>
        <v>302179.125370221</v>
      </c>
      <c r="E164" s="298">
        <f t="shared" si="42"/>
        <v>4.68611991166513</v>
      </c>
      <c r="F164" s="302">
        <f>($L$16+SUM($K$16:K164))*E164</f>
        <v>141180.374720704</v>
      </c>
      <c r="G164" s="298">
        <f t="shared" si="43"/>
        <v>3.1941204950276</v>
      </c>
      <c r="H164" s="301">
        <f>($L$16+SUM($K$16:K164))*G164</f>
        <v>96230.3860958698</v>
      </c>
      <c r="I164" s="298">
        <f t="shared" si="44"/>
        <v>2.17303717007574</v>
      </c>
      <c r="J164" s="301">
        <f>($L$16+SUM($K$16:K164))*I164</f>
        <v>65467.8513858813</v>
      </c>
      <c r="K164" s="299">
        <v>0</v>
      </c>
      <c r="L164" s="299"/>
      <c r="M164" s="87"/>
      <c r="N164" s="87"/>
      <c r="O164" s="303"/>
      <c r="P164" s="87">
        <f t="shared" si="36"/>
        <v>1.17303717007574</v>
      </c>
      <c r="Q164" s="316"/>
      <c r="R164" s="312"/>
      <c r="S164" s="312"/>
      <c r="T164" s="333"/>
      <c r="U164" s="333"/>
    </row>
    <row r="165" spans="1:21">
      <c r="A165" s="117"/>
      <c r="B165" s="297">
        <v>79</v>
      </c>
      <c r="C165" s="298">
        <f t="shared" si="41"/>
        <v>10.3309617052721</v>
      </c>
      <c r="D165" s="301">
        <f>($L$16+SUM($K$16:K165))*C165</f>
        <v>311244.499131329</v>
      </c>
      <c r="E165" s="298">
        <f t="shared" si="42"/>
        <v>4.77984230989843</v>
      </c>
      <c r="F165" s="302">
        <f>($L$16+SUM($K$16:K165))*E165</f>
        <v>144003.982215118</v>
      </c>
      <c r="G165" s="298">
        <f t="shared" si="43"/>
        <v>3.24203230245301</v>
      </c>
      <c r="H165" s="301">
        <f>($L$16+SUM($K$16:K165))*G165</f>
        <v>97673.8418873077</v>
      </c>
      <c r="I165" s="298">
        <f t="shared" si="44"/>
        <v>2.19476754177649</v>
      </c>
      <c r="J165" s="301">
        <f>($L$16+SUM($K$16:K165))*I165</f>
        <v>66122.5298997399</v>
      </c>
      <c r="K165" s="299">
        <v>0</v>
      </c>
      <c r="L165" s="299"/>
      <c r="M165" s="87"/>
      <c r="N165" s="87"/>
      <c r="O165" s="303"/>
      <c r="P165" s="87">
        <f t="shared" si="36"/>
        <v>1.19476754177649</v>
      </c>
      <c r="Q165" s="316"/>
      <c r="R165" s="312"/>
      <c r="S165" s="312"/>
      <c r="T165" s="333"/>
      <c r="U165" s="333"/>
    </row>
    <row r="166" spans="1:21">
      <c r="A166" s="117"/>
      <c r="B166" s="297">
        <v>80</v>
      </c>
      <c r="C166" s="298">
        <f t="shared" si="41"/>
        <v>10.6408905564302</v>
      </c>
      <c r="D166" s="301">
        <f>($L$16+SUM($K$16:K166))*C166</f>
        <v>320581.834105267</v>
      </c>
      <c r="E166" s="298">
        <f t="shared" si="42"/>
        <v>4.8754391560964</v>
      </c>
      <c r="F166" s="302">
        <f>($L$16+SUM($K$16:K166))*E166</f>
        <v>146884.061859421</v>
      </c>
      <c r="G166" s="298">
        <f t="shared" si="43"/>
        <v>3.29066278698981</v>
      </c>
      <c r="H166" s="301">
        <f>($L$16+SUM($K$16:K166))*G166</f>
        <v>99138.9495156175</v>
      </c>
      <c r="I166" s="298">
        <f t="shared" si="44"/>
        <v>2.21671521719426</v>
      </c>
      <c r="J166" s="301">
        <f>($L$16+SUM($K$16:K166))*I166</f>
        <v>66783.7551987375</v>
      </c>
      <c r="K166" s="299">
        <v>0</v>
      </c>
      <c r="L166" s="299"/>
      <c r="M166" s="87"/>
      <c r="N166" s="87"/>
      <c r="O166" s="303"/>
      <c r="P166" s="87">
        <f t="shared" si="36"/>
        <v>1.21671521719426</v>
      </c>
      <c r="Q166" s="316"/>
      <c r="R166" s="312"/>
      <c r="S166" s="312"/>
      <c r="T166" s="333"/>
      <c r="U166" s="333"/>
    </row>
    <row r="167" spans="1:21">
      <c r="A167" s="117"/>
      <c r="B167" s="297">
        <v>81</v>
      </c>
      <c r="C167" s="298">
        <f t="shared" si="41"/>
        <v>10.9601172731231</v>
      </c>
      <c r="D167" s="301">
        <f>($L$16+SUM($K$16:K167))*C167</f>
        <v>330199.289128425</v>
      </c>
      <c r="E167" s="298">
        <f t="shared" si="42"/>
        <v>4.97294793921832</v>
      </c>
      <c r="F167" s="302">
        <f>($L$16+SUM($K$16:K167))*E167</f>
        <v>149821.743096609</v>
      </c>
      <c r="G167" s="298">
        <f t="shared" si="43"/>
        <v>3.34002272879466</v>
      </c>
      <c r="H167" s="301">
        <f>($L$16+SUM($K$16:K167))*G167</f>
        <v>100626.033758352</v>
      </c>
      <c r="I167" s="298">
        <f t="shared" si="44"/>
        <v>2.2388823693662</v>
      </c>
      <c r="J167" s="301">
        <f>($L$16+SUM($K$16:K167))*I167</f>
        <v>67451.5927507248</v>
      </c>
      <c r="K167" s="299">
        <v>0</v>
      </c>
      <c r="L167" s="299"/>
      <c r="M167" s="87"/>
      <c r="N167" s="87"/>
      <c r="O167" s="303"/>
      <c r="P167" s="87">
        <f t="shared" si="36"/>
        <v>1.2388823693662</v>
      </c>
      <c r="Q167" s="316"/>
      <c r="R167" s="312"/>
      <c r="S167" s="312"/>
      <c r="T167" s="333"/>
      <c r="U167" s="333"/>
    </row>
    <row r="168" spans="1:21">
      <c r="A168" s="117"/>
      <c r="B168" s="297">
        <v>82</v>
      </c>
      <c r="C168" s="298">
        <f t="shared" si="41"/>
        <v>11.2889207913168</v>
      </c>
      <c r="D168" s="301">
        <f>($L$16+SUM($K$16:K168))*C168</f>
        <v>340105.267802278</v>
      </c>
      <c r="E168" s="298">
        <f t="shared" si="42"/>
        <v>5.07240689800269</v>
      </c>
      <c r="F168" s="302">
        <f>($L$16+SUM($K$16:K168))*E168</f>
        <v>152818.177958541</v>
      </c>
      <c r="G168" s="298">
        <f t="shared" si="43"/>
        <v>3.39012306972658</v>
      </c>
      <c r="H168" s="301">
        <f>($L$16+SUM($K$16:K168))*G168</f>
        <v>102135.424264727</v>
      </c>
      <c r="I168" s="298">
        <f t="shared" si="44"/>
        <v>2.26127119305986</v>
      </c>
      <c r="J168" s="301">
        <f>($L$16+SUM($K$16:K168))*I168</f>
        <v>68126.108678232</v>
      </c>
      <c r="K168" s="299">
        <v>0</v>
      </c>
      <c r="L168" s="299"/>
      <c r="M168" s="87"/>
      <c r="N168" s="87"/>
      <c r="O168" s="303"/>
      <c r="P168" s="87">
        <f t="shared" ref="P168:P185" si="45">I168-1</f>
        <v>1.26127119305986</v>
      </c>
      <c r="Q168" s="316"/>
      <c r="R168" s="312"/>
      <c r="S168" s="312"/>
      <c r="T168" s="333"/>
      <c r="U168" s="333"/>
    </row>
    <row r="169" spans="1:21">
      <c r="A169" s="117"/>
      <c r="B169" s="297">
        <v>83</v>
      </c>
      <c r="C169" s="298">
        <f t="shared" ref="C169:C176" si="46">POWER($C$87,B169)</f>
        <v>11.6275884150563</v>
      </c>
      <c r="D169" s="301">
        <f>($L$16+SUM($K$16:K169))*C169</f>
        <v>350308.425836346</v>
      </c>
      <c r="E169" s="298">
        <f t="shared" ref="E169:E176" si="47">POWER($E$87,B169)</f>
        <v>5.17385503596275</v>
      </c>
      <c r="F169" s="302">
        <f>($L$16+SUM($K$16:K169))*E169</f>
        <v>155874.541517712</v>
      </c>
      <c r="G169" s="298">
        <f t="shared" ref="G169:G176" si="48">POWER($G$87,B169)</f>
        <v>3.44097491577247</v>
      </c>
      <c r="H169" s="301">
        <f>($L$16+SUM($K$16:K169))*G169</f>
        <v>103667.455628698</v>
      </c>
      <c r="I169" s="298">
        <f t="shared" ref="I169:I176" si="49">POWER($I$87,B169)</f>
        <v>2.28388390499046</v>
      </c>
      <c r="J169" s="301">
        <f>($L$16+SUM($K$16:K169))*I169</f>
        <v>68807.3697650143</v>
      </c>
      <c r="K169" s="299">
        <v>0</v>
      </c>
      <c r="L169" s="299"/>
      <c r="M169" s="87"/>
      <c r="N169" s="87"/>
      <c r="O169" s="303"/>
      <c r="P169" s="87">
        <f t="shared" si="45"/>
        <v>1.28388390499046</v>
      </c>
      <c r="Q169" s="316"/>
      <c r="R169" s="312"/>
      <c r="S169" s="312"/>
      <c r="T169" s="333"/>
      <c r="U169" s="333"/>
    </row>
    <row r="170" spans="1:21">
      <c r="A170" s="117"/>
      <c r="B170" s="297">
        <v>84</v>
      </c>
      <c r="C170" s="298">
        <f t="shared" si="46"/>
        <v>11.976416067508</v>
      </c>
      <c r="D170" s="301">
        <f>($L$16+SUM($K$16:K170))*C170</f>
        <v>360817.678611437</v>
      </c>
      <c r="E170" s="298">
        <f t="shared" si="47"/>
        <v>5.277332136682</v>
      </c>
      <c r="F170" s="302">
        <f>($L$16+SUM($K$16:K170))*E170</f>
        <v>158992.032348066</v>
      </c>
      <c r="G170" s="298">
        <f t="shared" si="48"/>
        <v>3.49258953950906</v>
      </c>
      <c r="H170" s="301">
        <f>($L$16+SUM($K$16:K170))*G170</f>
        <v>105222.467463128</v>
      </c>
      <c r="I170" s="298">
        <f t="shared" si="49"/>
        <v>2.30672274404037</v>
      </c>
      <c r="J170" s="301">
        <f>($L$16+SUM($K$16:K170))*I170</f>
        <v>69495.4434626646</v>
      </c>
      <c r="K170" s="299">
        <v>0</v>
      </c>
      <c r="L170" s="299"/>
      <c r="M170" s="87"/>
      <c r="N170" s="87"/>
      <c r="O170" s="303"/>
      <c r="P170" s="87">
        <f t="shared" si="45"/>
        <v>1.30672274404037</v>
      </c>
      <c r="Q170" s="316"/>
      <c r="R170" s="312"/>
      <c r="S170" s="312"/>
      <c r="T170" s="333"/>
      <c r="U170" s="333"/>
    </row>
    <row r="171" spans="1:21">
      <c r="A171" s="117"/>
      <c r="B171" s="297">
        <v>85</v>
      </c>
      <c r="C171" s="298">
        <f t="shared" si="46"/>
        <v>12.3357085495333</v>
      </c>
      <c r="D171" s="301">
        <f>($L$16+SUM($K$16:K171))*C171</f>
        <v>371642.208969782</v>
      </c>
      <c r="E171" s="298">
        <f t="shared" si="47"/>
        <v>5.38287877941564</v>
      </c>
      <c r="F171" s="302">
        <f>($L$16+SUM($K$16:K171))*E171</f>
        <v>162171.872995028</v>
      </c>
      <c r="G171" s="298">
        <f t="shared" si="48"/>
        <v>3.5449783826017</v>
      </c>
      <c r="H171" s="301">
        <f>($L$16+SUM($K$16:K171))*G171</f>
        <v>106800.804475075</v>
      </c>
      <c r="I171" s="298">
        <f t="shared" si="49"/>
        <v>2.32978997148077</v>
      </c>
      <c r="J171" s="301">
        <f>($L$16+SUM($K$16:K171))*I171</f>
        <v>70190.3978972912</v>
      </c>
      <c r="K171" s="299">
        <v>0</v>
      </c>
      <c r="L171" s="299"/>
      <c r="M171" s="87"/>
      <c r="N171" s="87"/>
      <c r="O171" s="303"/>
      <c r="P171" s="87">
        <f t="shared" si="45"/>
        <v>1.32978997148077</v>
      </c>
      <c r="Q171" s="316"/>
      <c r="R171" s="312"/>
      <c r="S171" s="312"/>
      <c r="T171" s="333"/>
      <c r="U171" s="333"/>
    </row>
    <row r="172" spans="1:21">
      <c r="A172" s="117"/>
      <c r="B172" s="297">
        <v>86</v>
      </c>
      <c r="C172" s="298">
        <f t="shared" si="46"/>
        <v>12.7057798060193</v>
      </c>
      <c r="D172" s="301">
        <f>($L$16+SUM($K$16:K172))*C172</f>
        <v>382791.475238876</v>
      </c>
      <c r="E172" s="298">
        <f t="shared" si="47"/>
        <v>5.49053635500395</v>
      </c>
      <c r="F172" s="302">
        <f>($L$16+SUM($K$16:K172))*E172</f>
        <v>165415.310454928</v>
      </c>
      <c r="G172" s="298">
        <f t="shared" si="48"/>
        <v>3.59815305834072</v>
      </c>
      <c r="H172" s="301">
        <f>($L$16+SUM($K$16:K172))*G172</f>
        <v>108402.816542201</v>
      </c>
      <c r="I172" s="298">
        <f t="shared" si="49"/>
        <v>2.35308787119558</v>
      </c>
      <c r="J172" s="301">
        <f>($L$16+SUM($K$16:K172))*I172</f>
        <v>70892.3018762642</v>
      </c>
      <c r="K172" s="299">
        <v>0</v>
      </c>
      <c r="L172" s="299"/>
      <c r="M172" s="87"/>
      <c r="N172" s="87"/>
      <c r="O172" s="303"/>
      <c r="P172" s="87">
        <f t="shared" si="45"/>
        <v>1.35308787119558</v>
      </c>
      <c r="Q172" s="316"/>
      <c r="R172" s="312"/>
      <c r="S172" s="312"/>
      <c r="T172" s="333"/>
      <c r="U172" s="333"/>
    </row>
    <row r="173" spans="1:21">
      <c r="A173" s="117"/>
      <c r="B173" s="297">
        <v>87</v>
      </c>
      <c r="C173" s="298">
        <f t="shared" si="46"/>
        <v>13.0869532001998</v>
      </c>
      <c r="D173" s="301">
        <f>($L$16+SUM($K$16:K173))*C173</f>
        <v>394275.219496039</v>
      </c>
      <c r="E173" s="298">
        <f t="shared" si="47"/>
        <v>5.60034708210403</v>
      </c>
      <c r="F173" s="302">
        <f>($L$16+SUM($K$16:K173))*E173</f>
        <v>168723.616664027</v>
      </c>
      <c r="G173" s="298">
        <f t="shared" si="48"/>
        <v>3.65212535421583</v>
      </c>
      <c r="H173" s="301">
        <f>($L$16+SUM($K$16:K173))*G173</f>
        <v>110028.858790334</v>
      </c>
      <c r="I173" s="298">
        <f t="shared" si="49"/>
        <v>2.37661874990753</v>
      </c>
      <c r="J173" s="301">
        <f>($L$16+SUM($K$16:K173))*I173</f>
        <v>71601.2248950266</v>
      </c>
      <c r="K173" s="299">
        <v>0</v>
      </c>
      <c r="L173" s="299"/>
      <c r="M173" s="87"/>
      <c r="N173" s="87"/>
      <c r="O173" s="303"/>
      <c r="P173" s="87">
        <f t="shared" si="45"/>
        <v>1.37661874990753</v>
      </c>
      <c r="Q173" s="316"/>
      <c r="R173" s="312"/>
      <c r="S173" s="312"/>
      <c r="T173" s="333"/>
      <c r="U173" s="333"/>
    </row>
    <row r="174" spans="1:21">
      <c r="A174" s="117"/>
      <c r="B174" s="297">
        <v>88</v>
      </c>
      <c r="C174" s="298">
        <f t="shared" si="46"/>
        <v>13.4795617962058</v>
      </c>
      <c r="D174" s="301">
        <f>($L$16+SUM($K$16:K174))*C174</f>
        <v>406103.476080921</v>
      </c>
      <c r="E174" s="298">
        <f t="shared" si="47"/>
        <v>5.71235402374611</v>
      </c>
      <c r="F174" s="302">
        <f>($L$16+SUM($K$16:K174))*E174</f>
        <v>172098.088997307</v>
      </c>
      <c r="G174" s="298">
        <f t="shared" si="48"/>
        <v>3.70690723452907</v>
      </c>
      <c r="H174" s="301">
        <f>($L$16+SUM($K$16:K174))*G174</f>
        <v>111679.291672189</v>
      </c>
      <c r="I174" s="298">
        <f t="shared" si="49"/>
        <v>2.40038493740661</v>
      </c>
      <c r="J174" s="301">
        <f>($L$16+SUM($K$16:K174))*I174</f>
        <v>72317.237143977</v>
      </c>
      <c r="K174" s="299">
        <v>0</v>
      </c>
      <c r="L174" s="299"/>
      <c r="M174" s="87"/>
      <c r="N174" s="87"/>
      <c r="O174" s="303"/>
      <c r="P174" s="87">
        <f t="shared" si="45"/>
        <v>1.40038493740661</v>
      </c>
      <c r="Q174" s="316"/>
      <c r="R174" s="312"/>
      <c r="S174" s="312"/>
      <c r="T174" s="333"/>
      <c r="U174" s="333"/>
    </row>
    <row r="175" spans="1:21">
      <c r="A175" s="117"/>
      <c r="B175" s="297">
        <v>89</v>
      </c>
      <c r="C175" s="298">
        <f t="shared" si="46"/>
        <v>13.883948650092</v>
      </c>
      <c r="D175" s="301">
        <f>($L$16+SUM($K$16:K175))*C175</f>
        <v>418286.580363349</v>
      </c>
      <c r="E175" s="298">
        <f t="shared" si="47"/>
        <v>5.82660110422104</v>
      </c>
      <c r="F175" s="302">
        <f>($L$16+SUM($K$16:K175))*E175</f>
        <v>175540.050777254</v>
      </c>
      <c r="G175" s="298">
        <f t="shared" si="48"/>
        <v>3.76251084304701</v>
      </c>
      <c r="H175" s="301">
        <f>($L$16+SUM($K$16:K175))*G175</f>
        <v>113354.481047272</v>
      </c>
      <c r="I175" s="298">
        <f t="shared" si="49"/>
        <v>2.42438878678067</v>
      </c>
      <c r="J175" s="301">
        <f>($L$16+SUM($K$16:K175))*I175</f>
        <v>73040.4095154166</v>
      </c>
      <c r="K175" s="299">
        <v>0</v>
      </c>
      <c r="L175" s="299"/>
      <c r="M175" s="87"/>
      <c r="N175" s="87"/>
      <c r="O175" s="303"/>
      <c r="P175" s="87">
        <f t="shared" si="45"/>
        <v>1.42438878678067</v>
      </c>
      <c r="Q175" s="316"/>
      <c r="R175" s="312"/>
      <c r="S175" s="312"/>
      <c r="T175" s="333"/>
      <c r="U175" s="333"/>
    </row>
    <row r="176" spans="1:21">
      <c r="A176" s="117"/>
      <c r="B176" s="297">
        <v>90</v>
      </c>
      <c r="C176" s="298">
        <f t="shared" si="46"/>
        <v>14.3004671095948</v>
      </c>
      <c r="D176" s="301">
        <f>($L$16+SUM($K$16:K176))*C176</f>
        <v>430835.177774251</v>
      </c>
      <c r="E176" s="298">
        <f t="shared" si="47"/>
        <v>5.94313312630546</v>
      </c>
      <c r="F176" s="302">
        <f>($L$16+SUM($K$16:K176))*E176</f>
        <v>179050.851792799</v>
      </c>
      <c r="G176" s="298">
        <f t="shared" si="48"/>
        <v>3.81894850569271</v>
      </c>
      <c r="H176" s="301">
        <f>($L$16+SUM($K$16:K176))*G176</f>
        <v>115054.798262981</v>
      </c>
      <c r="I176" s="298">
        <f t="shared" si="49"/>
        <v>2.44863267464848</v>
      </c>
      <c r="J176" s="301">
        <f>($L$16+SUM($K$16:K176))*I176</f>
        <v>73770.8136105709</v>
      </c>
      <c r="K176" s="299">
        <v>0</v>
      </c>
      <c r="L176" s="299"/>
      <c r="M176" s="87"/>
      <c r="N176" s="87"/>
      <c r="O176" s="303"/>
      <c r="P176" s="87">
        <f t="shared" si="45"/>
        <v>1.44863267464848</v>
      </c>
      <c r="Q176" s="316"/>
      <c r="R176" s="312"/>
      <c r="S176" s="312"/>
      <c r="T176" s="333"/>
      <c r="U176" s="333"/>
    </row>
    <row r="177" spans="1:21">
      <c r="A177" s="117"/>
      <c r="B177" s="297">
        <v>91</v>
      </c>
      <c r="C177" s="298">
        <f t="shared" ref="C177:C185" si="50">POWER($C$87,B177)</f>
        <v>14.7294811228826</v>
      </c>
      <c r="D177" s="301">
        <f>($L$16+SUM($K$16:K177))*C177</f>
        <v>443760.233107477</v>
      </c>
      <c r="E177" s="298">
        <f t="shared" ref="E177:E185" si="51">POWER($E$87,B177)</f>
        <v>6.06199578883156</v>
      </c>
      <c r="F177" s="302">
        <f>($L$16+SUM($K$16:K177))*E177</f>
        <v>182631.868828654</v>
      </c>
      <c r="G177" s="298">
        <f t="shared" ref="G177:G185" si="52">POWER($G$87,B177)</f>
        <v>3.8762327332781</v>
      </c>
      <c r="H177" s="301">
        <f>($L$16+SUM($K$16:K177))*G177</f>
        <v>116780.620236926</v>
      </c>
      <c r="I177" s="298">
        <f t="shared" ref="I177:I185" si="53">POWER($I$87,B177)</f>
        <v>2.47311900139497</v>
      </c>
      <c r="J177" s="301">
        <f>($L$16+SUM($K$16:K177))*I177</f>
        <v>74508.5217466767</v>
      </c>
      <c r="K177" s="299">
        <v>0</v>
      </c>
      <c r="L177" s="299"/>
      <c r="M177" s="87"/>
      <c r="N177" s="87"/>
      <c r="O177" s="303"/>
      <c r="P177" s="87">
        <f t="shared" si="45"/>
        <v>1.47311900139497</v>
      </c>
      <c r="Q177" s="316"/>
      <c r="R177" s="312"/>
      <c r="S177" s="312"/>
      <c r="T177" s="333"/>
      <c r="U177" s="333"/>
    </row>
    <row r="178" spans="1:21">
      <c r="A178" s="117"/>
      <c r="B178" s="297">
        <v>92</v>
      </c>
      <c r="C178" s="298">
        <f t="shared" si="50"/>
        <v>15.1713655565691</v>
      </c>
      <c r="D178" s="301">
        <f>($L$16+SUM($K$16:K178))*C178</f>
        <v>457073.040100702</v>
      </c>
      <c r="E178" s="298">
        <f t="shared" si="51"/>
        <v>6.1832357046082</v>
      </c>
      <c r="F178" s="302">
        <f>($L$16+SUM($K$16:K178))*E178</f>
        <v>186284.506205228</v>
      </c>
      <c r="G178" s="298">
        <f t="shared" si="52"/>
        <v>3.93437622427727</v>
      </c>
      <c r="H178" s="301">
        <f>($L$16+SUM($K$16:K178))*G178</f>
        <v>118532.32954048</v>
      </c>
      <c r="I178" s="298">
        <f t="shared" si="53"/>
        <v>2.49785019140892</v>
      </c>
      <c r="J178" s="301">
        <f>($L$16+SUM($K$16:K178))*I178</f>
        <v>75253.6069641435</v>
      </c>
      <c r="K178" s="299">
        <v>0</v>
      </c>
      <c r="L178" s="299"/>
      <c r="M178" s="87"/>
      <c r="N178" s="87"/>
      <c r="O178" s="303"/>
      <c r="P178" s="87">
        <f t="shared" si="45"/>
        <v>1.49785019140892</v>
      </c>
      <c r="Q178" s="316"/>
      <c r="R178" s="312"/>
      <c r="S178" s="312"/>
      <c r="T178" s="333"/>
      <c r="U178" s="333"/>
    </row>
    <row r="179" spans="1:21">
      <c r="A179" s="117"/>
      <c r="B179" s="297">
        <v>93</v>
      </c>
      <c r="C179" s="298">
        <f t="shared" si="50"/>
        <v>15.6265065232662</v>
      </c>
      <c r="D179" s="301">
        <f>($L$16+SUM($K$16:K179))*C179</f>
        <v>470785.231303724</v>
      </c>
      <c r="E179" s="298">
        <f t="shared" si="51"/>
        <v>6.30690041870036</v>
      </c>
      <c r="F179" s="302">
        <f>($L$16+SUM($K$16:K179))*E179</f>
        <v>190010.196329332</v>
      </c>
      <c r="G179" s="298">
        <f t="shared" si="52"/>
        <v>3.99339186764143</v>
      </c>
      <c r="H179" s="301">
        <f>($L$16+SUM($K$16:K179))*G179</f>
        <v>120310.314483587</v>
      </c>
      <c r="I179" s="298">
        <f t="shared" si="53"/>
        <v>2.52282869332301</v>
      </c>
      <c r="J179" s="301">
        <f>($L$16+SUM($K$16:K179))*I179</f>
        <v>76006.143033785</v>
      </c>
      <c r="K179" s="299">
        <v>0</v>
      </c>
      <c r="L179" s="299"/>
      <c r="M179" s="87"/>
      <c r="N179" s="87"/>
      <c r="O179" s="303"/>
      <c r="P179" s="87">
        <f t="shared" si="45"/>
        <v>1.52282869332301</v>
      </c>
      <c r="Q179" s="316"/>
      <c r="R179" s="312"/>
      <c r="S179" s="312"/>
      <c r="T179" s="333"/>
      <c r="U179" s="333"/>
    </row>
    <row r="180" spans="1:21">
      <c r="A180" s="117"/>
      <c r="B180" s="297">
        <v>94</v>
      </c>
      <c r="C180" s="298">
        <f t="shared" si="50"/>
        <v>16.0953017189641</v>
      </c>
      <c r="D180" s="301">
        <f>($L$16+SUM($K$16:K180))*C180</f>
        <v>484908.788242833</v>
      </c>
      <c r="E180" s="298">
        <f t="shared" si="51"/>
        <v>6.43303842707437</v>
      </c>
      <c r="F180" s="302">
        <f>($L$16+SUM($K$16:K180))*E180</f>
        <v>193810.400255919</v>
      </c>
      <c r="G180" s="298">
        <f t="shared" si="52"/>
        <v>4.05329274565605</v>
      </c>
      <c r="H180" s="301">
        <f>($L$16+SUM($K$16:K180))*G180</f>
        <v>122114.969200841</v>
      </c>
      <c r="I180" s="298">
        <f t="shared" si="53"/>
        <v>2.54805698025624</v>
      </c>
      <c r="J180" s="301">
        <f>($L$16+SUM($K$16:K180))*I180</f>
        <v>76766.2044641228</v>
      </c>
      <c r="K180" s="299">
        <v>0</v>
      </c>
      <c r="L180" s="299"/>
      <c r="M180" s="87"/>
      <c r="N180" s="87"/>
      <c r="O180" s="303"/>
      <c r="P180" s="87">
        <f t="shared" si="45"/>
        <v>1.54805698025624</v>
      </c>
      <c r="Q180" s="316"/>
      <c r="R180" s="312"/>
      <c r="S180" s="312"/>
      <c r="T180" s="333"/>
      <c r="U180" s="333"/>
    </row>
    <row r="181" spans="1:21">
      <c r="A181" s="117"/>
      <c r="B181" s="297">
        <v>95</v>
      </c>
      <c r="C181" s="298">
        <f t="shared" si="50"/>
        <v>16.5781607705331</v>
      </c>
      <c r="D181" s="301">
        <f>($L$16+SUM($K$16:K181))*C181</f>
        <v>499456.05189012</v>
      </c>
      <c r="E181" s="298">
        <f t="shared" si="51"/>
        <v>6.56169919561586</v>
      </c>
      <c r="F181" s="302">
        <f>($L$16+SUM($K$16:K181))*E181</f>
        <v>197686.608261037</v>
      </c>
      <c r="G181" s="298">
        <f t="shared" si="52"/>
        <v>4.11409213684089</v>
      </c>
      <c r="H181" s="301">
        <f>($L$16+SUM($K$16:K181))*G181</f>
        <v>123946.693738853</v>
      </c>
      <c r="I181" s="298">
        <f t="shared" si="53"/>
        <v>2.5735375500588</v>
      </c>
      <c r="J181" s="301">
        <f>($L$16+SUM($K$16:K181))*I181</f>
        <v>77533.866508764</v>
      </c>
      <c r="K181" s="299">
        <v>0</v>
      </c>
      <c r="L181" s="299"/>
      <c r="M181" s="87"/>
      <c r="N181" s="87"/>
      <c r="O181" s="303"/>
      <c r="P181" s="87">
        <f t="shared" si="45"/>
        <v>1.5735375500588</v>
      </c>
      <c r="Q181" s="316"/>
      <c r="R181" s="312"/>
      <c r="S181" s="312"/>
      <c r="T181" s="333"/>
      <c r="U181" s="333"/>
    </row>
    <row r="182" spans="1:21">
      <c r="A182" s="117"/>
      <c r="B182" s="297">
        <v>96</v>
      </c>
      <c r="C182" s="298">
        <f t="shared" si="50"/>
        <v>17.0755055936491</v>
      </c>
      <c r="D182" s="301">
        <f>($L$16+SUM($K$16:K182))*C182</f>
        <v>514439.733446824</v>
      </c>
      <c r="E182" s="298">
        <f t="shared" si="51"/>
        <v>6.69293317952817</v>
      </c>
      <c r="F182" s="302">
        <f>($L$16+SUM($K$16:K182))*E182</f>
        <v>201640.340426258</v>
      </c>
      <c r="G182" s="298">
        <f t="shared" si="52"/>
        <v>4.1758035188935</v>
      </c>
      <c r="H182" s="301">
        <f>($L$16+SUM($K$16:K182))*G182</f>
        <v>125805.894144936</v>
      </c>
      <c r="I182" s="298">
        <f t="shared" si="53"/>
        <v>2.59927292555939</v>
      </c>
      <c r="J182" s="301">
        <f>($L$16+SUM($K$16:K182))*I182</f>
        <v>78309.2051738517</v>
      </c>
      <c r="K182" s="299">
        <v>0</v>
      </c>
      <c r="L182" s="299"/>
      <c r="M182" s="87"/>
      <c r="N182" s="87"/>
      <c r="O182" s="303"/>
      <c r="P182" s="87">
        <f t="shared" si="45"/>
        <v>1.59927292555939</v>
      </c>
      <c r="Q182" s="316"/>
      <c r="R182" s="312"/>
      <c r="S182" s="312"/>
      <c r="T182" s="333"/>
      <c r="U182" s="333"/>
    </row>
    <row r="183" spans="1:21">
      <c r="A183" s="117"/>
      <c r="B183" s="297">
        <v>97</v>
      </c>
      <c r="C183" s="298">
        <f t="shared" si="50"/>
        <v>17.5877707614585</v>
      </c>
      <c r="D183" s="301">
        <f>($L$16+SUM($K$16:K183))*C183</f>
        <v>529872.925450227</v>
      </c>
      <c r="E183" s="298">
        <f t="shared" si="51"/>
        <v>6.82679184311874</v>
      </c>
      <c r="F183" s="302">
        <f>($L$16+SUM($K$16:K183))*E183</f>
        <v>205673.147234783</v>
      </c>
      <c r="G183" s="298">
        <f t="shared" si="52"/>
        <v>4.23844057167691</v>
      </c>
      <c r="H183" s="301">
        <f>($L$16+SUM($K$16:K183))*G183</f>
        <v>127692.98255711</v>
      </c>
      <c r="I183" s="298">
        <f t="shared" si="53"/>
        <v>2.62526565481498</v>
      </c>
      <c r="J183" s="301">
        <f>($L$16+SUM($K$16:K183))*I183</f>
        <v>79092.2972255901</v>
      </c>
      <c r="K183" s="299">
        <v>0</v>
      </c>
      <c r="L183" s="299"/>
      <c r="M183" s="87"/>
      <c r="N183" s="87"/>
      <c r="O183" s="303"/>
      <c r="P183" s="87">
        <f t="shared" si="45"/>
        <v>1.62526565481498</v>
      </c>
      <c r="Q183" s="316"/>
      <c r="R183" s="312"/>
      <c r="S183" s="312"/>
      <c r="T183" s="333"/>
      <c r="U183" s="333"/>
    </row>
    <row r="184" spans="1:21">
      <c r="A184" s="117"/>
      <c r="B184" s="297">
        <v>98</v>
      </c>
      <c r="C184" s="298">
        <f t="shared" si="50"/>
        <v>18.1154038843023</v>
      </c>
      <c r="D184" s="301">
        <f>($L$16+SUM($K$16:K184))*C184</f>
        <v>545769.113213735</v>
      </c>
      <c r="E184" s="298">
        <f t="shared" si="51"/>
        <v>6.96332767998111</v>
      </c>
      <c r="F184" s="302">
        <f>($L$16+SUM($K$16:K184))*E184</f>
        <v>209786.610179479</v>
      </c>
      <c r="G184" s="298">
        <f t="shared" si="52"/>
        <v>4.30201718025206</v>
      </c>
      <c r="H184" s="301">
        <f>($L$16+SUM($K$16:K184))*G184</f>
        <v>129608.377295467</v>
      </c>
      <c r="I184" s="298">
        <f t="shared" si="53"/>
        <v>2.65151831136313</v>
      </c>
      <c r="J184" s="301">
        <f>($L$16+SUM($K$16:K184))*I184</f>
        <v>79883.220197846</v>
      </c>
      <c r="K184" s="299">
        <v>0</v>
      </c>
      <c r="L184" s="299"/>
      <c r="M184" s="87"/>
      <c r="N184" s="87"/>
      <c r="O184" s="303"/>
      <c r="P184" s="87">
        <f t="shared" si="45"/>
        <v>1.65151831136313</v>
      </c>
      <c r="Q184" s="316"/>
      <c r="R184" s="312"/>
      <c r="S184" s="312"/>
      <c r="T184" s="333"/>
      <c r="U184" s="333"/>
    </row>
    <row r="185" spans="1:21">
      <c r="A185" s="117"/>
      <c r="B185" s="297">
        <v>99</v>
      </c>
      <c r="C185" s="298">
        <f t="shared" si="50"/>
        <v>18.6588660008314</v>
      </c>
      <c r="D185" s="301">
        <f>($L$16+SUM($K$16:K185))*C185</f>
        <v>562142.186610148</v>
      </c>
      <c r="E185" s="298">
        <f t="shared" si="51"/>
        <v>7.10259423358073</v>
      </c>
      <c r="F185" s="302">
        <f>($L$16+SUM($K$16:K185))*E185</f>
        <v>213982.342383068</v>
      </c>
      <c r="G185" s="298">
        <f t="shared" si="52"/>
        <v>4.36654743795584</v>
      </c>
      <c r="H185" s="301">
        <f>($L$16+SUM($K$16:K185))*G185</f>
        <v>131552.502954899</v>
      </c>
      <c r="I185" s="298">
        <f t="shared" si="53"/>
        <v>2.67803349447676</v>
      </c>
      <c r="J185" s="301">
        <f>($L$16+SUM($K$16:K185))*I185</f>
        <v>80682.0523998244</v>
      </c>
      <c r="K185" s="299">
        <v>0</v>
      </c>
      <c r="L185" s="299"/>
      <c r="M185" s="87"/>
      <c r="N185" s="87"/>
      <c r="O185" s="303"/>
      <c r="P185" s="87">
        <f t="shared" si="45"/>
        <v>1.67803349447676</v>
      </c>
      <c r="Q185" s="316"/>
      <c r="R185" s="312"/>
      <c r="S185" s="312"/>
      <c r="T185" s="333"/>
      <c r="U185" s="333"/>
    </row>
    <row r="186" spans="12:15">
      <c r="L186" s="280"/>
      <c r="M186" s="278"/>
      <c r="O186" s="332"/>
    </row>
    <row r="187" spans="12:15">
      <c r="L187" s="280"/>
      <c r="M187" s="278"/>
      <c r="O187" s="332"/>
    </row>
    <row r="188" spans="12:15">
      <c r="L188" s="280"/>
      <c r="M188" s="278"/>
      <c r="O188" s="332"/>
    </row>
    <row r="189" spans="12:15">
      <c r="L189" s="280"/>
      <c r="M189" s="278"/>
      <c r="O189" s="332"/>
    </row>
    <row r="190" spans="12:15">
      <c r="L190" s="280"/>
      <c r="M190" s="278"/>
      <c r="O190" s="332"/>
    </row>
    <row r="191" spans="12:15">
      <c r="L191" s="280"/>
      <c r="M191" s="278"/>
      <c r="O191" s="332"/>
    </row>
    <row r="192" spans="12:15">
      <c r="L192" s="280"/>
      <c r="M192" s="278"/>
      <c r="O192" s="332"/>
    </row>
    <row r="193" spans="12:15">
      <c r="L193" s="280"/>
      <c r="M193" s="278"/>
      <c r="O193" s="332"/>
    </row>
    <row r="194" spans="12:15">
      <c r="L194" s="280"/>
      <c r="M194" s="278"/>
      <c r="O194" s="332"/>
    </row>
    <row r="195" spans="12:15">
      <c r="L195" s="280"/>
      <c r="M195" s="278"/>
      <c r="O195" s="332"/>
    </row>
    <row r="196" spans="12:15">
      <c r="L196" s="280"/>
      <c r="M196" s="278"/>
      <c r="O196" s="332"/>
    </row>
    <row r="197" spans="12:15">
      <c r="L197" s="280"/>
      <c r="M197" s="278"/>
      <c r="O197" s="332"/>
    </row>
    <row r="198" spans="12:15">
      <c r="L198" s="280"/>
      <c r="M198" s="278"/>
      <c r="O198" s="332"/>
    </row>
    <row r="199" spans="12:15">
      <c r="L199" s="280"/>
      <c r="M199" s="278"/>
      <c r="O199" s="332"/>
    </row>
    <row r="200" spans="12:15">
      <c r="L200" s="280"/>
      <c r="M200" s="278"/>
      <c r="O200" s="332"/>
    </row>
    <row r="201" spans="12:15">
      <c r="L201" s="280"/>
      <c r="M201" s="278"/>
      <c r="O201" s="332"/>
    </row>
    <row r="202" spans="12:15">
      <c r="L202" s="280"/>
      <c r="M202" s="278"/>
      <c r="O202" s="332"/>
    </row>
    <row r="203" spans="12:15">
      <c r="L203" s="280"/>
      <c r="M203" s="278"/>
      <c r="O203" s="332"/>
    </row>
    <row r="204" spans="12:15">
      <c r="L204" s="280"/>
      <c r="M204" s="278"/>
      <c r="O204" s="332"/>
    </row>
    <row r="205" spans="12:15">
      <c r="L205" s="280"/>
      <c r="M205" s="278"/>
      <c r="O205" s="332"/>
    </row>
    <row r="206" spans="12:15">
      <c r="L206" s="280"/>
      <c r="M206" s="278"/>
      <c r="O206" s="332"/>
    </row>
    <row r="207" spans="12:15">
      <c r="L207" s="280"/>
      <c r="M207" s="278"/>
      <c r="O207" s="332"/>
    </row>
    <row r="208" spans="12:15">
      <c r="L208" s="280"/>
      <c r="M208" s="278"/>
      <c r="O208" s="332"/>
    </row>
    <row r="209" spans="12:15">
      <c r="L209" s="280"/>
      <c r="M209" s="278"/>
      <c r="O209" s="332"/>
    </row>
    <row r="210" spans="12:15">
      <c r="L210" s="280"/>
      <c r="M210" s="278"/>
      <c r="O210" s="332"/>
    </row>
    <row r="211" spans="12:15">
      <c r="L211" s="280"/>
      <c r="M211" s="278"/>
      <c r="O211" s="332"/>
    </row>
    <row r="212" spans="12:15">
      <c r="L212" s="280"/>
      <c r="M212" s="278"/>
      <c r="O212" s="332"/>
    </row>
    <row r="213" spans="12:15">
      <c r="L213" s="280"/>
      <c r="M213" s="278"/>
      <c r="O213" s="332"/>
    </row>
    <row r="214" spans="12:15">
      <c r="L214" s="280"/>
      <c r="M214" s="278"/>
      <c r="O214" s="332"/>
    </row>
    <row r="215" spans="12:15">
      <c r="L215" s="280"/>
      <c r="M215" s="278"/>
      <c r="O215" s="332"/>
    </row>
    <row r="216" spans="12:15">
      <c r="L216" s="280"/>
      <c r="M216" s="278"/>
      <c r="O216" s="332"/>
    </row>
    <row r="217" spans="12:15">
      <c r="L217" s="280"/>
      <c r="M217" s="278"/>
      <c r="O217" s="332"/>
    </row>
    <row r="218" spans="12:15">
      <c r="L218" s="280"/>
      <c r="M218" s="278"/>
      <c r="O218" s="332"/>
    </row>
    <row r="219" spans="12:15">
      <c r="L219" s="280"/>
      <c r="M219" s="278"/>
      <c r="O219" s="332"/>
    </row>
    <row r="220" spans="12:15">
      <c r="L220" s="280"/>
      <c r="M220" s="278"/>
      <c r="O220" s="332"/>
    </row>
    <row r="221" spans="12:15">
      <c r="L221" s="280"/>
      <c r="M221" s="278"/>
      <c r="O221" s="332"/>
    </row>
    <row r="222" spans="12:15">
      <c r="L222" s="280"/>
      <c r="M222" s="278"/>
      <c r="O222" s="332"/>
    </row>
    <row r="223" spans="12:15">
      <c r="L223" s="280"/>
      <c r="M223" s="278"/>
      <c r="O223" s="332"/>
    </row>
    <row r="224" spans="12:15">
      <c r="L224" s="280"/>
      <c r="M224" s="278"/>
      <c r="O224" s="332"/>
    </row>
    <row r="225" spans="12:15">
      <c r="L225" s="280"/>
      <c r="M225" s="278"/>
      <c r="O225" s="332"/>
    </row>
    <row r="226" spans="12:15">
      <c r="L226" s="280"/>
      <c r="M226" s="278"/>
      <c r="O226" s="332"/>
    </row>
    <row r="227" spans="12:15">
      <c r="L227" s="280"/>
      <c r="M227" s="278"/>
      <c r="O227" s="332"/>
    </row>
    <row r="228" spans="12:15">
      <c r="L228" s="280"/>
      <c r="M228" s="278"/>
      <c r="O228" s="332"/>
    </row>
    <row r="229" spans="12:15">
      <c r="L229" s="280"/>
      <c r="M229" s="278"/>
      <c r="O229" s="332"/>
    </row>
    <row r="230" spans="12:15">
      <c r="L230" s="280"/>
      <c r="M230" s="278"/>
      <c r="O230" s="332"/>
    </row>
    <row r="231" spans="12:15">
      <c r="L231" s="280"/>
      <c r="M231" s="278"/>
      <c r="O231" s="332"/>
    </row>
    <row r="232" spans="12:15">
      <c r="L232" s="280"/>
      <c r="M232" s="278"/>
      <c r="O232" s="332"/>
    </row>
    <row r="233" spans="12:15">
      <c r="L233" s="280"/>
      <c r="M233" s="278"/>
      <c r="O233" s="332"/>
    </row>
    <row r="234" spans="12:15">
      <c r="L234" s="280"/>
      <c r="M234" s="278"/>
      <c r="O234" s="332"/>
    </row>
    <row r="235" spans="12:15">
      <c r="L235" s="280"/>
      <c r="M235" s="278"/>
      <c r="O235" s="332"/>
    </row>
    <row r="236" spans="12:15">
      <c r="L236" s="280"/>
      <c r="M236" s="278"/>
      <c r="O236" s="332"/>
    </row>
    <row r="237" spans="12:15">
      <c r="L237" s="280"/>
      <c r="M237" s="278"/>
      <c r="O237" s="332"/>
    </row>
    <row r="238" spans="12:15">
      <c r="L238" s="280"/>
      <c r="M238" s="278"/>
      <c r="O238" s="332"/>
    </row>
    <row r="239" spans="12:15">
      <c r="L239" s="280"/>
      <c r="M239" s="278"/>
      <c r="O239" s="332"/>
    </row>
    <row r="240" spans="12:15">
      <c r="L240" s="280"/>
      <c r="M240" s="278"/>
      <c r="O240" s="332"/>
    </row>
    <row r="241" spans="12:15">
      <c r="L241" s="280"/>
      <c r="M241" s="278"/>
      <c r="O241" s="332"/>
    </row>
    <row r="242" spans="12:15">
      <c r="L242" s="280"/>
      <c r="M242" s="278"/>
      <c r="O242" s="332"/>
    </row>
    <row r="243" spans="12:15">
      <c r="L243" s="280"/>
      <c r="M243" s="278"/>
      <c r="O243" s="332"/>
    </row>
    <row r="244" spans="12:15">
      <c r="L244" s="280"/>
      <c r="M244" s="278"/>
      <c r="O244" s="332"/>
    </row>
    <row r="245" spans="12:15">
      <c r="L245" s="280"/>
      <c r="M245" s="278"/>
      <c r="O245" s="332"/>
    </row>
    <row r="246" spans="12:15">
      <c r="L246" s="280"/>
      <c r="M246" s="278"/>
      <c r="O246" s="332"/>
    </row>
    <row r="247" spans="12:15">
      <c r="L247" s="280"/>
      <c r="M247" s="278"/>
      <c r="O247" s="332"/>
    </row>
    <row r="248" spans="12:15">
      <c r="L248" s="280"/>
      <c r="M248" s="278"/>
      <c r="O248" s="332"/>
    </row>
    <row r="249" spans="12:15">
      <c r="L249" s="280"/>
      <c r="M249" s="278"/>
      <c r="O249" s="332"/>
    </row>
    <row r="250" spans="12:15">
      <c r="L250" s="280"/>
      <c r="M250" s="278"/>
      <c r="O250" s="332"/>
    </row>
    <row r="251" spans="12:15">
      <c r="L251" s="280"/>
      <c r="M251" s="278"/>
      <c r="O251" s="332"/>
    </row>
    <row r="252" spans="12:15">
      <c r="L252" s="280"/>
      <c r="M252" s="278"/>
      <c r="O252" s="332"/>
    </row>
    <row r="253" spans="12:15">
      <c r="L253" s="280"/>
      <c r="M253" s="278"/>
      <c r="O253" s="332"/>
    </row>
    <row r="254" spans="12:15">
      <c r="L254" s="280"/>
      <c r="M254" s="278"/>
      <c r="O254" s="332"/>
    </row>
    <row r="255" spans="12:15">
      <c r="L255" s="280"/>
      <c r="M255" s="278"/>
      <c r="O255" s="332"/>
    </row>
    <row r="256" spans="12:15">
      <c r="L256" s="280"/>
      <c r="M256" s="278"/>
      <c r="O256" s="332"/>
    </row>
    <row r="257" spans="12:15">
      <c r="L257" s="280"/>
      <c r="M257" s="278"/>
      <c r="O257" s="332"/>
    </row>
    <row r="258" spans="12:15">
      <c r="L258" s="280"/>
      <c r="M258" s="278"/>
      <c r="O258" s="332"/>
    </row>
    <row r="259" spans="12:15">
      <c r="L259" s="280"/>
      <c r="M259" s="278"/>
      <c r="O259" s="332"/>
    </row>
    <row r="260" spans="12:15">
      <c r="L260" s="280"/>
      <c r="M260" s="278"/>
      <c r="O260" s="332"/>
    </row>
    <row r="261" spans="12:15">
      <c r="L261" s="280"/>
      <c r="M261" s="278"/>
      <c r="O261" s="332"/>
    </row>
    <row r="262" spans="12:15">
      <c r="L262" s="280"/>
      <c r="M262" s="278"/>
      <c r="O262" s="332"/>
    </row>
    <row r="263" spans="12:15">
      <c r="L263" s="280"/>
      <c r="M263" s="278"/>
      <c r="O263" s="332"/>
    </row>
    <row r="264" spans="12:15">
      <c r="L264" s="280"/>
      <c r="M264" s="278"/>
      <c r="O264" s="332"/>
    </row>
    <row r="265" spans="12:15">
      <c r="L265" s="280"/>
      <c r="M265" s="278"/>
      <c r="O265" s="332"/>
    </row>
    <row r="266" spans="12:15">
      <c r="L266" s="280"/>
      <c r="M266" s="278"/>
      <c r="O266" s="332"/>
    </row>
    <row r="267" spans="12:15">
      <c r="L267" s="280"/>
      <c r="M267" s="278"/>
      <c r="O267" s="332"/>
    </row>
    <row r="268" spans="12:15">
      <c r="L268" s="280"/>
      <c r="M268" s="278"/>
      <c r="O268" s="332"/>
    </row>
    <row r="269" spans="12:15">
      <c r="L269" s="280"/>
      <c r="M269" s="278"/>
      <c r="O269" s="332"/>
    </row>
    <row r="270" spans="12:15">
      <c r="L270" s="280"/>
      <c r="M270" s="278"/>
      <c r="O270" s="332"/>
    </row>
    <row r="271" spans="12:15">
      <c r="L271" s="280"/>
      <c r="M271" s="278"/>
      <c r="O271" s="332"/>
    </row>
    <row r="272" spans="12:15">
      <c r="L272" s="280"/>
      <c r="M272" s="278"/>
      <c r="O272" s="332"/>
    </row>
    <row r="273" spans="12:15">
      <c r="L273" s="280"/>
      <c r="M273" s="278"/>
      <c r="O273" s="332"/>
    </row>
    <row r="274" spans="12:15">
      <c r="L274" s="280"/>
      <c r="M274" s="278"/>
      <c r="O274" s="332"/>
    </row>
    <row r="275" spans="12:15">
      <c r="L275" s="280"/>
      <c r="M275" s="278"/>
      <c r="O275" s="332"/>
    </row>
    <row r="276" spans="12:15">
      <c r="L276" s="280"/>
      <c r="M276" s="278"/>
      <c r="O276" s="332"/>
    </row>
    <row r="277" spans="12:15">
      <c r="L277" s="280"/>
      <c r="M277" s="278"/>
      <c r="O277" s="332"/>
    </row>
    <row r="278" spans="12:15">
      <c r="L278" s="280"/>
      <c r="M278" s="278"/>
      <c r="O278" s="332"/>
    </row>
    <row r="279" spans="12:15">
      <c r="L279" s="280"/>
      <c r="M279" s="278"/>
      <c r="O279" s="332"/>
    </row>
    <row r="280" spans="12:15">
      <c r="L280" s="280"/>
      <c r="M280" s="278"/>
      <c r="O280" s="332"/>
    </row>
    <row r="281" spans="12:15">
      <c r="L281" s="280"/>
      <c r="M281" s="278"/>
      <c r="O281" s="332"/>
    </row>
    <row r="282" spans="12:15">
      <c r="L282" s="280"/>
      <c r="M282" s="278"/>
      <c r="O282" s="332"/>
    </row>
    <row r="283" spans="12:15">
      <c r="L283" s="280"/>
      <c r="M283" s="278"/>
      <c r="O283" s="332"/>
    </row>
    <row r="284" spans="12:15">
      <c r="L284" s="280"/>
      <c r="M284" s="278"/>
      <c r="O284" s="332"/>
    </row>
    <row r="285" spans="12:15">
      <c r="L285" s="280"/>
      <c r="M285" s="278"/>
      <c r="O285" s="332"/>
    </row>
    <row r="286" spans="12:15">
      <c r="L286" s="280"/>
      <c r="M286" s="278"/>
      <c r="O286" s="332"/>
    </row>
    <row r="287" spans="12:15">
      <c r="L287" s="280"/>
      <c r="M287" s="278"/>
      <c r="O287" s="332"/>
    </row>
    <row r="288" spans="12:15">
      <c r="L288" s="280"/>
      <c r="M288" s="278"/>
      <c r="O288" s="332"/>
    </row>
    <row r="289" spans="12:15">
      <c r="L289" s="280"/>
      <c r="M289" s="278"/>
      <c r="O289" s="332"/>
    </row>
    <row r="290" spans="12:15">
      <c r="L290" s="280"/>
      <c r="M290" s="278"/>
      <c r="O290" s="332"/>
    </row>
    <row r="291" spans="12:15">
      <c r="L291" s="280"/>
      <c r="M291" s="278"/>
      <c r="O291" s="332"/>
    </row>
    <row r="292" spans="12:15">
      <c r="L292" s="280"/>
      <c r="M292" s="278"/>
      <c r="O292" s="332"/>
    </row>
    <row r="293" spans="12:15">
      <c r="L293" s="280"/>
      <c r="M293" s="278"/>
      <c r="O293" s="332"/>
    </row>
    <row r="294" spans="12:15">
      <c r="L294" s="280"/>
      <c r="M294" s="278"/>
      <c r="O294" s="332"/>
    </row>
    <row r="295" spans="12:15">
      <c r="L295" s="280"/>
      <c r="M295" s="278"/>
      <c r="O295" s="332"/>
    </row>
    <row r="296" spans="12:15">
      <c r="L296" s="280"/>
      <c r="M296" s="278"/>
      <c r="O296" s="332"/>
    </row>
    <row r="297" spans="12:15">
      <c r="L297" s="280"/>
      <c r="M297" s="278"/>
      <c r="O297" s="332"/>
    </row>
    <row r="298" spans="12:15">
      <c r="L298" s="280"/>
      <c r="M298" s="278"/>
      <c r="O298" s="332"/>
    </row>
    <row r="299" spans="12:15">
      <c r="L299" s="280"/>
      <c r="M299" s="278"/>
      <c r="O299" s="332"/>
    </row>
    <row r="300" spans="12:15">
      <c r="L300" s="280"/>
      <c r="M300" s="278"/>
      <c r="O300" s="332"/>
    </row>
    <row r="301" spans="12:15">
      <c r="L301" s="280"/>
      <c r="M301" s="278"/>
      <c r="O301" s="332"/>
    </row>
    <row r="302" spans="12:15">
      <c r="L302" s="280"/>
      <c r="M302" s="278"/>
      <c r="O302" s="332"/>
    </row>
    <row r="303" spans="12:15">
      <c r="L303" s="280"/>
      <c r="M303" s="278"/>
      <c r="O303" s="332"/>
    </row>
    <row r="304" spans="12:15">
      <c r="L304" s="280"/>
      <c r="M304" s="278"/>
      <c r="O304" s="332"/>
    </row>
    <row r="305" spans="12:15">
      <c r="L305" s="280"/>
      <c r="M305" s="278"/>
      <c r="O305" s="332"/>
    </row>
    <row r="306" spans="12:15">
      <c r="L306" s="280"/>
      <c r="M306" s="278"/>
      <c r="O306" s="332"/>
    </row>
    <row r="307" spans="12:15">
      <c r="L307" s="280"/>
      <c r="M307" s="278"/>
      <c r="O307" s="332"/>
    </row>
    <row r="308" spans="12:15">
      <c r="L308" s="280"/>
      <c r="M308" s="278"/>
      <c r="O308" s="332"/>
    </row>
    <row r="309" spans="12:15">
      <c r="L309" s="280"/>
      <c r="M309" s="278"/>
      <c r="O309" s="332"/>
    </row>
    <row r="310" spans="12:15">
      <c r="L310" s="280"/>
      <c r="M310" s="278"/>
      <c r="O310" s="332"/>
    </row>
    <row r="311" spans="12:15">
      <c r="L311" s="280"/>
      <c r="M311" s="278"/>
      <c r="O311" s="332"/>
    </row>
    <row r="312" spans="12:15">
      <c r="L312" s="280"/>
      <c r="M312" s="278"/>
      <c r="O312" s="332"/>
    </row>
    <row r="313" spans="12:15">
      <c r="L313" s="280"/>
      <c r="M313" s="278"/>
      <c r="O313" s="332"/>
    </row>
    <row r="314" spans="12:15">
      <c r="L314" s="280"/>
      <c r="M314" s="278"/>
      <c r="O314" s="332"/>
    </row>
    <row r="315" spans="12:15">
      <c r="L315" s="280"/>
      <c r="M315" s="278"/>
      <c r="O315" s="332"/>
    </row>
    <row r="316" spans="12:15">
      <c r="L316" s="280"/>
      <c r="M316" s="278"/>
      <c r="O316" s="332"/>
    </row>
    <row r="317" spans="12:15">
      <c r="L317" s="280"/>
      <c r="M317" s="278"/>
      <c r="O317" s="332"/>
    </row>
    <row r="318" spans="12:15">
      <c r="L318" s="280"/>
      <c r="M318" s="278"/>
      <c r="O318" s="332"/>
    </row>
    <row r="319" spans="12:15">
      <c r="L319" s="280"/>
      <c r="M319" s="278"/>
      <c r="O319" s="332"/>
    </row>
    <row r="320" spans="12:15">
      <c r="L320" s="280"/>
      <c r="M320" s="278"/>
      <c r="O320" s="332"/>
    </row>
    <row r="321" spans="12:15">
      <c r="L321" s="280"/>
      <c r="M321" s="278"/>
      <c r="O321" s="332"/>
    </row>
    <row r="322" spans="12:15">
      <c r="L322" s="280"/>
      <c r="M322" s="278"/>
      <c r="O322" s="332"/>
    </row>
    <row r="323" spans="12:15">
      <c r="L323" s="280"/>
      <c r="M323" s="278"/>
      <c r="O323" s="332"/>
    </row>
    <row r="324" spans="12:15">
      <c r="L324" s="280"/>
      <c r="M324" s="278"/>
      <c r="O324" s="332"/>
    </row>
    <row r="325" spans="12:15">
      <c r="L325" s="280"/>
      <c r="M325" s="278"/>
      <c r="O325" s="332"/>
    </row>
    <row r="326" spans="12:15">
      <c r="L326" s="280"/>
      <c r="M326" s="278"/>
      <c r="O326" s="332"/>
    </row>
    <row r="327" spans="12:15">
      <c r="L327" s="280"/>
      <c r="M327" s="278"/>
      <c r="O327" s="332"/>
    </row>
    <row r="328" spans="12:15">
      <c r="L328" s="280"/>
      <c r="M328" s="278"/>
      <c r="O328" s="332"/>
    </row>
    <row r="329" spans="12:15">
      <c r="L329" s="280"/>
      <c r="M329" s="278"/>
      <c r="O329" s="332"/>
    </row>
    <row r="330" spans="12:15">
      <c r="L330" s="280"/>
      <c r="M330" s="278"/>
      <c r="O330" s="332"/>
    </row>
    <row r="331" spans="12:15">
      <c r="L331" s="280"/>
      <c r="M331" s="278"/>
      <c r="O331" s="332"/>
    </row>
    <row r="332" spans="12:15">
      <c r="L332" s="280"/>
      <c r="M332" s="278"/>
      <c r="O332" s="332"/>
    </row>
    <row r="333" spans="12:15">
      <c r="L333" s="280"/>
      <c r="M333" s="278"/>
      <c r="O333" s="332"/>
    </row>
    <row r="334" spans="12:15">
      <c r="L334" s="280"/>
      <c r="M334" s="278"/>
      <c r="O334" s="332"/>
    </row>
    <row r="335" spans="12:15">
      <c r="L335" s="280"/>
      <c r="M335" s="278"/>
      <c r="O335" s="332"/>
    </row>
    <row r="336" spans="12:15">
      <c r="L336" s="280"/>
      <c r="M336" s="278"/>
      <c r="O336" s="332"/>
    </row>
    <row r="337" spans="12:15">
      <c r="L337" s="280"/>
      <c r="M337" s="278"/>
      <c r="O337" s="332"/>
    </row>
    <row r="338" spans="12:15">
      <c r="L338" s="280"/>
      <c r="M338" s="278"/>
      <c r="O338" s="332"/>
    </row>
    <row r="339" spans="12:15">
      <c r="L339" s="280"/>
      <c r="M339" s="278"/>
      <c r="O339" s="332"/>
    </row>
    <row r="340" spans="12:15">
      <c r="L340" s="280"/>
      <c r="M340" s="278"/>
      <c r="O340" s="332"/>
    </row>
    <row r="341" spans="12:15">
      <c r="L341" s="280"/>
      <c r="M341" s="278"/>
      <c r="O341" s="332"/>
    </row>
    <row r="342" spans="12:15">
      <c r="L342" s="280"/>
      <c r="M342" s="278"/>
      <c r="O342" s="332"/>
    </row>
    <row r="343" spans="12:15">
      <c r="L343" s="280"/>
      <c r="M343" s="278"/>
      <c r="O343" s="332"/>
    </row>
    <row r="344" spans="12:15">
      <c r="L344" s="280"/>
      <c r="M344" s="278"/>
      <c r="O344" s="332"/>
    </row>
    <row r="345" spans="12:15">
      <c r="L345" s="280"/>
      <c r="M345" s="278"/>
      <c r="O345" s="332"/>
    </row>
    <row r="346" spans="12:15">
      <c r="L346" s="280"/>
      <c r="M346" s="278"/>
      <c r="O346" s="332"/>
    </row>
    <row r="347" spans="12:15">
      <c r="L347" s="280"/>
      <c r="M347" s="278"/>
      <c r="O347" s="332"/>
    </row>
    <row r="348" spans="12:15">
      <c r="L348" s="280"/>
      <c r="M348" s="278"/>
      <c r="O348" s="332"/>
    </row>
    <row r="349" spans="12:15">
      <c r="L349" s="280"/>
      <c r="M349" s="278"/>
      <c r="O349" s="332"/>
    </row>
    <row r="350" spans="12:15">
      <c r="L350" s="280"/>
      <c r="M350" s="278"/>
      <c r="O350" s="332"/>
    </row>
    <row r="351" spans="12:15">
      <c r="L351" s="280"/>
      <c r="M351" s="278"/>
      <c r="O351" s="332"/>
    </row>
    <row r="352" spans="12:15">
      <c r="L352" s="280"/>
      <c r="M352" s="278"/>
      <c r="O352" s="332"/>
    </row>
    <row r="353" spans="12:15">
      <c r="L353" s="280"/>
      <c r="M353" s="278"/>
      <c r="O353" s="332"/>
    </row>
    <row r="354" spans="12:15">
      <c r="L354" s="280"/>
      <c r="M354" s="278"/>
      <c r="O354" s="332"/>
    </row>
    <row r="355" spans="12:15">
      <c r="L355" s="280"/>
      <c r="M355" s="278"/>
      <c r="O355" s="332"/>
    </row>
    <row r="356" spans="12:15">
      <c r="L356" s="280"/>
      <c r="M356" s="278"/>
      <c r="O356" s="332"/>
    </row>
    <row r="357" spans="12:15">
      <c r="L357" s="280"/>
      <c r="M357" s="278"/>
      <c r="O357" s="332"/>
    </row>
    <row r="358" spans="12:15">
      <c r="L358" s="280"/>
      <c r="M358" s="278"/>
      <c r="O358" s="332"/>
    </row>
    <row r="359" spans="12:15">
      <c r="L359" s="280"/>
      <c r="M359" s="278"/>
      <c r="O359" s="332"/>
    </row>
    <row r="360" spans="12:15">
      <c r="L360" s="280"/>
      <c r="M360" s="278"/>
      <c r="O360" s="332"/>
    </row>
    <row r="361" spans="12:15">
      <c r="L361" s="280"/>
      <c r="M361" s="278"/>
      <c r="O361" s="332"/>
    </row>
    <row r="362" spans="12:15">
      <c r="L362" s="280"/>
      <c r="M362" s="278"/>
      <c r="O362" s="332"/>
    </row>
    <row r="363" spans="12:15">
      <c r="L363" s="280"/>
      <c r="M363" s="278"/>
      <c r="O363" s="332"/>
    </row>
    <row r="364" spans="12:15">
      <c r="L364" s="280"/>
      <c r="M364" s="278"/>
      <c r="O364" s="332"/>
    </row>
    <row r="365" spans="12:15">
      <c r="L365" s="280"/>
      <c r="M365" s="278"/>
      <c r="O365" s="332"/>
    </row>
    <row r="366" spans="12:15">
      <c r="L366" s="280"/>
      <c r="M366" s="278"/>
      <c r="O366" s="332"/>
    </row>
    <row r="367" spans="12:15">
      <c r="L367" s="280"/>
      <c r="M367" s="278"/>
      <c r="O367" s="332"/>
    </row>
    <row r="368" spans="12:15">
      <c r="L368" s="280"/>
      <c r="M368" s="278"/>
      <c r="O368" s="332"/>
    </row>
    <row r="369" spans="12:15">
      <c r="L369" s="280"/>
      <c r="M369" s="278"/>
      <c r="O369" s="332"/>
    </row>
    <row r="370" spans="12:15">
      <c r="L370" s="280"/>
      <c r="M370" s="278"/>
      <c r="O370" s="332"/>
    </row>
    <row r="371" spans="12:15">
      <c r="L371" s="280"/>
      <c r="M371" s="278"/>
      <c r="O371" s="332"/>
    </row>
    <row r="372" spans="12:15">
      <c r="L372" s="280"/>
      <c r="M372" s="278"/>
      <c r="O372" s="332"/>
    </row>
    <row r="373" spans="12:15">
      <c r="L373" s="280"/>
      <c r="M373" s="278"/>
      <c r="O373" s="332"/>
    </row>
    <row r="374" spans="12:15">
      <c r="L374" s="280"/>
      <c r="M374" s="278"/>
      <c r="O374" s="332"/>
    </row>
    <row r="375" spans="12:15">
      <c r="L375" s="280"/>
      <c r="M375" s="278"/>
      <c r="O375" s="332"/>
    </row>
    <row r="376" spans="12:15">
      <c r="L376" s="280"/>
      <c r="M376" s="278"/>
      <c r="O376" s="332"/>
    </row>
    <row r="377" spans="12:15">
      <c r="L377" s="280"/>
      <c r="M377" s="278"/>
      <c r="O377" s="332"/>
    </row>
    <row r="378" spans="12:15">
      <c r="L378" s="280"/>
      <c r="M378" s="278"/>
      <c r="O378" s="332"/>
    </row>
    <row r="379" spans="12:15">
      <c r="L379" s="280"/>
      <c r="M379" s="278"/>
      <c r="O379" s="332"/>
    </row>
    <row r="380" spans="12:15">
      <c r="L380" s="280"/>
      <c r="M380" s="278"/>
      <c r="O380" s="332"/>
    </row>
    <row r="381" spans="12:15">
      <c r="L381" s="280"/>
      <c r="M381" s="278"/>
      <c r="O381" s="332"/>
    </row>
    <row r="382" spans="12:15">
      <c r="L382" s="280"/>
      <c r="M382" s="278"/>
      <c r="O382" s="332"/>
    </row>
    <row r="383" spans="12:15">
      <c r="L383" s="280"/>
      <c r="M383" s="278"/>
      <c r="O383" s="332"/>
    </row>
    <row r="384" spans="12:15">
      <c r="L384" s="280"/>
      <c r="M384" s="278"/>
      <c r="O384" s="332"/>
    </row>
    <row r="385" spans="12:15">
      <c r="L385" s="280"/>
      <c r="M385" s="278"/>
      <c r="O385" s="332"/>
    </row>
    <row r="386" spans="12:15">
      <c r="L386" s="280"/>
      <c r="M386" s="278"/>
      <c r="O386" s="332"/>
    </row>
    <row r="387" spans="12:15">
      <c r="L387" s="280"/>
      <c r="M387" s="278"/>
      <c r="O387" s="332"/>
    </row>
    <row r="388" spans="12:15">
      <c r="L388" s="280"/>
      <c r="M388" s="278"/>
      <c r="O388" s="332"/>
    </row>
    <row r="389" spans="12:15">
      <c r="L389" s="280"/>
      <c r="M389" s="278"/>
      <c r="O389" s="332"/>
    </row>
    <row r="390" spans="12:15">
      <c r="L390" s="280"/>
      <c r="M390" s="278"/>
      <c r="O390" s="332"/>
    </row>
    <row r="391" spans="12:15">
      <c r="L391" s="280"/>
      <c r="M391" s="278"/>
      <c r="O391" s="332"/>
    </row>
    <row r="392" spans="12:15">
      <c r="L392" s="280"/>
      <c r="M392" s="278"/>
      <c r="O392" s="332"/>
    </row>
    <row r="393" spans="12:15">
      <c r="L393" s="280"/>
      <c r="M393" s="278"/>
      <c r="O393" s="332"/>
    </row>
    <row r="394" spans="12:15">
      <c r="L394" s="280"/>
      <c r="M394" s="278"/>
      <c r="O394" s="332"/>
    </row>
    <row r="395" spans="12:15">
      <c r="L395" s="280"/>
      <c r="M395" s="278"/>
      <c r="O395" s="332"/>
    </row>
    <row r="396" spans="12:15">
      <c r="L396" s="280"/>
      <c r="M396" s="278"/>
      <c r="O396" s="332"/>
    </row>
    <row r="397" spans="12:15">
      <c r="L397" s="280"/>
      <c r="M397" s="278"/>
      <c r="O397" s="332"/>
    </row>
    <row r="398" spans="12:15">
      <c r="L398" s="280"/>
      <c r="M398" s="278"/>
      <c r="O398" s="332"/>
    </row>
    <row r="399" spans="12:15">
      <c r="L399" s="280"/>
      <c r="M399" s="278"/>
      <c r="O399" s="332"/>
    </row>
    <row r="400" spans="12:15">
      <c r="L400" s="280"/>
      <c r="M400" s="278"/>
      <c r="O400" s="332"/>
    </row>
    <row r="401" spans="12:15">
      <c r="L401" s="280"/>
      <c r="M401" s="278"/>
      <c r="O401" s="332"/>
    </row>
    <row r="402" spans="12:15">
      <c r="L402" s="280"/>
      <c r="M402" s="278"/>
      <c r="O402" s="332"/>
    </row>
    <row r="403" spans="12:15">
      <c r="L403" s="280"/>
      <c r="M403" s="278"/>
      <c r="O403" s="332"/>
    </row>
    <row r="404" spans="12:15">
      <c r="L404" s="280"/>
      <c r="M404" s="278"/>
      <c r="O404" s="332"/>
    </row>
    <row r="405" spans="12:15">
      <c r="L405" s="280"/>
      <c r="M405" s="278"/>
      <c r="O405" s="332"/>
    </row>
    <row r="406" spans="12:15">
      <c r="L406" s="280"/>
      <c r="M406" s="278"/>
      <c r="O406" s="332"/>
    </row>
    <row r="407" spans="12:15">
      <c r="L407" s="280"/>
      <c r="M407" s="278"/>
      <c r="O407" s="332"/>
    </row>
    <row r="408" spans="12:15">
      <c r="L408" s="280"/>
      <c r="M408" s="278"/>
      <c r="O408" s="332"/>
    </row>
    <row r="409" spans="12:15">
      <c r="L409" s="280"/>
      <c r="M409" s="278"/>
      <c r="O409" s="332"/>
    </row>
    <row r="410" spans="12:15">
      <c r="L410" s="280"/>
      <c r="M410" s="278"/>
      <c r="O410" s="332"/>
    </row>
    <row r="411" spans="12:15">
      <c r="L411" s="280"/>
      <c r="M411" s="278"/>
      <c r="O411" s="332"/>
    </row>
    <row r="412" spans="12:15">
      <c r="L412" s="280"/>
      <c r="M412" s="278"/>
      <c r="O412" s="332"/>
    </row>
    <row r="413" spans="12:15">
      <c r="L413" s="280"/>
      <c r="M413" s="278"/>
      <c r="O413" s="332"/>
    </row>
    <row r="414" spans="12:15">
      <c r="L414" s="280"/>
      <c r="M414" s="278"/>
      <c r="O414" s="332"/>
    </row>
    <row r="415" spans="12:15">
      <c r="L415" s="280"/>
      <c r="M415" s="278"/>
      <c r="O415" s="332"/>
    </row>
    <row r="416" spans="12:15">
      <c r="L416" s="280"/>
      <c r="M416" s="278"/>
      <c r="O416" s="332"/>
    </row>
    <row r="417" spans="12:15">
      <c r="L417" s="280"/>
      <c r="M417" s="278"/>
      <c r="O417" s="332"/>
    </row>
    <row r="418" spans="12:15">
      <c r="L418" s="280"/>
      <c r="M418" s="278"/>
      <c r="O418" s="332"/>
    </row>
    <row r="419" spans="12:15">
      <c r="L419" s="280"/>
      <c r="M419" s="278"/>
      <c r="O419" s="332"/>
    </row>
    <row r="420" spans="12:15">
      <c r="L420" s="280"/>
      <c r="M420" s="278"/>
      <c r="O420" s="332"/>
    </row>
    <row r="421" spans="12:15">
      <c r="L421" s="280"/>
      <c r="M421" s="278"/>
      <c r="O421" s="332"/>
    </row>
    <row r="422" spans="12:15">
      <c r="L422" s="280"/>
      <c r="M422" s="278"/>
      <c r="O422" s="332"/>
    </row>
    <row r="423" spans="12:15">
      <c r="L423" s="280"/>
      <c r="M423" s="278"/>
      <c r="O423" s="332"/>
    </row>
    <row r="424" spans="12:15">
      <c r="L424" s="280"/>
      <c r="M424" s="278"/>
      <c r="O424" s="332"/>
    </row>
    <row r="425" spans="12:15">
      <c r="L425" s="280"/>
      <c r="M425" s="278"/>
      <c r="O425" s="332"/>
    </row>
    <row r="426" spans="12:15">
      <c r="L426" s="280"/>
      <c r="M426" s="278"/>
      <c r="O426" s="332"/>
    </row>
    <row r="427" spans="12:15">
      <c r="L427" s="280"/>
      <c r="M427" s="278"/>
      <c r="O427" s="332"/>
    </row>
    <row r="428" spans="12:15">
      <c r="L428" s="280"/>
      <c r="M428" s="278"/>
      <c r="O428" s="332"/>
    </row>
    <row r="429" spans="12:15">
      <c r="L429" s="280"/>
      <c r="M429" s="278"/>
      <c r="O429" s="332"/>
    </row>
    <row r="430" spans="12:15">
      <c r="L430" s="280"/>
      <c r="M430" s="278"/>
      <c r="O430" s="332"/>
    </row>
    <row r="431" spans="12:15">
      <c r="L431" s="280"/>
      <c r="M431" s="278"/>
      <c r="O431" s="332"/>
    </row>
    <row r="432" spans="12:15">
      <c r="L432" s="280"/>
      <c r="M432" s="278"/>
      <c r="O432" s="332"/>
    </row>
    <row r="433" spans="12:15">
      <c r="L433" s="280"/>
      <c r="M433" s="278"/>
      <c r="O433" s="332"/>
    </row>
  </sheetData>
  <conditionalFormatting sqref="D17:D185">
    <cfRule type="cellIs" dxfId="0" priority="9" operator="lessThan">
      <formula>3</formula>
    </cfRule>
    <cfRule type="cellIs" dxfId="1" priority="10" operator="greaterThanOrEqual">
      <formula>O17</formula>
    </cfRule>
  </conditionalFormatting>
  <conditionalFormatting sqref="F17:F185">
    <cfRule type="cellIs" dxfId="0" priority="11" operator="lessThan">
      <formula>O17</formula>
    </cfRule>
    <cfRule type="cellIs" dxfId="1" priority="12" operator="greaterThanOrEqual">
      <formula>O17</formula>
    </cfRule>
  </conditionalFormatting>
  <conditionalFormatting sqref="H17:H185">
    <cfRule type="cellIs" dxfId="1" priority="13" operator="greaterThanOrEqual">
      <formula>O17</formula>
    </cfRule>
    <cfRule type="cellIs" dxfId="0" priority="14" operator="lessThan">
      <formula>O17</formula>
    </cfRule>
  </conditionalFormatting>
  <conditionalFormatting sqref="J17:J185">
    <cfRule type="cellIs" dxfId="1" priority="15" operator="greaterThanOrEqual">
      <formula>O17</formula>
    </cfRule>
    <cfRule type="cellIs" dxfId="0" priority="16" operator="lessThan">
      <formula>O17</formula>
    </cfRule>
  </conditionalFormatting>
  <conditionalFormatting sqref="P16:P185">
    <cfRule type="cellIs" dxfId="0" priority="1" operator="lessThanOrEqual">
      <formula>N16</formula>
    </cfRule>
    <cfRule type="cellIs" dxfId="1" priority="2" operator="greaterThan">
      <formula>N16</formula>
    </cfRule>
  </conditionalFormatting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1"/>
  <sheetViews>
    <sheetView tabSelected="1" workbookViewId="0">
      <selection activeCell="E30" sqref="E30"/>
    </sheetView>
  </sheetViews>
  <sheetFormatPr defaultColWidth="8.66666666666667" defaultRowHeight="15.75" outlineLevelCol="4"/>
  <cols>
    <col min="1" max="1" width="5.375" style="266" customWidth="1"/>
    <col min="2" max="2" width="12.375" style="267" customWidth="1"/>
    <col min="3" max="3" width="9.375" style="268" customWidth="1"/>
    <col min="4" max="4" width="9.375" style="269" customWidth="1"/>
    <col min="5" max="5" width="16.5" style="268" customWidth="1"/>
    <col min="6" max="6" width="8.66666666666667" style="270"/>
    <col min="7" max="16384" width="8.66666666666667" style="271"/>
  </cols>
  <sheetData>
    <row r="1" spans="2:5">
      <c r="B1" s="267" t="s">
        <v>57</v>
      </c>
      <c r="C1" s="268" t="s">
        <v>58</v>
      </c>
      <c r="D1" s="269" t="s">
        <v>59</v>
      </c>
      <c r="E1" s="268" t="s">
        <v>60</v>
      </c>
    </row>
    <row r="2" spans="1:5">
      <c r="A2" s="266">
        <v>0</v>
      </c>
      <c r="B2" s="267">
        <v>45885</v>
      </c>
      <c r="C2" s="272">
        <v>16.65</v>
      </c>
      <c r="D2" s="273">
        <v>0</v>
      </c>
      <c r="E2" s="274">
        <v>16.65</v>
      </c>
    </row>
    <row r="3" spans="1:5">
      <c r="A3" s="266">
        <v>1</v>
      </c>
      <c r="B3" s="267">
        <v>45886</v>
      </c>
      <c r="C3" s="272">
        <v>16.81</v>
      </c>
      <c r="D3" s="273">
        <f>C3/C2-1</f>
        <v>0.00960960960960966</v>
      </c>
      <c r="E3" s="274">
        <f>E2*1.015</f>
        <v>16.89975</v>
      </c>
    </row>
    <row r="4" spans="1:5">
      <c r="A4" s="266">
        <v>2</v>
      </c>
      <c r="B4" s="267">
        <v>45887</v>
      </c>
      <c r="C4" s="275">
        <v>16.72</v>
      </c>
      <c r="D4" s="276">
        <f t="shared" ref="D4:D25" si="0">C4/C3-1</f>
        <v>-0.00535395597858412</v>
      </c>
      <c r="E4" s="274">
        <f t="shared" ref="E4:E35" si="1">E3*1.015</f>
        <v>17.15324625</v>
      </c>
    </row>
    <row r="5" spans="1:5">
      <c r="A5" s="266">
        <v>3</v>
      </c>
      <c r="B5" s="267">
        <v>45888</v>
      </c>
      <c r="C5" s="275">
        <v>16.63</v>
      </c>
      <c r="D5" s="276">
        <f t="shared" si="0"/>
        <v>-0.00538277511961727</v>
      </c>
      <c r="E5" s="274">
        <f t="shared" si="1"/>
        <v>17.41054494375</v>
      </c>
    </row>
    <row r="6" spans="1:5">
      <c r="A6" s="266">
        <v>4</v>
      </c>
      <c r="B6" s="267">
        <v>45889</v>
      </c>
      <c r="C6" s="272">
        <v>17.19</v>
      </c>
      <c r="D6" s="273">
        <f t="shared" si="0"/>
        <v>0.0336740829825617</v>
      </c>
      <c r="E6" s="274">
        <f t="shared" si="1"/>
        <v>17.6717031179062</v>
      </c>
    </row>
    <row r="7" spans="1:5">
      <c r="A7" s="266">
        <v>5</v>
      </c>
      <c r="B7" s="267">
        <v>45890</v>
      </c>
      <c r="C7" s="272">
        <v>17.35</v>
      </c>
      <c r="D7" s="273">
        <f t="shared" si="0"/>
        <v>0.00930773705642807</v>
      </c>
      <c r="E7" s="274">
        <f t="shared" si="1"/>
        <v>17.9367786646748</v>
      </c>
    </row>
    <row r="8" spans="1:5">
      <c r="A8" s="266">
        <v>6</v>
      </c>
      <c r="B8" s="267">
        <v>45891</v>
      </c>
      <c r="C8" s="272">
        <v>17.69</v>
      </c>
      <c r="D8" s="273">
        <f t="shared" si="0"/>
        <v>0.0195965417867434</v>
      </c>
      <c r="E8" s="274">
        <f t="shared" si="1"/>
        <v>18.205830344645</v>
      </c>
    </row>
    <row r="9" spans="1:5">
      <c r="A9" s="266">
        <v>7</v>
      </c>
      <c r="B9" s="267">
        <v>45892</v>
      </c>
      <c r="C9" s="272">
        <v>18.06</v>
      </c>
      <c r="D9" s="273">
        <f t="shared" si="0"/>
        <v>0.0209157716223853</v>
      </c>
      <c r="E9" s="274">
        <f t="shared" si="1"/>
        <v>18.4789177998146</v>
      </c>
    </row>
    <row r="10" spans="1:5">
      <c r="A10" s="266">
        <v>8</v>
      </c>
      <c r="B10" s="267">
        <v>45893</v>
      </c>
      <c r="C10" s="272">
        <v>18.17</v>
      </c>
      <c r="D10" s="273">
        <f t="shared" si="0"/>
        <v>0.00609080841638998</v>
      </c>
      <c r="E10" s="274">
        <f t="shared" si="1"/>
        <v>18.7561015668118</v>
      </c>
    </row>
    <row r="11" spans="1:5">
      <c r="A11" s="266">
        <v>9</v>
      </c>
      <c r="B11" s="267">
        <v>45894</v>
      </c>
      <c r="C11" s="272">
        <v>18.79</v>
      </c>
      <c r="D11" s="273">
        <f t="shared" si="0"/>
        <v>0.0341221794166207</v>
      </c>
      <c r="E11" s="274">
        <f t="shared" si="1"/>
        <v>19.037443090314</v>
      </c>
    </row>
    <row r="12" spans="1:5">
      <c r="A12" s="266">
        <v>10</v>
      </c>
      <c r="B12" s="267">
        <v>45895</v>
      </c>
      <c r="C12" s="272">
        <v>19.21</v>
      </c>
      <c r="D12" s="273">
        <f t="shared" si="0"/>
        <v>0.0223523150612028</v>
      </c>
      <c r="E12" s="274">
        <f t="shared" si="1"/>
        <v>19.3230047366687</v>
      </c>
    </row>
    <row r="13" spans="1:5">
      <c r="A13" s="266">
        <v>11</v>
      </c>
      <c r="B13" s="267">
        <v>45896</v>
      </c>
      <c r="C13" s="275">
        <v>19.09</v>
      </c>
      <c r="D13" s="276">
        <f t="shared" si="0"/>
        <v>-0.00624674648620516</v>
      </c>
      <c r="E13" s="274">
        <f t="shared" si="1"/>
        <v>19.6128498077188</v>
      </c>
    </row>
    <row r="14" spans="1:5">
      <c r="A14" s="266">
        <v>12</v>
      </c>
      <c r="B14" s="267">
        <v>45897</v>
      </c>
      <c r="C14" s="272">
        <v>19.61</v>
      </c>
      <c r="D14" s="273">
        <f t="shared" si="0"/>
        <v>0.0272393923520167</v>
      </c>
      <c r="E14" s="274">
        <f t="shared" si="1"/>
        <v>19.9070425548345</v>
      </c>
    </row>
    <row r="15" spans="1:5">
      <c r="A15" s="266">
        <v>13</v>
      </c>
      <c r="B15" s="267">
        <v>45898</v>
      </c>
      <c r="C15" s="275">
        <v>18.31</v>
      </c>
      <c r="D15" s="276">
        <f t="shared" si="0"/>
        <v>-0.0662927078021418</v>
      </c>
      <c r="E15" s="274">
        <f t="shared" si="1"/>
        <v>20.2056481931571</v>
      </c>
    </row>
    <row r="16" spans="1:5">
      <c r="A16" s="266">
        <v>14</v>
      </c>
      <c r="B16" s="267">
        <v>45899</v>
      </c>
      <c r="C16" s="272">
        <v>19.3</v>
      </c>
      <c r="D16" s="273">
        <f t="shared" si="0"/>
        <v>0.0540688148552704</v>
      </c>
      <c r="E16" s="274">
        <f t="shared" si="1"/>
        <v>20.5087329160544</v>
      </c>
    </row>
    <row r="17" spans="1:5">
      <c r="A17" s="266">
        <v>15</v>
      </c>
      <c r="B17" s="267">
        <v>45900</v>
      </c>
      <c r="C17" s="272">
        <v>19.94</v>
      </c>
      <c r="D17" s="273">
        <f t="shared" si="0"/>
        <v>0.033160621761658</v>
      </c>
      <c r="E17" s="274">
        <f t="shared" si="1"/>
        <v>20.8163639097952</v>
      </c>
    </row>
    <row r="18" spans="1:5">
      <c r="A18" s="266">
        <v>16</v>
      </c>
      <c r="B18" s="267">
        <v>45901</v>
      </c>
      <c r="C18" s="275">
        <v>18.89</v>
      </c>
      <c r="D18" s="276">
        <f t="shared" si="0"/>
        <v>-0.0526579739217653</v>
      </c>
      <c r="E18" s="274">
        <f t="shared" si="1"/>
        <v>21.1286093684421</v>
      </c>
    </row>
    <row r="19" spans="1:5">
      <c r="A19" s="266">
        <v>17</v>
      </c>
      <c r="B19" s="267">
        <v>45902</v>
      </c>
      <c r="C19" s="272">
        <v>19.34</v>
      </c>
      <c r="D19" s="273">
        <f t="shared" si="0"/>
        <v>0.0238221281101112</v>
      </c>
      <c r="E19" s="274">
        <f t="shared" si="1"/>
        <v>21.4455385089688</v>
      </c>
    </row>
    <row r="20" spans="1:5">
      <c r="A20" s="266">
        <v>18</v>
      </c>
      <c r="B20" s="267">
        <v>45903</v>
      </c>
      <c r="C20" s="272">
        <v>19.38</v>
      </c>
      <c r="D20" s="273">
        <f t="shared" si="0"/>
        <v>0.00206825232678387</v>
      </c>
      <c r="E20" s="274">
        <f t="shared" si="1"/>
        <v>21.7672215866033</v>
      </c>
    </row>
    <row r="21" spans="1:5">
      <c r="A21" s="266">
        <v>19</v>
      </c>
      <c r="B21" s="267">
        <v>45904</v>
      </c>
      <c r="C21" s="275">
        <v>18.87</v>
      </c>
      <c r="D21" s="276">
        <f t="shared" si="0"/>
        <v>-0.0263157894736841</v>
      </c>
      <c r="E21" s="274">
        <f t="shared" si="1"/>
        <v>22.0937299104024</v>
      </c>
    </row>
    <row r="22" spans="1:5">
      <c r="A22" s="266">
        <v>20</v>
      </c>
      <c r="B22" s="267">
        <v>45905</v>
      </c>
      <c r="C22" s="275">
        <v>18.12</v>
      </c>
      <c r="D22" s="276">
        <f t="shared" si="0"/>
        <v>-0.0397456279809221</v>
      </c>
      <c r="E22" s="274">
        <f t="shared" si="1"/>
        <v>22.4251358590584</v>
      </c>
    </row>
    <row r="23" spans="1:5">
      <c r="A23" s="266">
        <v>21</v>
      </c>
      <c r="B23" s="267">
        <v>45906</v>
      </c>
      <c r="C23" s="272">
        <v>18.67</v>
      </c>
      <c r="D23" s="273">
        <f t="shared" si="0"/>
        <v>0.0303532008830023</v>
      </c>
      <c r="E23" s="274">
        <f t="shared" si="1"/>
        <v>22.7615128969443</v>
      </c>
    </row>
    <row r="24" spans="1:5">
      <c r="A24" s="266">
        <v>22</v>
      </c>
      <c r="B24" s="267">
        <v>45907</v>
      </c>
      <c r="C24" s="272">
        <v>25.34</v>
      </c>
      <c r="D24" s="273">
        <f t="shared" si="0"/>
        <v>0.357257632565613</v>
      </c>
      <c r="E24" s="274">
        <f t="shared" si="1"/>
        <v>23.1029355903984</v>
      </c>
    </row>
    <row r="25" spans="1:5">
      <c r="A25" s="266">
        <v>23</v>
      </c>
      <c r="B25" s="267">
        <v>45908</v>
      </c>
      <c r="C25" s="272">
        <v>25.73</v>
      </c>
      <c r="D25" s="273">
        <f t="shared" si="0"/>
        <v>0.0153906866614049</v>
      </c>
      <c r="E25" s="274">
        <f t="shared" si="1"/>
        <v>23.4494796242544</v>
      </c>
    </row>
    <row r="26" spans="1:5">
      <c r="A26" s="266">
        <v>24</v>
      </c>
      <c r="B26" s="267">
        <v>45909</v>
      </c>
      <c r="C26" s="272">
        <v>26.12</v>
      </c>
      <c r="D26" s="273">
        <f>C26/C25-1</f>
        <v>0.0151574038087836</v>
      </c>
      <c r="E26" s="274">
        <f t="shared" si="1"/>
        <v>23.8012218186182</v>
      </c>
    </row>
    <row r="27" spans="1:5">
      <c r="A27" s="266">
        <v>25</v>
      </c>
      <c r="B27" s="267">
        <v>45910</v>
      </c>
      <c r="C27" s="275">
        <v>25.22</v>
      </c>
      <c r="D27" s="276">
        <f>C27/C26-1</f>
        <v>-0.0344563552833079</v>
      </c>
      <c r="E27" s="274">
        <f t="shared" si="1"/>
        <v>24.1582401458975</v>
      </c>
    </row>
    <row r="28" spans="1:5">
      <c r="A28" s="266">
        <v>26</v>
      </c>
      <c r="B28" s="267">
        <v>45911</v>
      </c>
      <c r="C28" s="274"/>
      <c r="E28" s="274">
        <f t="shared" si="1"/>
        <v>24.5206137480859</v>
      </c>
    </row>
    <row r="29" spans="1:5">
      <c r="A29" s="266">
        <v>27</v>
      </c>
      <c r="B29" s="267">
        <v>45912</v>
      </c>
      <c r="C29" s="274"/>
      <c r="E29" s="274">
        <f t="shared" si="1"/>
        <v>24.8884229543072</v>
      </c>
    </row>
    <row r="30" spans="1:5">
      <c r="A30" s="266">
        <v>28</v>
      </c>
      <c r="B30" s="267">
        <v>45913</v>
      </c>
      <c r="C30" s="274"/>
      <c r="E30" s="274">
        <f t="shared" si="1"/>
        <v>25.2617492986218</v>
      </c>
    </row>
    <row r="31" spans="1:5">
      <c r="A31" s="266">
        <v>29</v>
      </c>
      <c r="B31" s="267">
        <v>45914</v>
      </c>
      <c r="C31" s="274"/>
      <c r="E31" s="274">
        <f t="shared" si="1"/>
        <v>25.6406755381012</v>
      </c>
    </row>
    <row r="32" spans="1:5">
      <c r="A32" s="266">
        <v>30</v>
      </c>
      <c r="B32" s="267">
        <v>45915</v>
      </c>
      <c r="C32" s="274"/>
      <c r="E32" s="274">
        <f t="shared" si="1"/>
        <v>26.0252856711727</v>
      </c>
    </row>
    <row r="33" spans="1:5">
      <c r="A33" s="266">
        <v>31</v>
      </c>
      <c r="B33" s="267">
        <v>45916</v>
      </c>
      <c r="C33" s="274"/>
      <c r="E33" s="274">
        <f t="shared" si="1"/>
        <v>26.4156649562403</v>
      </c>
    </row>
    <row r="34" spans="1:5">
      <c r="A34" s="266">
        <v>32</v>
      </c>
      <c r="B34" s="267">
        <v>45917</v>
      </c>
      <c r="C34" s="274"/>
      <c r="E34" s="274">
        <f t="shared" si="1"/>
        <v>26.8118999305839</v>
      </c>
    </row>
    <row r="35" spans="1:5">
      <c r="A35" s="266">
        <v>33</v>
      </c>
      <c r="B35" s="267">
        <v>45918</v>
      </c>
      <c r="C35" s="274"/>
      <c r="E35" s="274">
        <f t="shared" si="1"/>
        <v>27.2140784295426</v>
      </c>
    </row>
    <row r="36" spans="1:5">
      <c r="A36" s="266">
        <v>34</v>
      </c>
      <c r="B36" s="267">
        <v>45919</v>
      </c>
      <c r="C36" s="274"/>
      <c r="E36" s="274">
        <f t="shared" ref="E36:E67" si="2">E35*1.015</f>
        <v>27.6222896059858</v>
      </c>
    </row>
    <row r="37" spans="1:5">
      <c r="A37" s="266">
        <v>35</v>
      </c>
      <c r="B37" s="267">
        <v>45920</v>
      </c>
      <c r="C37" s="274"/>
      <c r="E37" s="274">
        <f t="shared" si="2"/>
        <v>28.0366239500755</v>
      </c>
    </row>
    <row r="38" spans="1:5">
      <c r="A38" s="266">
        <v>36</v>
      </c>
      <c r="B38" s="267">
        <v>45921</v>
      </c>
      <c r="C38" s="274"/>
      <c r="E38" s="274">
        <f t="shared" si="2"/>
        <v>28.4571733093267</v>
      </c>
    </row>
    <row r="39" spans="1:5">
      <c r="A39" s="266">
        <v>37</v>
      </c>
      <c r="B39" s="267">
        <v>45922</v>
      </c>
      <c r="C39" s="274"/>
      <c r="E39" s="274">
        <f t="shared" si="2"/>
        <v>28.8840309089666</v>
      </c>
    </row>
    <row r="40" spans="1:5">
      <c r="A40" s="266">
        <v>38</v>
      </c>
      <c r="B40" s="267">
        <v>45923</v>
      </c>
      <c r="C40" s="274"/>
      <c r="E40" s="274">
        <f t="shared" si="2"/>
        <v>29.3172913726011</v>
      </c>
    </row>
    <row r="41" spans="1:5">
      <c r="A41" s="266">
        <v>39</v>
      </c>
      <c r="B41" s="267">
        <v>45924</v>
      </c>
      <c r="C41" s="274"/>
      <c r="E41" s="274">
        <f t="shared" si="2"/>
        <v>29.7570507431901</v>
      </c>
    </row>
    <row r="42" spans="1:5">
      <c r="A42" s="266">
        <v>40</v>
      </c>
      <c r="B42" s="267">
        <v>45925</v>
      </c>
      <c r="C42" s="274"/>
      <c r="E42" s="274">
        <f t="shared" si="2"/>
        <v>30.2034065043379</v>
      </c>
    </row>
    <row r="43" spans="1:5">
      <c r="A43" s="266">
        <v>41</v>
      </c>
      <c r="B43" s="267">
        <v>45926</v>
      </c>
      <c r="C43" s="274"/>
      <c r="E43" s="274">
        <f t="shared" si="2"/>
        <v>30.656457601903</v>
      </c>
    </row>
    <row r="44" spans="1:5">
      <c r="A44" s="266">
        <v>42</v>
      </c>
      <c r="B44" s="267">
        <v>45927</v>
      </c>
      <c r="C44" s="274"/>
      <c r="E44" s="274">
        <f t="shared" si="2"/>
        <v>31.1163044659315</v>
      </c>
    </row>
    <row r="45" spans="1:5">
      <c r="A45" s="266">
        <v>43</v>
      </c>
      <c r="B45" s="267">
        <v>45928</v>
      </c>
      <c r="C45" s="274"/>
      <c r="E45" s="274">
        <f t="shared" si="2"/>
        <v>31.5830490329205</v>
      </c>
    </row>
    <row r="46" spans="1:5">
      <c r="A46" s="266">
        <v>44</v>
      </c>
      <c r="B46" s="267">
        <v>45929</v>
      </c>
      <c r="C46" s="274"/>
      <c r="E46" s="274">
        <f t="shared" si="2"/>
        <v>32.0567947684143</v>
      </c>
    </row>
    <row r="47" spans="1:5">
      <c r="A47" s="266">
        <v>45</v>
      </c>
      <c r="B47" s="267">
        <v>45930</v>
      </c>
      <c r="C47" s="274"/>
      <c r="E47" s="274">
        <f t="shared" si="2"/>
        <v>32.5376466899405</v>
      </c>
    </row>
    <row r="48" spans="1:5">
      <c r="A48" s="266">
        <v>46</v>
      </c>
      <c r="B48" s="267">
        <v>45931</v>
      </c>
      <c r="C48" s="274"/>
      <c r="E48" s="274">
        <f t="shared" si="2"/>
        <v>33.0257113902896</v>
      </c>
    </row>
    <row r="49" spans="1:5">
      <c r="A49" s="266">
        <v>47</v>
      </c>
      <c r="B49" s="267">
        <v>45932</v>
      </c>
      <c r="C49" s="274"/>
      <c r="E49" s="274">
        <f t="shared" si="2"/>
        <v>33.521097061144</v>
      </c>
    </row>
    <row r="50" spans="1:5">
      <c r="A50" s="266">
        <v>48</v>
      </c>
      <c r="B50" s="267">
        <v>45933</v>
      </c>
      <c r="C50" s="274"/>
      <c r="E50" s="274">
        <f t="shared" si="2"/>
        <v>34.0239135170611</v>
      </c>
    </row>
    <row r="51" spans="1:5">
      <c r="A51" s="266">
        <v>49</v>
      </c>
      <c r="B51" s="267">
        <v>45934</v>
      </c>
      <c r="C51" s="274"/>
      <c r="E51" s="274">
        <f t="shared" si="2"/>
        <v>34.534272219817</v>
      </c>
    </row>
    <row r="52" spans="1:5">
      <c r="A52" s="266">
        <v>50</v>
      </c>
      <c r="B52" s="267">
        <v>45935</v>
      </c>
      <c r="C52" s="274"/>
      <c r="E52" s="274">
        <f t="shared" si="2"/>
        <v>35.0522863031143</v>
      </c>
    </row>
    <row r="53" spans="1:5">
      <c r="A53" s="266">
        <v>51</v>
      </c>
      <c r="B53" s="267">
        <v>45936</v>
      </c>
      <c r="C53" s="274"/>
      <c r="E53" s="274">
        <f t="shared" si="2"/>
        <v>35.578070597661</v>
      </c>
    </row>
    <row r="54" spans="1:5">
      <c r="A54" s="266">
        <v>52</v>
      </c>
      <c r="B54" s="267">
        <v>45937</v>
      </c>
      <c r="C54" s="274"/>
      <c r="E54" s="274">
        <f t="shared" si="2"/>
        <v>36.1117416566259</v>
      </c>
    </row>
    <row r="55" spans="1:5">
      <c r="A55" s="266">
        <v>53</v>
      </c>
      <c r="B55" s="267">
        <v>45938</v>
      </c>
      <c r="C55" s="274"/>
      <c r="E55" s="274">
        <f t="shared" si="2"/>
        <v>36.6534177814753</v>
      </c>
    </row>
    <row r="56" spans="1:5">
      <c r="A56" s="266">
        <v>54</v>
      </c>
      <c r="B56" s="267">
        <v>45939</v>
      </c>
      <c r="C56" s="274"/>
      <c r="E56" s="274">
        <f t="shared" si="2"/>
        <v>37.2032190481974</v>
      </c>
    </row>
    <row r="57" spans="1:5">
      <c r="A57" s="266">
        <v>55</v>
      </c>
      <c r="B57" s="267">
        <v>45940</v>
      </c>
      <c r="C57" s="274"/>
      <c r="E57" s="274">
        <f t="shared" si="2"/>
        <v>37.7612673339204</v>
      </c>
    </row>
    <row r="58" spans="1:5">
      <c r="A58" s="266">
        <v>56</v>
      </c>
      <c r="B58" s="267">
        <v>45941</v>
      </c>
      <c r="C58" s="274"/>
      <c r="E58" s="274">
        <f t="shared" si="2"/>
        <v>38.3276863439292</v>
      </c>
    </row>
    <row r="59" spans="1:5">
      <c r="A59" s="266">
        <v>57</v>
      </c>
      <c r="B59" s="267">
        <v>45942</v>
      </c>
      <c r="C59" s="274"/>
      <c r="E59" s="274">
        <f t="shared" si="2"/>
        <v>38.9026016390881</v>
      </c>
    </row>
    <row r="60" spans="1:5">
      <c r="A60" s="266">
        <v>58</v>
      </c>
      <c r="B60" s="267">
        <v>45943</v>
      </c>
      <c r="C60" s="274"/>
      <c r="E60" s="274">
        <f t="shared" si="2"/>
        <v>39.4861406636744</v>
      </c>
    </row>
    <row r="61" spans="1:5">
      <c r="A61" s="266">
        <v>59</v>
      </c>
      <c r="B61" s="267">
        <v>45944</v>
      </c>
      <c r="C61" s="274"/>
      <c r="E61" s="274">
        <f t="shared" si="2"/>
        <v>40.0784327736295</v>
      </c>
    </row>
    <row r="62" spans="1:5">
      <c r="A62" s="266">
        <v>60</v>
      </c>
      <c r="B62" s="267">
        <v>45945</v>
      </c>
      <c r="C62" s="274"/>
      <c r="E62" s="274">
        <f t="shared" si="2"/>
        <v>40.679609265234</v>
      </c>
    </row>
    <row r="63" spans="1:5">
      <c r="A63" s="266">
        <v>61</v>
      </c>
      <c r="B63" s="267">
        <v>45946</v>
      </c>
      <c r="C63" s="274"/>
      <c r="E63" s="274">
        <f t="shared" si="2"/>
        <v>41.2898034042125</v>
      </c>
    </row>
    <row r="64" spans="1:5">
      <c r="A64" s="266">
        <v>62</v>
      </c>
      <c r="B64" s="267">
        <v>45947</v>
      </c>
      <c r="C64" s="274"/>
      <c r="E64" s="274">
        <f t="shared" si="2"/>
        <v>41.9091504552757</v>
      </c>
    </row>
    <row r="65" spans="1:5">
      <c r="A65" s="266">
        <v>63</v>
      </c>
      <c r="B65" s="267">
        <v>45948</v>
      </c>
      <c r="C65" s="274"/>
      <c r="E65" s="274">
        <f t="shared" si="2"/>
        <v>42.5377877121048</v>
      </c>
    </row>
    <row r="66" spans="1:5">
      <c r="A66" s="266">
        <v>64</v>
      </c>
      <c r="B66" s="267">
        <v>45949</v>
      </c>
      <c r="C66" s="274"/>
      <c r="E66" s="274">
        <f t="shared" si="2"/>
        <v>43.1758545277864</v>
      </c>
    </row>
    <row r="67" spans="1:5">
      <c r="A67" s="266">
        <v>65</v>
      </c>
      <c r="B67" s="267">
        <v>45950</v>
      </c>
      <c r="C67" s="274"/>
      <c r="E67" s="274">
        <f t="shared" si="2"/>
        <v>43.8234923457032</v>
      </c>
    </row>
    <row r="68" spans="1:5">
      <c r="A68" s="266">
        <v>66</v>
      </c>
      <c r="B68" s="267">
        <v>45951</v>
      </c>
      <c r="C68" s="274"/>
      <c r="E68" s="274">
        <f t="shared" ref="E68:E99" si="3">E67*1.015</f>
        <v>44.4808447308887</v>
      </c>
    </row>
    <row r="69" spans="1:5">
      <c r="A69" s="266">
        <v>67</v>
      </c>
      <c r="B69" s="267">
        <v>45952</v>
      </c>
      <c r="C69" s="274"/>
      <c r="E69" s="274">
        <f t="shared" si="3"/>
        <v>45.148057401852</v>
      </c>
    </row>
    <row r="70" spans="1:5">
      <c r="A70" s="266">
        <v>68</v>
      </c>
      <c r="B70" s="267">
        <v>45953</v>
      </c>
      <c r="C70" s="274"/>
      <c r="E70" s="274">
        <f t="shared" si="3"/>
        <v>45.8252782628798</v>
      </c>
    </row>
    <row r="71" spans="1:5">
      <c r="A71" s="266">
        <v>69</v>
      </c>
      <c r="B71" s="267">
        <v>45954</v>
      </c>
      <c r="C71" s="274"/>
      <c r="E71" s="274">
        <f t="shared" si="3"/>
        <v>46.512657436823</v>
      </c>
    </row>
    <row r="72" spans="1:5">
      <c r="A72" s="266">
        <v>70</v>
      </c>
      <c r="B72" s="267">
        <v>45955</v>
      </c>
      <c r="C72" s="274"/>
      <c r="E72" s="274">
        <f t="shared" si="3"/>
        <v>47.2103472983753</v>
      </c>
    </row>
    <row r="73" spans="1:5">
      <c r="A73" s="266">
        <v>71</v>
      </c>
      <c r="B73" s="267">
        <v>45956</v>
      </c>
      <c r="C73" s="274"/>
      <c r="E73" s="274">
        <f t="shared" si="3"/>
        <v>47.918502507851</v>
      </c>
    </row>
    <row r="74" spans="1:5">
      <c r="A74" s="266">
        <v>72</v>
      </c>
      <c r="B74" s="267">
        <v>45957</v>
      </c>
      <c r="C74" s="274"/>
      <c r="E74" s="274">
        <f t="shared" si="3"/>
        <v>48.6372800454687</v>
      </c>
    </row>
    <row r="75" spans="1:5">
      <c r="A75" s="266">
        <v>73</v>
      </c>
      <c r="B75" s="267">
        <v>45958</v>
      </c>
      <c r="C75" s="274"/>
      <c r="E75" s="274">
        <f t="shared" si="3"/>
        <v>49.3668392461508</v>
      </c>
    </row>
    <row r="76" spans="1:5">
      <c r="A76" s="266">
        <v>74</v>
      </c>
      <c r="B76" s="267">
        <v>45959</v>
      </c>
      <c r="C76" s="274"/>
      <c r="E76" s="274">
        <f t="shared" si="3"/>
        <v>50.107341834843</v>
      </c>
    </row>
    <row r="77" spans="1:5">
      <c r="A77" s="266">
        <v>75</v>
      </c>
      <c r="B77" s="267">
        <v>45960</v>
      </c>
      <c r="C77" s="274"/>
      <c r="E77" s="274">
        <f t="shared" si="3"/>
        <v>50.8589519623657</v>
      </c>
    </row>
    <row r="78" spans="1:5">
      <c r="A78" s="266">
        <v>76</v>
      </c>
      <c r="B78" s="267">
        <v>45961</v>
      </c>
      <c r="C78" s="274"/>
      <c r="E78" s="274">
        <f t="shared" si="3"/>
        <v>51.6218362418011</v>
      </c>
    </row>
    <row r="79" spans="1:5">
      <c r="A79" s="266">
        <v>77</v>
      </c>
      <c r="B79" s="267">
        <v>45962</v>
      </c>
      <c r="C79" s="274"/>
      <c r="E79" s="274">
        <f t="shared" si="3"/>
        <v>52.3961637854281</v>
      </c>
    </row>
    <row r="80" spans="1:5">
      <c r="A80" s="266">
        <v>78</v>
      </c>
      <c r="B80" s="267">
        <v>45963</v>
      </c>
      <c r="C80" s="274"/>
      <c r="E80" s="274">
        <f t="shared" si="3"/>
        <v>53.1821062422096</v>
      </c>
    </row>
    <row r="81" spans="1:5">
      <c r="A81" s="266">
        <v>79</v>
      </c>
      <c r="B81" s="267">
        <v>45964</v>
      </c>
      <c r="C81" s="274"/>
      <c r="E81" s="274">
        <f t="shared" si="3"/>
        <v>53.9798378358427</v>
      </c>
    </row>
    <row r="82" spans="1:5">
      <c r="A82" s="266">
        <v>80</v>
      </c>
      <c r="B82" s="267">
        <v>45965</v>
      </c>
      <c r="C82" s="274"/>
      <c r="E82" s="274">
        <f t="shared" si="3"/>
        <v>54.7895354033803</v>
      </c>
    </row>
    <row r="83" spans="1:5">
      <c r="A83" s="266">
        <v>81</v>
      </c>
      <c r="B83" s="267">
        <v>45966</v>
      </c>
      <c r="C83" s="274"/>
      <c r="E83" s="274">
        <f t="shared" si="3"/>
        <v>55.611378434431</v>
      </c>
    </row>
    <row r="84" spans="1:5">
      <c r="A84" s="266">
        <v>82</v>
      </c>
      <c r="B84" s="267">
        <v>45967</v>
      </c>
      <c r="C84" s="274"/>
      <c r="E84" s="274">
        <f t="shared" si="3"/>
        <v>56.4455491109475</v>
      </c>
    </row>
    <row r="85" spans="1:5">
      <c r="A85" s="266">
        <v>83</v>
      </c>
      <c r="B85" s="267">
        <v>45968</v>
      </c>
      <c r="C85" s="274"/>
      <c r="E85" s="274">
        <f t="shared" si="3"/>
        <v>57.2922323476117</v>
      </c>
    </row>
    <row r="86" spans="1:5">
      <c r="A86" s="266">
        <v>84</v>
      </c>
      <c r="B86" s="267">
        <v>45969</v>
      </c>
      <c r="C86" s="274"/>
      <c r="E86" s="274">
        <f t="shared" si="3"/>
        <v>58.1516158328259</v>
      </c>
    </row>
    <row r="87" spans="1:5">
      <c r="A87" s="266">
        <v>85</v>
      </c>
      <c r="B87" s="267">
        <v>45970</v>
      </c>
      <c r="C87" s="274"/>
      <c r="E87" s="274">
        <f t="shared" si="3"/>
        <v>59.0238900703182</v>
      </c>
    </row>
    <row r="88" spans="1:5">
      <c r="A88" s="266">
        <v>86</v>
      </c>
      <c r="B88" s="267">
        <v>45971</v>
      </c>
      <c r="C88" s="274"/>
      <c r="E88" s="274">
        <f t="shared" si="3"/>
        <v>59.909248421373</v>
      </c>
    </row>
    <row r="89" spans="1:5">
      <c r="A89" s="266">
        <v>87</v>
      </c>
      <c r="B89" s="267">
        <v>45972</v>
      </c>
      <c r="C89" s="274"/>
      <c r="E89" s="274">
        <f t="shared" si="3"/>
        <v>60.8078871476936</v>
      </c>
    </row>
    <row r="90" spans="1:5">
      <c r="A90" s="266">
        <v>88</v>
      </c>
      <c r="B90" s="267">
        <v>45973</v>
      </c>
      <c r="C90" s="274"/>
      <c r="E90" s="274">
        <f t="shared" si="3"/>
        <v>61.720005454909</v>
      </c>
    </row>
    <row r="91" spans="1:5">
      <c r="A91" s="266">
        <v>89</v>
      </c>
      <c r="B91" s="267">
        <v>45974</v>
      </c>
      <c r="C91" s="274"/>
      <c r="E91" s="274">
        <f t="shared" si="3"/>
        <v>62.6458055367326</v>
      </c>
    </row>
    <row r="92" spans="1:5">
      <c r="A92" s="266">
        <v>90</v>
      </c>
      <c r="B92" s="267">
        <v>45975</v>
      </c>
      <c r="C92" s="274"/>
      <c r="E92" s="274">
        <f t="shared" si="3"/>
        <v>63.5854926197836</v>
      </c>
    </row>
    <row r="93" spans="1:5">
      <c r="A93" s="266">
        <v>91</v>
      </c>
      <c r="B93" s="267">
        <v>45976</v>
      </c>
      <c r="C93" s="274"/>
      <c r="E93" s="274">
        <f t="shared" si="3"/>
        <v>64.5392750090804</v>
      </c>
    </row>
    <row r="94" spans="1:5">
      <c r="A94" s="266">
        <v>92</v>
      </c>
      <c r="B94" s="267">
        <v>45977</v>
      </c>
      <c r="C94" s="274"/>
      <c r="E94" s="274">
        <f t="shared" si="3"/>
        <v>65.5073641342166</v>
      </c>
    </row>
    <row r="95" spans="1:5">
      <c r="A95" s="266">
        <v>93</v>
      </c>
      <c r="B95" s="267">
        <v>45978</v>
      </c>
      <c r="C95" s="274"/>
      <c r="E95" s="274">
        <f t="shared" si="3"/>
        <v>66.4899745962298</v>
      </c>
    </row>
    <row r="96" spans="1:5">
      <c r="A96" s="266">
        <v>94</v>
      </c>
      <c r="B96" s="267">
        <v>45979</v>
      </c>
      <c r="C96" s="274"/>
      <c r="E96" s="274">
        <f t="shared" si="3"/>
        <v>67.4873242151733</v>
      </c>
    </row>
    <row r="97" spans="1:5">
      <c r="A97" s="266">
        <v>95</v>
      </c>
      <c r="B97" s="267">
        <v>45980</v>
      </c>
      <c r="C97" s="274"/>
      <c r="E97" s="274">
        <f t="shared" si="3"/>
        <v>68.4996340784008</v>
      </c>
    </row>
    <row r="98" spans="1:5">
      <c r="A98" s="266">
        <v>96</v>
      </c>
      <c r="B98" s="267">
        <v>45981</v>
      </c>
      <c r="C98" s="274"/>
      <c r="E98" s="274">
        <f t="shared" si="3"/>
        <v>69.5271285895768</v>
      </c>
    </row>
    <row r="99" spans="1:5">
      <c r="A99" s="266">
        <v>97</v>
      </c>
      <c r="B99" s="267">
        <v>45982</v>
      </c>
      <c r="C99" s="274"/>
      <c r="E99" s="274">
        <f t="shared" si="3"/>
        <v>70.5700355184205</v>
      </c>
    </row>
    <row r="100" spans="1:5">
      <c r="A100" s="266">
        <v>98</v>
      </c>
      <c r="B100" s="267">
        <v>45983</v>
      </c>
      <c r="C100" s="274"/>
      <c r="E100" s="274">
        <f t="shared" ref="E100:E131" si="4">E99*1.015</f>
        <v>71.6285860511968</v>
      </c>
    </row>
    <row r="101" spans="1:5">
      <c r="A101" s="266">
        <v>99</v>
      </c>
      <c r="B101" s="267">
        <v>45984</v>
      </c>
      <c r="C101" s="274"/>
      <c r="E101" s="274">
        <f t="shared" si="4"/>
        <v>72.7030148419647</v>
      </c>
    </row>
    <row r="102" spans="1:5">
      <c r="A102" s="266">
        <v>100</v>
      </c>
      <c r="B102" s="267">
        <v>45985</v>
      </c>
      <c r="C102" s="274"/>
      <c r="E102" s="274">
        <f t="shared" si="4"/>
        <v>73.7935600645942</v>
      </c>
    </row>
    <row r="103" spans="1:5">
      <c r="A103" s="266">
        <v>101</v>
      </c>
      <c r="B103" s="267">
        <v>45986</v>
      </c>
      <c r="C103" s="274"/>
      <c r="E103" s="274">
        <f t="shared" si="4"/>
        <v>74.9004634655631</v>
      </c>
    </row>
    <row r="104" spans="1:5">
      <c r="A104" s="266">
        <v>102</v>
      </c>
      <c r="B104" s="267">
        <v>45987</v>
      </c>
      <c r="C104" s="274"/>
      <c r="E104" s="274">
        <f t="shared" si="4"/>
        <v>76.0239704175465</v>
      </c>
    </row>
    <row r="105" spans="1:5">
      <c r="A105" s="266">
        <v>103</v>
      </c>
      <c r="B105" s="267">
        <v>45988</v>
      </c>
      <c r="C105" s="274"/>
      <c r="E105" s="274">
        <f t="shared" si="4"/>
        <v>77.1643299738097</v>
      </c>
    </row>
    <row r="106" spans="1:5">
      <c r="A106" s="266">
        <v>104</v>
      </c>
      <c r="B106" s="267">
        <v>45989</v>
      </c>
      <c r="C106" s="274"/>
      <c r="E106" s="274">
        <f t="shared" si="4"/>
        <v>78.3217949234169</v>
      </c>
    </row>
    <row r="107" spans="1:5">
      <c r="A107" s="266">
        <v>105</v>
      </c>
      <c r="B107" s="267">
        <v>45990</v>
      </c>
      <c r="C107" s="274"/>
      <c r="E107" s="274">
        <f t="shared" si="4"/>
        <v>79.4966218472681</v>
      </c>
    </row>
    <row r="108" spans="1:5">
      <c r="A108" s="266">
        <v>106</v>
      </c>
      <c r="B108" s="267">
        <v>45991</v>
      </c>
      <c r="C108" s="274"/>
      <c r="E108" s="274">
        <f t="shared" si="4"/>
        <v>80.6890711749771</v>
      </c>
    </row>
    <row r="109" spans="1:5">
      <c r="A109" s="266">
        <v>107</v>
      </c>
      <c r="B109" s="267">
        <v>45992</v>
      </c>
      <c r="C109" s="274"/>
      <c r="E109" s="274">
        <f t="shared" si="4"/>
        <v>81.8994072426018</v>
      </c>
    </row>
    <row r="110" spans="1:5">
      <c r="A110" s="266">
        <v>108</v>
      </c>
      <c r="B110" s="267">
        <v>45993</v>
      </c>
      <c r="C110" s="274"/>
      <c r="E110" s="274">
        <f t="shared" si="4"/>
        <v>83.1278983512408</v>
      </c>
    </row>
    <row r="111" spans="1:5">
      <c r="A111" s="266">
        <v>109</v>
      </c>
      <c r="B111" s="267">
        <v>45994</v>
      </c>
      <c r="C111" s="274"/>
      <c r="E111" s="274">
        <f t="shared" si="4"/>
        <v>84.3748168265094</v>
      </c>
    </row>
    <row r="112" spans="1:5">
      <c r="A112" s="266">
        <v>110</v>
      </c>
      <c r="B112" s="267">
        <v>45995</v>
      </c>
      <c r="C112" s="274"/>
      <c r="E112" s="274">
        <f t="shared" si="4"/>
        <v>85.640439078907</v>
      </c>
    </row>
    <row r="113" spans="1:5">
      <c r="A113" s="266">
        <v>111</v>
      </c>
      <c r="B113" s="267">
        <v>45996</v>
      </c>
      <c r="C113" s="274"/>
      <c r="E113" s="274">
        <f t="shared" si="4"/>
        <v>86.9250456650906</v>
      </c>
    </row>
    <row r="114" spans="1:5">
      <c r="A114" s="266">
        <v>112</v>
      </c>
      <c r="B114" s="267">
        <v>45997</v>
      </c>
      <c r="C114" s="274"/>
      <c r="E114" s="274">
        <f t="shared" si="4"/>
        <v>88.228921350067</v>
      </c>
    </row>
    <row r="115" spans="1:5">
      <c r="A115" s="266">
        <v>113</v>
      </c>
      <c r="B115" s="267">
        <v>45998</v>
      </c>
      <c r="C115" s="274"/>
      <c r="E115" s="274">
        <f t="shared" si="4"/>
        <v>89.552355170318</v>
      </c>
    </row>
    <row r="116" spans="1:5">
      <c r="A116" s="266">
        <v>114</v>
      </c>
      <c r="B116" s="267">
        <v>45999</v>
      </c>
      <c r="C116" s="274"/>
      <c r="E116" s="274">
        <f t="shared" si="4"/>
        <v>90.8956404978727</v>
      </c>
    </row>
    <row r="117" spans="1:5">
      <c r="A117" s="266">
        <v>115</v>
      </c>
      <c r="B117" s="267">
        <v>46000</v>
      </c>
      <c r="C117" s="274"/>
      <c r="E117" s="274">
        <f t="shared" si="4"/>
        <v>92.2590751053408</v>
      </c>
    </row>
    <row r="118" spans="1:5">
      <c r="A118" s="266">
        <v>116</v>
      </c>
      <c r="B118" s="267">
        <v>46001</v>
      </c>
      <c r="C118" s="274"/>
      <c r="E118" s="274">
        <f t="shared" si="4"/>
        <v>93.6429612319209</v>
      </c>
    </row>
    <row r="119" spans="1:5">
      <c r="A119" s="266">
        <v>117</v>
      </c>
      <c r="B119" s="267">
        <v>46002</v>
      </c>
      <c r="C119" s="274"/>
      <c r="E119" s="274">
        <f t="shared" si="4"/>
        <v>95.0476056503997</v>
      </c>
    </row>
    <row r="120" spans="1:5">
      <c r="A120" s="266">
        <v>118</v>
      </c>
      <c r="B120" s="267">
        <v>46003</v>
      </c>
      <c r="C120" s="274"/>
      <c r="E120" s="274">
        <f t="shared" si="4"/>
        <v>96.4733197351557</v>
      </c>
    </row>
    <row r="121" spans="1:5">
      <c r="A121" s="266">
        <v>119</v>
      </c>
      <c r="B121" s="267">
        <v>46004</v>
      </c>
      <c r="C121" s="274"/>
      <c r="E121" s="274">
        <f t="shared" si="4"/>
        <v>97.920419531183</v>
      </c>
    </row>
    <row r="122" spans="1:5">
      <c r="A122" s="266">
        <v>120</v>
      </c>
      <c r="B122" s="267">
        <v>46005</v>
      </c>
      <c r="C122" s="274"/>
      <c r="E122" s="274">
        <f t="shared" si="4"/>
        <v>99.3892258241508</v>
      </c>
    </row>
    <row r="123" spans="1:5">
      <c r="A123" s="266">
        <v>121</v>
      </c>
      <c r="B123" s="267">
        <v>46006</v>
      </c>
      <c r="C123" s="274"/>
      <c r="E123" s="274">
        <f t="shared" si="4"/>
        <v>100.880064211513</v>
      </c>
    </row>
    <row r="124" spans="1:5">
      <c r="A124" s="266">
        <v>122</v>
      </c>
      <c r="B124" s="267">
        <v>46007</v>
      </c>
      <c r="C124" s="274"/>
      <c r="E124" s="274">
        <f t="shared" si="4"/>
        <v>102.393265174686</v>
      </c>
    </row>
    <row r="125" spans="1:5">
      <c r="A125" s="266">
        <v>123</v>
      </c>
      <c r="B125" s="267">
        <v>46008</v>
      </c>
      <c r="C125" s="274"/>
      <c r="E125" s="274">
        <f t="shared" si="4"/>
        <v>103.929164152306</v>
      </c>
    </row>
    <row r="126" spans="1:5">
      <c r="A126" s="266">
        <v>124</v>
      </c>
      <c r="B126" s="267">
        <v>46009</v>
      </c>
      <c r="C126" s="274"/>
      <c r="E126" s="274">
        <f t="shared" si="4"/>
        <v>105.488101614591</v>
      </c>
    </row>
    <row r="127" spans="1:5">
      <c r="A127" s="266">
        <v>125</v>
      </c>
      <c r="B127" s="267">
        <v>46010</v>
      </c>
      <c r="C127" s="274"/>
      <c r="E127" s="274">
        <f t="shared" si="4"/>
        <v>107.070423138809</v>
      </c>
    </row>
    <row r="128" spans="1:5">
      <c r="A128" s="266">
        <v>126</v>
      </c>
      <c r="B128" s="267">
        <v>46011</v>
      </c>
      <c r="C128" s="274"/>
      <c r="E128" s="274">
        <f t="shared" si="4"/>
        <v>108.676479485892</v>
      </c>
    </row>
    <row r="129" spans="1:5">
      <c r="A129" s="266">
        <v>127</v>
      </c>
      <c r="B129" s="267">
        <v>46012</v>
      </c>
      <c r="C129" s="274"/>
      <c r="E129" s="274">
        <f t="shared" si="4"/>
        <v>110.30662667818</v>
      </c>
    </row>
    <row r="130" spans="1:5">
      <c r="A130" s="266">
        <v>128</v>
      </c>
      <c r="B130" s="267">
        <v>46013</v>
      </c>
      <c r="C130" s="274"/>
      <c r="E130" s="274">
        <f t="shared" si="4"/>
        <v>111.961226078353</v>
      </c>
    </row>
    <row r="131" spans="1:5">
      <c r="A131" s="266">
        <v>129</v>
      </c>
      <c r="B131" s="267">
        <v>46014</v>
      </c>
      <c r="C131" s="274"/>
      <c r="E131" s="274">
        <f t="shared" si="4"/>
        <v>113.640644469528</v>
      </c>
    </row>
    <row r="132" spans="1:5">
      <c r="A132" s="266">
        <v>130</v>
      </c>
      <c r="B132" s="267">
        <v>46015</v>
      </c>
      <c r="C132" s="274"/>
      <c r="E132" s="274">
        <f>E131*1.015</f>
        <v>115.345254136571</v>
      </c>
    </row>
    <row r="133" spans="1:5">
      <c r="A133" s="266">
        <v>131</v>
      </c>
      <c r="B133" s="267">
        <v>46016</v>
      </c>
      <c r="C133" s="274"/>
      <c r="E133" s="274">
        <f>E132*1.015</f>
        <v>117.075432948619</v>
      </c>
    </row>
    <row r="134" spans="1:5">
      <c r="A134" s="266">
        <v>132</v>
      </c>
      <c r="B134" s="267">
        <v>46017</v>
      </c>
      <c r="C134" s="274"/>
      <c r="E134" s="274">
        <f>E133*1.015</f>
        <v>118.831564442849</v>
      </c>
    </row>
    <row r="135" spans="1:5">
      <c r="A135" s="266">
        <v>133</v>
      </c>
      <c r="B135" s="267">
        <v>46018</v>
      </c>
      <c r="C135" s="274"/>
      <c r="E135" s="274">
        <f>E134*1.015</f>
        <v>120.614037909491</v>
      </c>
    </row>
    <row r="136" spans="1:5">
      <c r="A136" s="266">
        <v>134</v>
      </c>
      <c r="B136" s="267">
        <v>46019</v>
      </c>
      <c r="C136" s="274"/>
      <c r="E136" s="274">
        <f>E135*1.015</f>
        <v>122.423248478134</v>
      </c>
    </row>
    <row r="137" spans="1:5">
      <c r="A137" s="266">
        <v>135</v>
      </c>
      <c r="B137" s="267">
        <v>46020</v>
      </c>
      <c r="C137" s="274"/>
      <c r="E137" s="274">
        <f>E136*1.015</f>
        <v>124.259597205306</v>
      </c>
    </row>
    <row r="138" spans="1:5">
      <c r="A138" s="266">
        <v>136</v>
      </c>
      <c r="B138" s="267">
        <v>46021</v>
      </c>
      <c r="C138" s="274"/>
      <c r="E138" s="274">
        <f>E137*1.015</f>
        <v>126.123491163385</v>
      </c>
    </row>
    <row r="139" spans="1:5">
      <c r="A139" s="266">
        <v>137</v>
      </c>
      <c r="B139" s="267">
        <v>46022</v>
      </c>
      <c r="C139" s="274"/>
      <c r="E139" s="274">
        <f>E138*1.015</f>
        <v>128.015343530836</v>
      </c>
    </row>
    <row r="140" spans="3:5">
      <c r="C140" s="274"/>
      <c r="E140" s="274"/>
    </row>
    <row r="141" spans="3:5">
      <c r="C141" s="274"/>
      <c r="E141" s="274"/>
    </row>
  </sheetData>
  <sortState ref="E1:E130">
    <sortCondition ref="E1" descending="1"/>
  </sortState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9"/>
  <sheetViews>
    <sheetView zoomScale="70" zoomScaleNormal="70" workbookViewId="0">
      <pane xSplit="1" ySplit="16" topLeftCell="B213" activePane="bottomRight" state="frozen"/>
      <selection/>
      <selection pane="topRight"/>
      <selection pane="bottomLeft"/>
      <selection pane="bottomRight" activeCell="E218" sqref="E218"/>
    </sheetView>
  </sheetViews>
  <sheetFormatPr defaultColWidth="9.14166666666667" defaultRowHeight="15.75"/>
  <cols>
    <col min="1" max="1" width="12.5833333333333" style="134" customWidth="1"/>
    <col min="2" max="2" width="9" style="3" customWidth="1"/>
    <col min="3" max="3" width="16.25" style="135" customWidth="1"/>
    <col min="4" max="4" width="13.4166666666667" style="4" customWidth="1"/>
    <col min="5" max="5" width="12" style="5" customWidth="1"/>
    <col min="6" max="6" width="13.25" style="4" customWidth="1"/>
    <col min="7" max="7" width="11.875" style="4" customWidth="1"/>
    <col min="8" max="9" width="12.6666666666667" style="4" customWidth="1"/>
    <col min="10" max="10" width="9.41666666666667" style="4" customWidth="1"/>
    <col min="11" max="11" width="9.83333333333333" style="4" customWidth="1"/>
    <col min="12" max="12" width="10.4166666666667" style="4" customWidth="1"/>
    <col min="13" max="13" width="9.83333333333333" style="4" customWidth="1"/>
    <col min="14" max="16" width="9.875" style="4" customWidth="1"/>
    <col min="17" max="17" width="9.875" style="6" customWidth="1"/>
    <col min="18" max="18" width="12.5" style="4" customWidth="1"/>
    <col min="19" max="19" width="6.83333333333333" style="7" customWidth="1"/>
    <col min="20" max="20" width="6.875" style="7" customWidth="1"/>
    <col min="21" max="21" width="10.375" style="8" customWidth="1"/>
    <col min="22" max="22" width="10.625" style="9" customWidth="1"/>
    <col min="23" max="23" width="14.375" style="9" customWidth="1"/>
    <col min="24" max="24" width="68.25" style="1" customWidth="1"/>
    <col min="25" max="16384" width="9.14166666666667" style="1"/>
  </cols>
  <sheetData>
    <row r="1" ht="26.25" spans="1:23">
      <c r="A1" s="136"/>
      <c r="B1" s="137" t="s">
        <v>61</v>
      </c>
      <c r="C1" s="138"/>
      <c r="D1" s="138"/>
      <c r="E1" s="139"/>
      <c r="F1" s="138"/>
      <c r="G1" s="138"/>
      <c r="H1" s="140"/>
      <c r="I1" s="180"/>
      <c r="J1" s="136"/>
      <c r="K1" s="136"/>
      <c r="L1" s="13" t="s">
        <v>33</v>
      </c>
      <c r="M1" s="14" t="s">
        <v>62</v>
      </c>
      <c r="N1" s="15" t="s">
        <v>51</v>
      </c>
      <c r="O1" s="15" t="s">
        <v>63</v>
      </c>
      <c r="P1" s="32" t="s">
        <v>64</v>
      </c>
      <c r="Q1" s="32" t="s">
        <v>52</v>
      </c>
      <c r="R1" s="13" t="s">
        <v>33</v>
      </c>
      <c r="S1" s="14" t="s">
        <v>62</v>
      </c>
      <c r="T1" s="15" t="s">
        <v>51</v>
      </c>
      <c r="U1" s="15" t="s">
        <v>63</v>
      </c>
      <c r="V1" s="32" t="s">
        <v>64</v>
      </c>
      <c r="W1" s="32" t="s">
        <v>52</v>
      </c>
    </row>
    <row r="2" ht="25.5" spans="1:23">
      <c r="A2" s="136"/>
      <c r="B2" s="141"/>
      <c r="C2" s="142"/>
      <c r="D2" s="142"/>
      <c r="E2" s="143"/>
      <c r="F2" s="142"/>
      <c r="G2" s="142"/>
      <c r="H2" s="144"/>
      <c r="I2" s="180"/>
      <c r="J2" s="136"/>
      <c r="K2" s="136"/>
      <c r="L2" s="181"/>
      <c r="M2" s="14"/>
      <c r="N2" s="15"/>
      <c r="O2" s="15"/>
      <c r="P2" s="34"/>
      <c r="Q2" s="34"/>
      <c r="R2" s="16">
        <v>45658</v>
      </c>
      <c r="S2" s="17">
        <f>T2+U2</f>
        <v>3</v>
      </c>
      <c r="T2" s="18">
        <v>3</v>
      </c>
      <c r="U2" s="18">
        <v>0</v>
      </c>
      <c r="V2" s="34">
        <f>W2/Q13-1</f>
        <v>0.105044633589371</v>
      </c>
      <c r="W2" s="34">
        <v>3.7261</v>
      </c>
    </row>
    <row r="3" spans="1:23">
      <c r="A3" s="10"/>
      <c r="B3" s="145" t="s">
        <v>65</v>
      </c>
      <c r="C3" s="146"/>
      <c r="D3" s="146"/>
      <c r="E3" s="147"/>
      <c r="F3" s="146"/>
      <c r="G3" s="146"/>
      <c r="H3" s="148"/>
      <c r="I3" s="19"/>
      <c r="J3" s="27"/>
      <c r="K3" s="27"/>
      <c r="L3" s="181"/>
      <c r="M3" s="14"/>
      <c r="N3" s="15"/>
      <c r="O3" s="15"/>
      <c r="P3" s="34"/>
      <c r="Q3" s="34"/>
      <c r="R3" s="16">
        <v>45689</v>
      </c>
      <c r="S3" s="17">
        <f>T3+U3</f>
        <v>6</v>
      </c>
      <c r="T3" s="18">
        <v>3</v>
      </c>
      <c r="U3" s="18">
        <v>3</v>
      </c>
      <c r="V3" s="34">
        <f>W3/W2-1</f>
        <v>-0.0586940769168837</v>
      </c>
      <c r="W3" s="34">
        <v>3.5074</v>
      </c>
    </row>
    <row r="4" spans="1:23">
      <c r="A4" s="10"/>
      <c r="B4" s="149" t="s">
        <v>66</v>
      </c>
      <c r="C4" s="150"/>
      <c r="D4" s="151" t="s">
        <v>67</v>
      </c>
      <c r="E4" s="152"/>
      <c r="F4" s="153"/>
      <c r="G4" s="150"/>
      <c r="H4" s="154"/>
      <c r="I4" s="26"/>
      <c r="J4" s="27"/>
      <c r="K4" s="27"/>
      <c r="L4" s="181"/>
      <c r="M4" s="17"/>
      <c r="N4" s="18"/>
      <c r="O4" s="18"/>
      <c r="P4" s="34"/>
      <c r="Q4" s="34"/>
      <c r="R4" s="16">
        <v>45717</v>
      </c>
      <c r="S4" s="17">
        <f t="shared" ref="S4:S13" si="0">T4+U4</f>
        <v>4</v>
      </c>
      <c r="T4" s="18">
        <v>1</v>
      </c>
      <c r="U4" s="18">
        <v>3</v>
      </c>
      <c r="V4" s="34">
        <f>W4/W3-1</f>
        <v>-0.0945999885955409</v>
      </c>
      <c r="W4" s="34">
        <v>3.1756</v>
      </c>
    </row>
    <row r="5" spans="1:23">
      <c r="A5" s="10"/>
      <c r="B5" s="149" t="s">
        <v>68</v>
      </c>
      <c r="C5" s="150"/>
      <c r="D5" s="151" t="s">
        <v>69</v>
      </c>
      <c r="E5" s="152"/>
      <c r="F5" s="153"/>
      <c r="G5" s="150"/>
      <c r="H5" s="154"/>
      <c r="I5" s="26"/>
      <c r="J5" s="27"/>
      <c r="K5" s="27"/>
      <c r="L5" s="182"/>
      <c r="M5" s="20"/>
      <c r="N5" s="21"/>
      <c r="O5" s="21"/>
      <c r="P5" s="21"/>
      <c r="Q5" s="21"/>
      <c r="R5" s="16">
        <v>45748</v>
      </c>
      <c r="S5" s="17">
        <f t="shared" si="0"/>
        <v>6</v>
      </c>
      <c r="T5" s="18">
        <v>2</v>
      </c>
      <c r="U5" s="18">
        <v>4</v>
      </c>
      <c r="V5" s="34">
        <f>W5/W4-1</f>
        <v>0.314901121047991</v>
      </c>
      <c r="W5" s="34">
        <v>4.1756</v>
      </c>
    </row>
    <row r="6" spans="1:23">
      <c r="A6" s="10"/>
      <c r="B6" s="149" t="s">
        <v>70</v>
      </c>
      <c r="C6" s="150"/>
      <c r="D6" s="151" t="s">
        <v>71</v>
      </c>
      <c r="E6" s="152"/>
      <c r="F6" s="153"/>
      <c r="G6" s="150"/>
      <c r="H6" s="154"/>
      <c r="I6" s="26"/>
      <c r="J6" s="27"/>
      <c r="K6" s="27"/>
      <c r="L6" s="182"/>
      <c r="M6" s="20"/>
      <c r="N6" s="21"/>
      <c r="O6" s="21"/>
      <c r="P6" s="21"/>
      <c r="Q6" s="21"/>
      <c r="R6" s="16">
        <v>45778</v>
      </c>
      <c r="S6" s="17">
        <f t="shared" si="0"/>
        <v>8</v>
      </c>
      <c r="T6" s="18">
        <v>3</v>
      </c>
      <c r="U6" s="18">
        <v>5</v>
      </c>
      <c r="V6" s="34">
        <f>W6/W5-1</f>
        <v>0.239486540856404</v>
      </c>
      <c r="W6" s="34">
        <v>5.1756</v>
      </c>
    </row>
    <row r="7" spans="1:23">
      <c r="A7" s="10"/>
      <c r="B7" s="149" t="s">
        <v>72</v>
      </c>
      <c r="C7" s="150"/>
      <c r="D7" s="151" t="s">
        <v>73</v>
      </c>
      <c r="E7" s="152"/>
      <c r="F7" s="153"/>
      <c r="G7" s="150"/>
      <c r="H7" s="154"/>
      <c r="I7" s="26"/>
      <c r="J7" s="27"/>
      <c r="K7" s="27"/>
      <c r="L7" s="182"/>
      <c r="M7" s="20"/>
      <c r="N7" s="21"/>
      <c r="O7" s="21"/>
      <c r="P7" s="21"/>
      <c r="Q7" s="21"/>
      <c r="R7" s="16">
        <v>45809</v>
      </c>
      <c r="S7" s="17">
        <f t="shared" si="0"/>
        <v>10</v>
      </c>
      <c r="T7" s="18">
        <v>4</v>
      </c>
      <c r="U7" s="18">
        <v>6</v>
      </c>
      <c r="V7" s="34">
        <f>W7/W6-1</f>
        <v>0.19321431331633</v>
      </c>
      <c r="W7" s="34">
        <v>6.1756</v>
      </c>
    </row>
    <row r="8" ht="13" customHeight="1" spans="1:23">
      <c r="A8" s="10"/>
      <c r="B8" s="149" t="s">
        <v>74</v>
      </c>
      <c r="C8" s="150"/>
      <c r="D8" s="151" t="s">
        <v>75</v>
      </c>
      <c r="E8" s="152"/>
      <c r="F8" s="153"/>
      <c r="G8" s="150"/>
      <c r="H8" s="154"/>
      <c r="I8" s="26"/>
      <c r="J8" s="27"/>
      <c r="K8" s="27"/>
      <c r="L8" s="182"/>
      <c r="M8" s="20"/>
      <c r="N8" s="21"/>
      <c r="O8" s="21"/>
      <c r="P8" s="21"/>
      <c r="Q8" s="21"/>
      <c r="R8" s="16">
        <v>45839</v>
      </c>
      <c r="S8" s="17">
        <f t="shared" si="0"/>
        <v>0</v>
      </c>
      <c r="T8" s="21"/>
      <c r="U8" s="21"/>
      <c r="V8" s="82"/>
      <c r="W8" s="82"/>
    </row>
    <row r="9" spans="1:23">
      <c r="A9" s="10"/>
      <c r="B9" s="149"/>
      <c r="C9" s="150"/>
      <c r="D9" s="151"/>
      <c r="E9" s="152"/>
      <c r="F9" s="153"/>
      <c r="G9" s="150"/>
      <c r="H9" s="154"/>
      <c r="I9" s="26"/>
      <c r="J9" s="27"/>
      <c r="K9" s="27"/>
      <c r="L9" s="182"/>
      <c r="M9" s="20"/>
      <c r="N9" s="21"/>
      <c r="O9" s="21"/>
      <c r="P9" s="21"/>
      <c r="Q9" s="21"/>
      <c r="R9" s="16">
        <v>45870</v>
      </c>
      <c r="S9" s="17">
        <f t="shared" si="0"/>
        <v>0</v>
      </c>
      <c r="T9" s="21"/>
      <c r="U9" s="21"/>
      <c r="V9" s="82"/>
      <c r="W9" s="82"/>
    </row>
    <row r="10" spans="1:23">
      <c r="A10" s="10"/>
      <c r="B10" s="149"/>
      <c r="C10" s="150"/>
      <c r="D10" s="151"/>
      <c r="E10" s="152"/>
      <c r="F10" s="153"/>
      <c r="G10" s="150"/>
      <c r="H10" s="154"/>
      <c r="I10" s="26"/>
      <c r="J10" s="27"/>
      <c r="K10" s="27"/>
      <c r="L10" s="182"/>
      <c r="M10" s="20"/>
      <c r="N10" s="21"/>
      <c r="O10" s="21"/>
      <c r="P10" s="21"/>
      <c r="Q10" s="21"/>
      <c r="R10" s="16">
        <v>45901</v>
      </c>
      <c r="S10" s="17">
        <f t="shared" si="0"/>
        <v>0</v>
      </c>
      <c r="T10" s="21"/>
      <c r="U10" s="21"/>
      <c r="V10" s="82"/>
      <c r="W10" s="82"/>
    </row>
    <row r="11" spans="1:23">
      <c r="A11" s="10"/>
      <c r="B11" s="149"/>
      <c r="C11" s="150"/>
      <c r="D11" s="155"/>
      <c r="E11" s="147"/>
      <c r="F11" s="146"/>
      <c r="G11" s="146"/>
      <c r="H11" s="148"/>
      <c r="I11" s="19"/>
      <c r="J11" s="27"/>
      <c r="K11" s="27"/>
      <c r="L11" s="25">
        <v>45566</v>
      </c>
      <c r="M11" s="17">
        <v>5</v>
      </c>
      <c r="N11" s="18">
        <v>5</v>
      </c>
      <c r="O11" s="18">
        <v>0</v>
      </c>
      <c r="P11" s="34">
        <v>0.4655</v>
      </c>
      <c r="Q11" s="34">
        <v>1.4655</v>
      </c>
      <c r="R11" s="16">
        <v>45931</v>
      </c>
      <c r="S11" s="17">
        <f t="shared" si="0"/>
        <v>0</v>
      </c>
      <c r="T11" s="18"/>
      <c r="U11" s="18"/>
      <c r="V11" s="34"/>
      <c r="W11" s="34"/>
    </row>
    <row r="12" spans="1:23">
      <c r="A12" s="10"/>
      <c r="B12" s="156"/>
      <c r="C12" s="157"/>
      <c r="D12" s="158"/>
      <c r="E12" s="159"/>
      <c r="F12" s="160"/>
      <c r="G12" s="160"/>
      <c r="H12" s="161"/>
      <c r="I12" s="19"/>
      <c r="J12" s="27"/>
      <c r="K12" s="27"/>
      <c r="L12" s="25">
        <v>45597</v>
      </c>
      <c r="M12" s="23">
        <v>9</v>
      </c>
      <c r="N12" s="24">
        <v>6</v>
      </c>
      <c r="O12" s="24">
        <v>3</v>
      </c>
      <c r="P12" s="60">
        <f>Q12/Q11-1</f>
        <v>0.430638007505971</v>
      </c>
      <c r="Q12" s="60">
        <v>2.0966</v>
      </c>
      <c r="R12" s="16">
        <v>45962</v>
      </c>
      <c r="S12" s="17">
        <f t="shared" si="0"/>
        <v>0</v>
      </c>
      <c r="T12" s="24"/>
      <c r="U12" s="24"/>
      <c r="V12" s="60"/>
      <c r="W12" s="60"/>
    </row>
    <row r="13" spans="1:23">
      <c r="A13" s="10"/>
      <c r="B13" s="156"/>
      <c r="C13" s="157"/>
      <c r="D13" s="158"/>
      <c r="E13" s="159"/>
      <c r="F13" s="160"/>
      <c r="G13" s="160"/>
      <c r="H13" s="161"/>
      <c r="I13" s="19"/>
      <c r="J13" s="27"/>
      <c r="K13" s="27"/>
      <c r="L13" s="25">
        <v>45627</v>
      </c>
      <c r="M13" s="17">
        <f>N13+O13</f>
        <v>7</v>
      </c>
      <c r="N13" s="18">
        <v>7</v>
      </c>
      <c r="O13" s="18">
        <v>0</v>
      </c>
      <c r="P13" s="34">
        <f>Q13/Q11-1</f>
        <v>1.30085295121119</v>
      </c>
      <c r="Q13" s="34">
        <v>3.3719</v>
      </c>
      <c r="R13" s="25">
        <v>45992</v>
      </c>
      <c r="S13" s="17">
        <f t="shared" si="0"/>
        <v>0</v>
      </c>
      <c r="T13" s="18"/>
      <c r="U13" s="18"/>
      <c r="V13" s="34"/>
      <c r="W13" s="34"/>
    </row>
    <row r="14" ht="16.5" spans="1:23">
      <c r="A14" s="10"/>
      <c r="B14" s="162"/>
      <c r="C14" s="163"/>
      <c r="D14" s="164"/>
      <c r="E14" s="165"/>
      <c r="F14" s="166"/>
      <c r="G14" s="166"/>
      <c r="H14" s="167"/>
      <c r="I14" s="19"/>
      <c r="J14" s="27"/>
      <c r="K14" s="27"/>
      <c r="L14" s="25" t="s">
        <v>76</v>
      </c>
      <c r="M14" s="17">
        <f t="shared" ref="M14:O14" si="1">SUM(M2:M13)</f>
        <v>21</v>
      </c>
      <c r="N14" s="17">
        <f t="shared" si="1"/>
        <v>18</v>
      </c>
      <c r="O14" s="17">
        <f t="shared" si="1"/>
        <v>3</v>
      </c>
      <c r="P14" s="34">
        <f>AVERAGE(P11:P13)</f>
        <v>0.732330319572387</v>
      </c>
      <c r="Q14" s="34">
        <v>3.3719</v>
      </c>
      <c r="R14" s="25" t="s">
        <v>76</v>
      </c>
      <c r="S14" s="17">
        <f t="shared" ref="P14:U14" si="2">SUM(S2:S13)</f>
        <v>37</v>
      </c>
      <c r="T14" s="17">
        <f t="shared" si="2"/>
        <v>16</v>
      </c>
      <c r="U14" s="17">
        <f t="shared" si="2"/>
        <v>21</v>
      </c>
      <c r="V14" s="34">
        <f>AVERAGE(V2:V13)</f>
        <v>0.116558757216279</v>
      </c>
      <c r="W14" s="34">
        <f>W3</f>
        <v>3.5074</v>
      </c>
    </row>
    <row r="15" ht="16.5" spans="1:23">
      <c r="A15" s="10"/>
      <c r="B15" s="19"/>
      <c r="C15" s="19"/>
      <c r="D15" s="19"/>
      <c r="E15" s="19"/>
      <c r="F15" s="19"/>
      <c r="G15" s="19"/>
      <c r="H15" s="19"/>
      <c r="I15" s="19"/>
      <c r="J15" s="27"/>
      <c r="K15" s="27"/>
      <c r="L15" s="27"/>
      <c r="M15" s="27"/>
      <c r="N15" s="27"/>
      <c r="O15" s="27"/>
      <c r="P15" s="27"/>
      <c r="Q15" s="27"/>
      <c r="R15" s="83"/>
      <c r="S15" s="84"/>
      <c r="T15" s="84"/>
      <c r="U15" s="85"/>
      <c r="V15" s="86"/>
      <c r="W15" s="86"/>
    </row>
    <row r="16" spans="1:24">
      <c r="A16" s="168" t="s">
        <v>44</v>
      </c>
      <c r="B16" s="13" t="s">
        <v>77</v>
      </c>
      <c r="C16" s="169" t="s">
        <v>78</v>
      </c>
      <c r="D16" s="32" t="s">
        <v>79</v>
      </c>
      <c r="E16" s="32" t="s">
        <v>80</v>
      </c>
      <c r="F16" s="32" t="s">
        <v>81</v>
      </c>
      <c r="G16" s="32" t="s">
        <v>82</v>
      </c>
      <c r="H16" s="32" t="s">
        <v>83</v>
      </c>
      <c r="I16" s="32"/>
      <c r="J16" s="32" t="s">
        <v>84</v>
      </c>
      <c r="K16" s="32" t="s">
        <v>85</v>
      </c>
      <c r="L16" s="32" t="s">
        <v>86</v>
      </c>
      <c r="M16" s="29" t="s">
        <v>85</v>
      </c>
      <c r="N16" s="29"/>
      <c r="O16" s="183"/>
      <c r="P16" s="31"/>
      <c r="R16" s="87" t="s">
        <v>87</v>
      </c>
      <c r="S16" s="88" t="s">
        <v>55</v>
      </c>
      <c r="T16" s="88" t="s">
        <v>56</v>
      </c>
      <c r="U16" s="185" t="s">
        <v>88</v>
      </c>
      <c r="V16" s="186"/>
      <c r="W16" s="186"/>
      <c r="X16" s="187"/>
    </row>
    <row r="17" s="131" customFormat="1" spans="1:24">
      <c r="A17" s="28">
        <v>45579</v>
      </c>
      <c r="B17" s="170"/>
      <c r="C17" s="170"/>
      <c r="D17" s="171"/>
      <c r="E17" s="172"/>
      <c r="F17" s="173"/>
      <c r="G17" s="174"/>
      <c r="H17" s="174"/>
      <c r="I17" s="174"/>
      <c r="J17" s="32"/>
      <c r="K17" s="34">
        <v>1</v>
      </c>
      <c r="L17" s="32"/>
      <c r="M17" s="34">
        <v>1</v>
      </c>
      <c r="N17" s="35"/>
      <c r="O17" s="35"/>
      <c r="P17" s="35"/>
      <c r="Q17" s="35"/>
      <c r="R17" s="188"/>
      <c r="S17" s="189"/>
      <c r="T17" s="189"/>
      <c r="U17" s="190"/>
      <c r="V17" s="191"/>
      <c r="W17" s="191"/>
      <c r="X17" s="192"/>
    </row>
    <row r="18" s="132" customFormat="1" spans="1:24">
      <c r="A18" s="28">
        <v>45580</v>
      </c>
      <c r="B18" s="170" t="s">
        <v>89</v>
      </c>
      <c r="C18" s="170" t="s">
        <v>90</v>
      </c>
      <c r="D18" s="171">
        <v>0.0692</v>
      </c>
      <c r="E18" s="172">
        <v>-0.0536</v>
      </c>
      <c r="F18" s="173"/>
      <c r="G18" s="174"/>
      <c r="H18" s="174"/>
      <c r="I18" s="174"/>
      <c r="J18" s="32"/>
      <c r="K18" s="32"/>
      <c r="L18" s="32"/>
      <c r="M18" s="32"/>
      <c r="N18" s="6"/>
      <c r="O18" s="6"/>
      <c r="P18" s="6"/>
      <c r="Q18" s="6"/>
      <c r="R18" s="193"/>
      <c r="S18" s="194"/>
      <c r="T18" s="194"/>
      <c r="U18" s="190"/>
      <c r="V18" s="191"/>
      <c r="W18" s="191"/>
      <c r="X18" s="192"/>
    </row>
    <row r="19" s="132" customFormat="1" spans="1:24">
      <c r="A19" s="28">
        <v>45581</v>
      </c>
      <c r="B19" s="170" t="s">
        <v>91</v>
      </c>
      <c r="C19" s="170" t="s">
        <v>92</v>
      </c>
      <c r="D19" s="171">
        <v>0.0457</v>
      </c>
      <c r="E19" s="175" t="s">
        <v>93</v>
      </c>
      <c r="F19" s="173"/>
      <c r="G19" s="174"/>
      <c r="H19" s="174"/>
      <c r="I19" s="174"/>
      <c r="J19" s="32"/>
      <c r="K19" s="32"/>
      <c r="L19" s="32"/>
      <c r="M19" s="32"/>
      <c r="N19" s="6"/>
      <c r="O19" s="6"/>
      <c r="P19" s="6"/>
      <c r="Q19" s="6"/>
      <c r="R19" s="193"/>
      <c r="S19" s="194"/>
      <c r="T19" s="194"/>
      <c r="U19" s="190"/>
      <c r="V19" s="191"/>
      <c r="W19" s="191"/>
      <c r="X19" s="192"/>
    </row>
    <row r="20" s="132" customFormat="1" spans="1:24">
      <c r="A20" s="70">
        <v>45582</v>
      </c>
      <c r="B20" s="170"/>
      <c r="C20" s="170"/>
      <c r="D20" s="171"/>
      <c r="E20" s="172"/>
      <c r="F20" s="173"/>
      <c r="G20" s="174"/>
      <c r="H20" s="174"/>
      <c r="I20" s="174"/>
      <c r="J20" s="32"/>
      <c r="K20" s="32"/>
      <c r="L20" s="32"/>
      <c r="M20" s="32"/>
      <c r="N20" s="6"/>
      <c r="O20" s="6"/>
      <c r="P20" s="6"/>
      <c r="Q20" s="6"/>
      <c r="R20" s="193"/>
      <c r="S20" s="194"/>
      <c r="T20" s="194"/>
      <c r="U20" s="190"/>
      <c r="V20" s="191"/>
      <c r="W20" s="191"/>
      <c r="X20" s="192"/>
    </row>
    <row r="21" s="132" customFormat="1" spans="1:24">
      <c r="A21" s="70">
        <v>45583</v>
      </c>
      <c r="B21" s="170"/>
      <c r="C21" s="170"/>
      <c r="D21" s="171"/>
      <c r="E21" s="172"/>
      <c r="F21" s="173"/>
      <c r="G21" s="174"/>
      <c r="H21" s="174"/>
      <c r="I21" s="174"/>
      <c r="J21" s="32"/>
      <c r="K21" s="32"/>
      <c r="L21" s="32"/>
      <c r="M21" s="32"/>
      <c r="N21" s="6"/>
      <c r="O21" s="6"/>
      <c r="P21" s="6"/>
      <c r="Q21" s="6"/>
      <c r="R21" s="193"/>
      <c r="S21" s="194"/>
      <c r="T21" s="194"/>
      <c r="U21" s="190"/>
      <c r="V21" s="191"/>
      <c r="W21" s="191"/>
      <c r="X21" s="192"/>
    </row>
    <row r="22" s="132" customFormat="1" spans="1:24">
      <c r="A22" s="70">
        <v>45586</v>
      </c>
      <c r="B22" s="170"/>
      <c r="C22" s="170"/>
      <c r="D22" s="171"/>
      <c r="E22" s="172"/>
      <c r="F22" s="173"/>
      <c r="G22" s="174"/>
      <c r="H22" s="174"/>
      <c r="I22" s="174"/>
      <c r="J22" s="32"/>
      <c r="K22" s="32"/>
      <c r="L22" s="32"/>
      <c r="M22" s="32"/>
      <c r="N22" s="6"/>
      <c r="O22" s="6"/>
      <c r="P22" s="6"/>
      <c r="Q22" s="6"/>
      <c r="R22" s="195">
        <f ca="1">T22/S22</f>
        <v>0</v>
      </c>
      <c r="S22" s="194">
        <f ca="1">VLOOKUP(INDIRECT("A"&amp;ROW()),收益表!$A$16:$U$10014,20,0)</f>
        <v>190</v>
      </c>
      <c r="T22" s="194">
        <f ca="1">VLOOKUP(INDIRECT("A"&amp;ROW()),收益表!$A$16:$U$10014,21,0)</f>
        <v>0</v>
      </c>
      <c r="U22" s="190"/>
      <c r="V22" s="191"/>
      <c r="W22" s="191"/>
      <c r="X22" s="192"/>
    </row>
    <row r="23" s="132" customFormat="1" spans="1:24">
      <c r="A23" s="70">
        <v>45587</v>
      </c>
      <c r="B23" s="170"/>
      <c r="C23" s="170"/>
      <c r="D23" s="171"/>
      <c r="E23" s="172"/>
      <c r="F23" s="173"/>
      <c r="G23" s="174"/>
      <c r="H23" s="174"/>
      <c r="I23" s="174"/>
      <c r="J23" s="32"/>
      <c r="K23" s="32"/>
      <c r="L23" s="32"/>
      <c r="M23" s="32"/>
      <c r="N23" s="6"/>
      <c r="O23" s="6"/>
      <c r="P23" s="6"/>
      <c r="Q23" s="6"/>
      <c r="R23" s="195">
        <f ca="1">T23/S23</f>
        <v>0</v>
      </c>
      <c r="S23" s="194">
        <f ca="1">VLOOKUP(INDIRECT("A"&amp;ROW()),收益表!$A$16:$U$10014,20,0)</f>
        <v>132</v>
      </c>
      <c r="T23" s="194">
        <f ca="1">VLOOKUP(INDIRECT("A"&amp;ROW()),收益表!$A$16:$U$10014,21,0)</f>
        <v>0</v>
      </c>
      <c r="U23" s="190"/>
      <c r="V23" s="191"/>
      <c r="W23" s="191"/>
      <c r="X23" s="192"/>
    </row>
    <row r="24" s="132" customFormat="1" spans="1:24">
      <c r="A24" s="70">
        <v>45588</v>
      </c>
      <c r="B24" s="170"/>
      <c r="C24" s="170"/>
      <c r="D24" s="171"/>
      <c r="E24" s="172"/>
      <c r="F24" s="173"/>
      <c r="G24" s="174"/>
      <c r="H24" s="174"/>
      <c r="I24" s="174"/>
      <c r="J24" s="32"/>
      <c r="K24" s="32"/>
      <c r="L24" s="32"/>
      <c r="M24" s="32"/>
      <c r="N24" s="6"/>
      <c r="O24" s="6"/>
      <c r="P24" s="6"/>
      <c r="Q24" s="6"/>
      <c r="R24" s="195">
        <f ca="1">T24/S24</f>
        <v>0.015748031496063</v>
      </c>
      <c r="S24" s="194">
        <f ca="1">VLOOKUP(INDIRECT("A"&amp;ROW()),收益表!$A$16:$U$10014,20,0)</f>
        <v>127</v>
      </c>
      <c r="T24" s="194">
        <f ca="1">VLOOKUP(INDIRECT("A"&amp;ROW()),收益表!$A$16:$U$10014,21,0)</f>
        <v>2</v>
      </c>
      <c r="U24" s="190"/>
      <c r="V24" s="191"/>
      <c r="W24" s="191"/>
      <c r="X24" s="192"/>
    </row>
    <row r="25" s="133" customFormat="1" spans="1:24">
      <c r="A25" s="28">
        <v>45589</v>
      </c>
      <c r="B25" s="170" t="s">
        <v>94</v>
      </c>
      <c r="C25" s="170" t="s">
        <v>95</v>
      </c>
      <c r="D25" s="171">
        <v>0</v>
      </c>
      <c r="E25" s="176" t="s">
        <v>96</v>
      </c>
      <c r="F25" s="177" t="s">
        <v>96</v>
      </c>
      <c r="G25" s="178" t="s">
        <v>96</v>
      </c>
      <c r="H25" s="174">
        <v>-0.0373</v>
      </c>
      <c r="I25" s="174"/>
      <c r="J25" s="34">
        <v>0.1</v>
      </c>
      <c r="K25" s="34">
        <f>(1+J25)*K17</f>
        <v>1.1</v>
      </c>
      <c r="L25" s="34">
        <v>0.1</v>
      </c>
      <c r="M25" s="34">
        <f>(1+L25)*M17</f>
        <v>1.1</v>
      </c>
      <c r="N25" s="35"/>
      <c r="O25" s="35"/>
      <c r="P25" s="35"/>
      <c r="Q25" s="35"/>
      <c r="R25" s="195">
        <f ca="1">T25/S25</f>
        <v>0.0225563909774436</v>
      </c>
      <c r="S25" s="194">
        <f ca="1">VLOOKUP(INDIRECT("A"&amp;ROW()),收益表!$A$16:$U$10014,20,0)</f>
        <v>133</v>
      </c>
      <c r="T25" s="194">
        <f ca="1">VLOOKUP(INDIRECT("A"&amp;ROW()),收益表!$A$16:$U$10014,21,0)</f>
        <v>3</v>
      </c>
      <c r="U25" s="196" t="s">
        <v>97</v>
      </c>
      <c r="V25" s="197"/>
      <c r="W25" s="197"/>
      <c r="X25" s="198"/>
    </row>
    <row r="26" s="133" customFormat="1" spans="1:24">
      <c r="A26" s="28">
        <v>45590</v>
      </c>
      <c r="B26" s="170" t="s">
        <v>98</v>
      </c>
      <c r="C26" s="170" t="s">
        <v>90</v>
      </c>
      <c r="D26" s="171">
        <v>0.0222</v>
      </c>
      <c r="E26" s="172">
        <v>0.0024</v>
      </c>
      <c r="F26" s="173"/>
      <c r="G26" s="174"/>
      <c r="H26" s="174"/>
      <c r="I26" s="174"/>
      <c r="J26" s="34">
        <v>0.1</v>
      </c>
      <c r="K26" s="34">
        <f>(1+J26)*K25</f>
        <v>1.21</v>
      </c>
      <c r="L26" s="34">
        <v>0.1</v>
      </c>
      <c r="M26" s="34">
        <f>(1+L26)*M25</f>
        <v>1.21</v>
      </c>
      <c r="N26" s="35"/>
      <c r="O26" s="35"/>
      <c r="P26" s="35"/>
      <c r="Q26" s="35"/>
      <c r="R26" s="199">
        <f ca="1">T26/S26</f>
        <v>0.00523560209424084</v>
      </c>
      <c r="S26" s="200">
        <f ca="1">VLOOKUP(INDIRECT("A"&amp;ROW()),收益表!$A$16:$U$10014,20,0)</f>
        <v>191</v>
      </c>
      <c r="T26" s="200">
        <f ca="1">VLOOKUP(INDIRECT("A"&amp;ROW()),收益表!$A$16:$U$10014,21,0)</f>
        <v>1</v>
      </c>
      <c r="U26" s="190"/>
      <c r="V26" s="191"/>
      <c r="W26" s="191"/>
      <c r="X26" s="192"/>
    </row>
    <row r="27" s="133" customFormat="1" spans="1:24">
      <c r="A27" s="28"/>
      <c r="B27" s="170" t="s">
        <v>99</v>
      </c>
      <c r="C27" s="170" t="s">
        <v>100</v>
      </c>
      <c r="D27" s="171">
        <v>0.018</v>
      </c>
      <c r="E27" s="176" t="s">
        <v>96</v>
      </c>
      <c r="F27" s="177" t="s">
        <v>96</v>
      </c>
      <c r="G27" s="178" t="s">
        <v>96</v>
      </c>
      <c r="H27" s="174">
        <v>0.0177</v>
      </c>
      <c r="I27" s="174"/>
      <c r="J27" s="34"/>
      <c r="K27" s="34"/>
      <c r="L27" s="34"/>
      <c r="M27" s="34"/>
      <c r="N27" s="35"/>
      <c r="O27" s="35"/>
      <c r="P27" s="35"/>
      <c r="Q27" s="35"/>
      <c r="R27" s="201"/>
      <c r="S27" s="189"/>
      <c r="T27" s="189"/>
      <c r="U27" s="190"/>
      <c r="V27" s="191"/>
      <c r="W27" s="191"/>
      <c r="X27" s="192"/>
    </row>
    <row r="28" s="133" customFormat="1" spans="1:24">
      <c r="A28" s="70">
        <v>45593</v>
      </c>
      <c r="B28" s="170"/>
      <c r="C28" s="170"/>
      <c r="D28" s="171"/>
      <c r="E28" s="172"/>
      <c r="F28" s="173"/>
      <c r="G28" s="174"/>
      <c r="H28" s="174"/>
      <c r="I28" s="174"/>
      <c r="J28" s="34"/>
      <c r="K28" s="34"/>
      <c r="L28" s="34"/>
      <c r="M28" s="34"/>
      <c r="N28" s="35"/>
      <c r="O28" s="35"/>
      <c r="P28" s="35"/>
      <c r="Q28" s="35"/>
      <c r="R28" s="195">
        <f ca="1">T28/S28</f>
        <v>0.00340136054421769</v>
      </c>
      <c r="S28" s="194">
        <f ca="1">VLOOKUP(INDIRECT("A"&amp;ROW()),收益表!$A$16:$U$10014,20,0)</f>
        <v>294</v>
      </c>
      <c r="T28" s="194">
        <f ca="1">VLOOKUP(INDIRECT("A"&amp;ROW()),收益表!$A$16:$U$10014,21,0)</f>
        <v>1</v>
      </c>
      <c r="U28" s="190"/>
      <c r="V28" s="191"/>
      <c r="W28" s="191"/>
      <c r="X28" s="192"/>
    </row>
    <row r="29" s="133" customFormat="1" spans="1:24">
      <c r="A29" s="28">
        <v>45594</v>
      </c>
      <c r="B29" s="170" t="s">
        <v>101</v>
      </c>
      <c r="C29" s="170" t="s">
        <v>102</v>
      </c>
      <c r="D29" s="171">
        <v>0.0488</v>
      </c>
      <c r="E29" s="172" t="s">
        <v>103</v>
      </c>
      <c r="F29" s="173"/>
      <c r="G29" s="174"/>
      <c r="H29" s="174"/>
      <c r="I29" s="174"/>
      <c r="J29" s="34">
        <v>0.0724</v>
      </c>
      <c r="K29" s="34">
        <f>(1+J29)*K26</f>
        <v>1.297604</v>
      </c>
      <c r="L29" s="34">
        <v>0.0724</v>
      </c>
      <c r="M29" s="34">
        <f>(1+L29)*M26</f>
        <v>1.297604</v>
      </c>
      <c r="N29" s="35"/>
      <c r="O29" s="35"/>
      <c r="P29" s="35"/>
      <c r="Q29" s="35"/>
      <c r="R29" s="195">
        <f ca="1">T29/S29</f>
        <v>0.125</v>
      </c>
      <c r="S29" s="194">
        <f ca="1">VLOOKUP(INDIRECT("A"&amp;ROW()),收益表!$A$16:$U$10014,20,0)</f>
        <v>152</v>
      </c>
      <c r="T29" s="194">
        <f ca="1">VLOOKUP(INDIRECT("A"&amp;ROW()),收益表!$A$16:$U$10014,21,0)</f>
        <v>19</v>
      </c>
      <c r="U29" s="190"/>
      <c r="V29" s="191"/>
      <c r="W29" s="191"/>
      <c r="X29" s="192"/>
    </row>
    <row r="30" s="132" customFormat="1" spans="1:24">
      <c r="A30" s="168">
        <v>45595</v>
      </c>
      <c r="B30" s="170" t="s">
        <v>104</v>
      </c>
      <c r="C30" s="170" t="s">
        <v>102</v>
      </c>
      <c r="D30" s="171">
        <v>0.0868</v>
      </c>
      <c r="E30" s="172">
        <v>0.026</v>
      </c>
      <c r="F30" s="173" t="s">
        <v>105</v>
      </c>
      <c r="G30" s="174"/>
      <c r="H30" s="174"/>
      <c r="I30" s="174"/>
      <c r="J30" s="34">
        <v>0.026</v>
      </c>
      <c r="K30" s="34">
        <f>(1+J30)*K29</f>
        <v>1.331341704</v>
      </c>
      <c r="L30" s="34">
        <v>0.026</v>
      </c>
      <c r="M30" s="34">
        <f>(1+L30)*M29</f>
        <v>1.331341704</v>
      </c>
      <c r="N30" s="35"/>
      <c r="O30" s="35"/>
      <c r="P30" s="35"/>
      <c r="Q30" s="35"/>
      <c r="R30" s="199">
        <f ca="1">T30/S30</f>
        <v>0.0412371134020619</v>
      </c>
      <c r="S30" s="200">
        <f ca="1">VLOOKUP(INDIRECT("A"&amp;ROW()),收益表!$A$16:$U$10014,20,0)</f>
        <v>194</v>
      </c>
      <c r="T30" s="200">
        <f ca="1">VLOOKUP(INDIRECT("A"&amp;ROW()),收益表!$A$16:$U$10014,21,0)</f>
        <v>8</v>
      </c>
      <c r="U30" s="190"/>
      <c r="V30" s="191"/>
      <c r="W30" s="191"/>
      <c r="X30" s="192"/>
    </row>
    <row r="31" s="132" customFormat="1" spans="1:24">
      <c r="A31" s="168"/>
      <c r="B31" s="170" t="s">
        <v>106</v>
      </c>
      <c r="C31" s="170" t="s">
        <v>92</v>
      </c>
      <c r="D31" s="171">
        <v>0.0476</v>
      </c>
      <c r="E31" s="172" t="s">
        <v>93</v>
      </c>
      <c r="F31" s="173"/>
      <c r="G31" s="174"/>
      <c r="H31" s="174"/>
      <c r="I31" s="174"/>
      <c r="J31" s="34"/>
      <c r="K31" s="34"/>
      <c r="L31" s="34"/>
      <c r="M31" s="34"/>
      <c r="N31" s="35"/>
      <c r="O31" s="35"/>
      <c r="P31" s="35"/>
      <c r="Q31" s="35"/>
      <c r="R31" s="201"/>
      <c r="S31" s="189"/>
      <c r="T31" s="189"/>
      <c r="U31" s="190"/>
      <c r="V31" s="191"/>
      <c r="W31" s="191"/>
      <c r="X31" s="192"/>
    </row>
    <row r="32" s="133" customFormat="1" spans="1:24">
      <c r="A32" s="168">
        <v>45596</v>
      </c>
      <c r="B32" s="170" t="s">
        <v>107</v>
      </c>
      <c r="C32" s="170" t="s">
        <v>108</v>
      </c>
      <c r="D32" s="171">
        <v>-0.04</v>
      </c>
      <c r="E32" s="176" t="s">
        <v>96</v>
      </c>
      <c r="F32" s="173">
        <v>-0.0251</v>
      </c>
      <c r="G32" s="174">
        <v>-0.0776</v>
      </c>
      <c r="H32" s="174">
        <v>0.0284</v>
      </c>
      <c r="I32" s="174"/>
      <c r="J32" s="34">
        <v>0.1</v>
      </c>
      <c r="K32" s="34">
        <f>(1+J32)*K30</f>
        <v>1.4644758744</v>
      </c>
      <c r="L32" s="34">
        <v>0.1</v>
      </c>
      <c r="M32" s="34">
        <f>(1+L32)*M30</f>
        <v>1.4644758744</v>
      </c>
      <c r="N32" s="35"/>
      <c r="O32" s="35"/>
      <c r="P32" s="35"/>
      <c r="Q32" s="35"/>
      <c r="R32" s="199">
        <f ca="1">T32/S32</f>
        <v>0.0660377358490566</v>
      </c>
      <c r="S32" s="200">
        <f ca="1">VLOOKUP(INDIRECT("A"&amp;ROW()),收益表!$A$16:$U$10014,20,0)</f>
        <v>212</v>
      </c>
      <c r="T32" s="200">
        <f ca="1">VLOOKUP(INDIRECT("A"&amp;ROW()),收益表!$A$16:$U$10014,21,0)</f>
        <v>14</v>
      </c>
      <c r="U32" s="190"/>
      <c r="V32" s="191"/>
      <c r="W32" s="191"/>
      <c r="X32" s="192"/>
    </row>
    <row r="33" s="133" customFormat="1" spans="1:24">
      <c r="A33" s="168">
        <v>45597</v>
      </c>
      <c r="B33" s="170" t="s">
        <v>109</v>
      </c>
      <c r="C33" s="170" t="s">
        <v>102</v>
      </c>
      <c r="D33" s="171">
        <v>0.0026</v>
      </c>
      <c r="E33" s="172">
        <v>-0.0696</v>
      </c>
      <c r="F33" s="173">
        <v>0.0042</v>
      </c>
      <c r="G33" s="174">
        <v>0.0239</v>
      </c>
      <c r="H33" s="174">
        <v>-0.011</v>
      </c>
      <c r="I33" s="174"/>
      <c r="J33" s="100">
        <v>-0.0696</v>
      </c>
      <c r="K33" s="100">
        <f>(1+J33)*K32</f>
        <v>1.36254835354176</v>
      </c>
      <c r="L33" s="100">
        <v>-0.0696</v>
      </c>
      <c r="M33" s="100">
        <f>(1+L33)*M32</f>
        <v>1.36254835354176</v>
      </c>
      <c r="N33" s="184"/>
      <c r="O33" s="184"/>
      <c r="P33" s="184"/>
      <c r="Q33" s="184"/>
      <c r="R33" s="201"/>
      <c r="S33" s="189"/>
      <c r="T33" s="189"/>
      <c r="U33" s="190"/>
      <c r="V33" s="191"/>
      <c r="W33" s="191"/>
      <c r="X33" s="192"/>
    </row>
    <row r="34" s="132" customFormat="1" spans="1:24">
      <c r="A34" s="168">
        <v>45600</v>
      </c>
      <c r="B34" s="170" t="s">
        <v>110</v>
      </c>
      <c r="C34" s="170" t="s">
        <v>102</v>
      </c>
      <c r="D34" s="171">
        <v>0.0094</v>
      </c>
      <c r="E34" s="172">
        <v>-0.0837</v>
      </c>
      <c r="F34" s="173">
        <v>0.066</v>
      </c>
      <c r="G34" s="174">
        <v>0.0095</v>
      </c>
      <c r="H34" s="174">
        <v>0.0519</v>
      </c>
      <c r="I34" s="174"/>
      <c r="J34" s="34">
        <v>0.0081</v>
      </c>
      <c r="K34" s="34">
        <f>(1+J34)*K33</f>
        <v>1.37358499520545</v>
      </c>
      <c r="L34" s="34"/>
      <c r="M34" s="34"/>
      <c r="N34" s="35"/>
      <c r="O34" s="35"/>
      <c r="P34" s="35"/>
      <c r="Q34" s="35"/>
      <c r="R34" s="202">
        <f ca="1">T34/S34</f>
        <v>0.231182795698925</v>
      </c>
      <c r="S34" s="200">
        <f ca="1">VLOOKUP(INDIRECT("A"&amp;ROW()),收益表!$A$16:$U$10014,20,0)</f>
        <v>186</v>
      </c>
      <c r="T34" s="200">
        <f ca="1">VLOOKUP(INDIRECT("A"&amp;ROW()),收益表!$A$16:$U$10014,21,0)</f>
        <v>43</v>
      </c>
      <c r="U34" s="190"/>
      <c r="V34" s="191"/>
      <c r="W34" s="191"/>
      <c r="X34" s="192"/>
    </row>
    <row r="35" s="132" customFormat="1" spans="1:24">
      <c r="A35" s="168"/>
      <c r="B35" s="170" t="s">
        <v>111</v>
      </c>
      <c r="C35" s="170" t="s">
        <v>102</v>
      </c>
      <c r="D35" s="171">
        <v>-0.0637</v>
      </c>
      <c r="E35" s="176" t="s">
        <v>96</v>
      </c>
      <c r="F35" s="173">
        <v>0.0179</v>
      </c>
      <c r="G35" s="178" t="s">
        <v>96</v>
      </c>
      <c r="H35" s="174">
        <v>-0.0196</v>
      </c>
      <c r="I35" s="174"/>
      <c r="J35" s="34"/>
      <c r="K35" s="34"/>
      <c r="L35" s="34"/>
      <c r="M35" s="34"/>
      <c r="N35" s="35"/>
      <c r="O35" s="35"/>
      <c r="P35" s="35"/>
      <c r="Q35" s="35"/>
      <c r="R35" s="203"/>
      <c r="S35" s="204"/>
      <c r="T35" s="204"/>
      <c r="U35" s="190"/>
      <c r="V35" s="191"/>
      <c r="W35" s="191"/>
      <c r="X35" s="192"/>
    </row>
    <row r="36" s="132" customFormat="1" spans="1:24">
      <c r="A36" s="168"/>
      <c r="B36" s="170" t="s">
        <v>112</v>
      </c>
      <c r="C36" s="170" t="s">
        <v>92</v>
      </c>
      <c r="D36" s="171">
        <v>-0.0999</v>
      </c>
      <c r="E36" s="176" t="s">
        <v>96</v>
      </c>
      <c r="F36" s="173"/>
      <c r="G36" s="174"/>
      <c r="H36" s="174"/>
      <c r="I36" s="174"/>
      <c r="J36" s="34"/>
      <c r="K36" s="34"/>
      <c r="L36" s="34"/>
      <c r="M36" s="34"/>
      <c r="N36" s="35"/>
      <c r="O36" s="35"/>
      <c r="P36" s="35"/>
      <c r="Q36" s="35"/>
      <c r="R36" s="205"/>
      <c r="S36" s="189"/>
      <c r="T36" s="189"/>
      <c r="U36" s="190"/>
      <c r="V36" s="191"/>
      <c r="W36" s="191"/>
      <c r="X36" s="192"/>
    </row>
    <row r="37" s="132" customFormat="1" spans="1:24">
      <c r="A37" s="28">
        <v>45601</v>
      </c>
      <c r="B37" s="170" t="s">
        <v>113</v>
      </c>
      <c r="C37" s="170" t="s">
        <v>90</v>
      </c>
      <c r="D37" s="171">
        <v>0.0258</v>
      </c>
      <c r="E37" s="176" t="s">
        <v>96</v>
      </c>
      <c r="F37" s="173"/>
      <c r="G37" s="174"/>
      <c r="H37" s="174"/>
      <c r="I37" s="174"/>
      <c r="J37" s="32"/>
      <c r="K37" s="32"/>
      <c r="L37" s="32"/>
      <c r="M37" s="32"/>
      <c r="N37" s="6"/>
      <c r="O37" s="6"/>
      <c r="P37" s="6"/>
      <c r="Q37" s="6"/>
      <c r="R37" s="195">
        <f ca="1">T37/S37</f>
        <v>0.00917431192660551</v>
      </c>
      <c r="S37" s="194">
        <f ca="1">VLOOKUP(INDIRECT("A"&amp;ROW()),收益表!$A$16:$U$10014,20,0)</f>
        <v>218</v>
      </c>
      <c r="T37" s="194">
        <f ca="1">VLOOKUP(INDIRECT("A"&amp;ROW()),收益表!$A$16:$U$10014,21,0)</f>
        <v>2</v>
      </c>
      <c r="U37" s="190"/>
      <c r="V37" s="191"/>
      <c r="W37" s="191"/>
      <c r="X37" s="192"/>
    </row>
    <row r="38" s="133" customFormat="1" spans="1:24">
      <c r="A38" s="168">
        <v>45602</v>
      </c>
      <c r="B38" s="170" t="s">
        <v>114</v>
      </c>
      <c r="C38" s="170" t="s">
        <v>92</v>
      </c>
      <c r="D38" s="171">
        <v>0.028</v>
      </c>
      <c r="E38" s="172">
        <v>0.0011</v>
      </c>
      <c r="F38" s="173"/>
      <c r="G38" s="174"/>
      <c r="H38" s="174"/>
      <c r="I38" s="174"/>
      <c r="J38" s="32"/>
      <c r="K38" s="32"/>
      <c r="L38" s="32"/>
      <c r="M38" s="32"/>
      <c r="N38" s="6"/>
      <c r="O38" s="6"/>
      <c r="P38" s="6"/>
      <c r="Q38" s="6"/>
      <c r="R38" s="195">
        <f ca="1">T38/S38</f>
        <v>0.0386740331491713</v>
      </c>
      <c r="S38" s="194">
        <f ca="1">VLOOKUP(INDIRECT("A"&amp;ROW()),收益表!$A$16:$U$10014,20,0)</f>
        <v>181</v>
      </c>
      <c r="T38" s="194">
        <f ca="1">VLOOKUP(INDIRECT("A"&amp;ROW()),收益表!$A$16:$U$10014,21,0)</f>
        <v>7</v>
      </c>
      <c r="U38" s="190"/>
      <c r="V38" s="191"/>
      <c r="W38" s="191"/>
      <c r="X38" s="192"/>
    </row>
    <row r="39" s="133" customFormat="1" spans="1:24">
      <c r="A39" s="168">
        <v>45603</v>
      </c>
      <c r="B39" s="170" t="s">
        <v>115</v>
      </c>
      <c r="C39" s="170" t="s">
        <v>92</v>
      </c>
      <c r="D39" s="171">
        <v>-0.0225</v>
      </c>
      <c r="E39" s="172">
        <v>0.0126</v>
      </c>
      <c r="F39" s="173"/>
      <c r="G39" s="174"/>
      <c r="H39" s="174"/>
      <c r="I39" s="174"/>
      <c r="J39" s="34">
        <v>0.1</v>
      </c>
      <c r="K39" s="34">
        <f>(1+J39)*K34</f>
        <v>1.51094349472599</v>
      </c>
      <c r="L39" s="34">
        <v>0.1</v>
      </c>
      <c r="M39" s="34">
        <f>(1+L39)*M33</f>
        <v>1.49880318889594</v>
      </c>
      <c r="N39" s="35"/>
      <c r="O39" s="35"/>
      <c r="P39" s="35"/>
      <c r="Q39" s="35"/>
      <c r="R39" s="199">
        <f ca="1">T39/S39</f>
        <v>0.0429184549356223</v>
      </c>
      <c r="S39" s="200">
        <f ca="1">VLOOKUP(INDIRECT("A"&amp;ROW()),收益表!$A$16:$U$10014,20,0)</f>
        <v>233</v>
      </c>
      <c r="T39" s="200">
        <f ca="1">VLOOKUP(INDIRECT("A"&amp;ROW()),收益表!$A$16:$U$10014,21,0)</f>
        <v>10</v>
      </c>
      <c r="U39" s="190"/>
      <c r="V39" s="191"/>
      <c r="W39" s="191"/>
      <c r="X39" s="192"/>
    </row>
    <row r="40" s="133" customFormat="1" spans="1:24">
      <c r="A40" s="168"/>
      <c r="B40" s="170" t="s">
        <v>116</v>
      </c>
      <c r="C40" s="170" t="s">
        <v>102</v>
      </c>
      <c r="D40" s="171">
        <v>0.0193</v>
      </c>
      <c r="E40" s="176" t="s">
        <v>96</v>
      </c>
      <c r="F40" s="173" t="s">
        <v>93</v>
      </c>
      <c r="G40" s="174">
        <v>-0.0328</v>
      </c>
      <c r="H40" s="174">
        <v>-0.0254</v>
      </c>
      <c r="I40" s="174"/>
      <c r="J40" s="34"/>
      <c r="K40" s="34"/>
      <c r="L40" s="34"/>
      <c r="M40" s="34"/>
      <c r="N40" s="35"/>
      <c r="O40" s="35"/>
      <c r="P40" s="35"/>
      <c r="Q40" s="35"/>
      <c r="R40" s="201"/>
      <c r="S40" s="189"/>
      <c r="T40" s="189"/>
      <c r="U40" s="190"/>
      <c r="V40" s="191"/>
      <c r="W40" s="191"/>
      <c r="X40" s="192"/>
    </row>
    <row r="41" s="133" customFormat="1" spans="1:24">
      <c r="A41" s="168">
        <v>45604</v>
      </c>
      <c r="B41" s="170" t="s">
        <v>117</v>
      </c>
      <c r="C41" s="170" t="s">
        <v>118</v>
      </c>
      <c r="D41" s="171">
        <v>0.0213</v>
      </c>
      <c r="E41" s="172" t="s">
        <v>119</v>
      </c>
      <c r="F41" s="173"/>
      <c r="G41" s="174"/>
      <c r="H41" s="174"/>
      <c r="I41" s="174"/>
      <c r="J41" s="34">
        <v>0.09</v>
      </c>
      <c r="K41" s="34">
        <f>(1+J41)*K39</f>
        <v>1.64692840925133</v>
      </c>
      <c r="L41" s="34">
        <v>0.09</v>
      </c>
      <c r="M41" s="34">
        <f>(1+L41)*M39</f>
        <v>1.63369547589657</v>
      </c>
      <c r="N41" s="35"/>
      <c r="O41" s="35"/>
      <c r="P41" s="35"/>
      <c r="Q41" s="35"/>
      <c r="R41" s="199">
        <f ca="1">T41/S41</f>
        <v>0.0387096774193548</v>
      </c>
      <c r="S41" s="200">
        <f ca="1">VLOOKUP(INDIRECT("A"&amp;ROW()),收益表!$A$16:$U$10014,20,0)</f>
        <v>155</v>
      </c>
      <c r="T41" s="200">
        <f ca="1">VLOOKUP(INDIRECT("A"&amp;ROW()),收益表!$A$16:$U$10014,21,0)</f>
        <v>6</v>
      </c>
      <c r="U41" s="190"/>
      <c r="V41" s="191"/>
      <c r="W41" s="191"/>
      <c r="X41" s="192"/>
    </row>
    <row r="42" s="133" customFormat="1" spans="1:24">
      <c r="A42" s="168"/>
      <c r="B42" s="170" t="s">
        <v>120</v>
      </c>
      <c r="C42" s="170" t="s">
        <v>102</v>
      </c>
      <c r="D42" s="171">
        <v>-0.0492</v>
      </c>
      <c r="E42" s="176" t="s">
        <v>96</v>
      </c>
      <c r="F42" s="173" t="s">
        <v>121</v>
      </c>
      <c r="G42" s="174" t="s">
        <v>93</v>
      </c>
      <c r="H42" s="174">
        <v>-0.0119</v>
      </c>
      <c r="I42" s="174"/>
      <c r="J42" s="34"/>
      <c r="K42" s="34"/>
      <c r="L42" s="34"/>
      <c r="M42" s="34"/>
      <c r="N42" s="35"/>
      <c r="O42" s="35"/>
      <c r="P42" s="35"/>
      <c r="Q42" s="35"/>
      <c r="R42" s="206"/>
      <c r="S42" s="204"/>
      <c r="T42" s="204"/>
      <c r="U42" s="190"/>
      <c r="V42" s="191"/>
      <c r="W42" s="191"/>
      <c r="X42" s="192"/>
    </row>
    <row r="43" s="133" customFormat="1" spans="1:24">
      <c r="A43" s="168"/>
      <c r="B43" s="170" t="s">
        <v>122</v>
      </c>
      <c r="C43" s="170" t="s">
        <v>92</v>
      </c>
      <c r="D43" s="171">
        <v>-0.0446</v>
      </c>
      <c r="E43" s="172">
        <v>0.026</v>
      </c>
      <c r="F43" s="173"/>
      <c r="G43" s="174"/>
      <c r="H43" s="174"/>
      <c r="I43" s="174"/>
      <c r="J43" s="34"/>
      <c r="K43" s="34"/>
      <c r="L43" s="34"/>
      <c r="M43" s="34"/>
      <c r="N43" s="35"/>
      <c r="O43" s="35"/>
      <c r="P43" s="35"/>
      <c r="Q43" s="35"/>
      <c r="R43" s="201"/>
      <c r="S43" s="189"/>
      <c r="T43" s="189"/>
      <c r="U43" s="190"/>
      <c r="V43" s="191"/>
      <c r="W43" s="191"/>
      <c r="X43" s="192"/>
    </row>
    <row r="44" s="132" customFormat="1" spans="1:24">
      <c r="A44" s="168">
        <v>45607</v>
      </c>
      <c r="B44" s="170" t="s">
        <v>123</v>
      </c>
      <c r="C44" s="170" t="s">
        <v>92</v>
      </c>
      <c r="D44" s="171">
        <v>-0.0029</v>
      </c>
      <c r="E44" s="172">
        <v>-0.0944</v>
      </c>
      <c r="F44" s="173"/>
      <c r="G44" s="174"/>
      <c r="H44" s="174"/>
      <c r="I44" s="174"/>
      <c r="J44" s="34">
        <v>0.0054</v>
      </c>
      <c r="K44" s="34">
        <f>(1+J44)*K41</f>
        <v>1.65582182266129</v>
      </c>
      <c r="L44" s="34">
        <v>0.0054</v>
      </c>
      <c r="M44" s="34">
        <f>(1+L44)*M41</f>
        <v>1.64251743146641</v>
      </c>
      <c r="N44" s="35"/>
      <c r="O44" s="35"/>
      <c r="P44" s="35"/>
      <c r="Q44" s="35"/>
      <c r="R44" s="199">
        <f ca="1">T44/S44</f>
        <v>0.0892018779342723</v>
      </c>
      <c r="S44" s="200">
        <f ca="1">VLOOKUP(INDIRECT("A"&amp;ROW()),收益表!$A$16:$U$10014,20,0)</f>
        <v>213</v>
      </c>
      <c r="T44" s="200">
        <f ca="1">VLOOKUP(INDIRECT("A"&amp;ROW()),收益表!$A$16:$U$10014,21,0)</f>
        <v>19</v>
      </c>
      <c r="U44" s="190"/>
      <c r="V44" s="191"/>
      <c r="W44" s="191"/>
      <c r="X44" s="192"/>
    </row>
    <row r="45" s="132" customFormat="1" spans="1:24">
      <c r="A45" s="168"/>
      <c r="B45" s="170" t="s">
        <v>124</v>
      </c>
      <c r="C45" s="170" t="s">
        <v>90</v>
      </c>
      <c r="D45" s="171">
        <v>-0.0423</v>
      </c>
      <c r="E45" s="172">
        <v>-0.0204</v>
      </c>
      <c r="F45" s="173"/>
      <c r="G45" s="174"/>
      <c r="H45" s="174"/>
      <c r="I45" s="174"/>
      <c r="J45" s="34"/>
      <c r="K45" s="34"/>
      <c r="L45" s="34"/>
      <c r="M45" s="34"/>
      <c r="N45" s="35"/>
      <c r="O45" s="35"/>
      <c r="P45" s="35"/>
      <c r="Q45" s="35"/>
      <c r="R45" s="206"/>
      <c r="S45" s="204"/>
      <c r="T45" s="204"/>
      <c r="U45" s="190"/>
      <c r="V45" s="191"/>
      <c r="W45" s="191"/>
      <c r="X45" s="192"/>
    </row>
    <row r="46" s="132" customFormat="1" spans="1:24">
      <c r="A46" s="168"/>
      <c r="B46" s="170" t="s">
        <v>125</v>
      </c>
      <c r="C46" s="170" t="s">
        <v>102</v>
      </c>
      <c r="D46" s="171">
        <v>-0.0449</v>
      </c>
      <c r="E46" s="172">
        <v>0.0054</v>
      </c>
      <c r="F46" s="173">
        <v>-0.0521</v>
      </c>
      <c r="G46" s="174" t="s">
        <v>96</v>
      </c>
      <c r="H46" s="174"/>
      <c r="I46" s="174"/>
      <c r="J46" s="34"/>
      <c r="K46" s="34"/>
      <c r="L46" s="34"/>
      <c r="M46" s="34"/>
      <c r="N46" s="35"/>
      <c r="O46" s="35"/>
      <c r="P46" s="35"/>
      <c r="Q46" s="35"/>
      <c r="R46" s="206"/>
      <c r="S46" s="204"/>
      <c r="T46" s="204"/>
      <c r="U46" s="190"/>
      <c r="V46" s="191"/>
      <c r="W46" s="191"/>
      <c r="X46" s="192"/>
    </row>
    <row r="47" s="132" customFormat="1" spans="1:24">
      <c r="A47" s="168"/>
      <c r="B47" s="170" t="s">
        <v>126</v>
      </c>
      <c r="C47" s="170" t="s">
        <v>90</v>
      </c>
      <c r="D47" s="171">
        <v>-0.0147</v>
      </c>
      <c r="E47" s="172" t="s">
        <v>93</v>
      </c>
      <c r="F47" s="173"/>
      <c r="G47" s="174"/>
      <c r="H47" s="174"/>
      <c r="I47" s="174"/>
      <c r="J47" s="34"/>
      <c r="K47" s="34"/>
      <c r="L47" s="34"/>
      <c r="M47" s="34"/>
      <c r="N47" s="35"/>
      <c r="O47" s="35"/>
      <c r="P47" s="35"/>
      <c r="Q47" s="35"/>
      <c r="R47" s="201"/>
      <c r="S47" s="189"/>
      <c r="T47" s="189"/>
      <c r="U47" s="190"/>
      <c r="V47" s="191"/>
      <c r="W47" s="191"/>
      <c r="X47" s="192"/>
    </row>
    <row r="48" s="133" customFormat="1" spans="1:24">
      <c r="A48" s="168">
        <v>45608</v>
      </c>
      <c r="B48" s="170" t="s">
        <v>127</v>
      </c>
      <c r="C48" s="170" t="s">
        <v>100</v>
      </c>
      <c r="D48" s="171">
        <v>0.0674</v>
      </c>
      <c r="E48" s="176" t="s">
        <v>96</v>
      </c>
      <c r="F48" s="173">
        <v>-0.0886</v>
      </c>
      <c r="G48" s="174">
        <v>-0.0201</v>
      </c>
      <c r="H48" s="174">
        <v>-0.039</v>
      </c>
      <c r="I48" s="174"/>
      <c r="J48" s="34">
        <v>0.1</v>
      </c>
      <c r="K48" s="34">
        <f>(1+J48)*K44</f>
        <v>1.82140400492742</v>
      </c>
      <c r="L48" s="34">
        <v>0.1</v>
      </c>
      <c r="M48" s="34">
        <f>(1+L48)*M44</f>
        <v>1.80676917461305</v>
      </c>
      <c r="N48" s="35"/>
      <c r="O48" s="35"/>
      <c r="P48" s="35"/>
      <c r="Q48" s="35"/>
      <c r="R48" s="202">
        <f ca="1">T48/S48</f>
        <v>0.176991150442478</v>
      </c>
      <c r="S48" s="200">
        <f ca="1">VLOOKUP(INDIRECT("A"&amp;ROW()),收益表!$A$16:$U$10014,20,0)</f>
        <v>113</v>
      </c>
      <c r="T48" s="200">
        <f ca="1">VLOOKUP(INDIRECT("A"&amp;ROW()),收益表!$A$16:$U$10014,21,0)</f>
        <v>20</v>
      </c>
      <c r="U48" s="190"/>
      <c r="V48" s="191"/>
      <c r="W48" s="191"/>
      <c r="X48" s="192"/>
    </row>
    <row r="49" s="133" customFormat="1" spans="1:24">
      <c r="A49" s="168"/>
      <c r="B49" s="170" t="s">
        <v>128</v>
      </c>
      <c r="C49" s="170" t="s">
        <v>92</v>
      </c>
      <c r="D49" s="171">
        <v>0.0024</v>
      </c>
      <c r="E49" s="172">
        <v>0.0506</v>
      </c>
      <c r="F49" s="173"/>
      <c r="G49" s="174"/>
      <c r="H49" s="174"/>
      <c r="I49" s="174"/>
      <c r="J49" s="34"/>
      <c r="K49" s="34"/>
      <c r="L49" s="34"/>
      <c r="M49" s="34"/>
      <c r="N49" s="35"/>
      <c r="O49" s="35"/>
      <c r="P49" s="35"/>
      <c r="Q49" s="35"/>
      <c r="R49" s="205"/>
      <c r="S49" s="189"/>
      <c r="T49" s="189"/>
      <c r="U49" s="190"/>
      <c r="V49" s="191"/>
      <c r="W49" s="191"/>
      <c r="X49" s="192"/>
    </row>
    <row r="50" s="132" customFormat="1" spans="1:24">
      <c r="A50" s="168">
        <v>45609</v>
      </c>
      <c r="B50" s="170" t="s">
        <v>129</v>
      </c>
      <c r="C50" s="170" t="s">
        <v>102</v>
      </c>
      <c r="D50" s="171">
        <v>0.0913</v>
      </c>
      <c r="E50" s="172" t="s">
        <v>93</v>
      </c>
      <c r="F50" s="173" t="s">
        <v>105</v>
      </c>
      <c r="G50" s="174"/>
      <c r="H50" s="174"/>
      <c r="I50" s="174"/>
      <c r="J50" s="100">
        <v>-0.018</v>
      </c>
      <c r="K50" s="100">
        <f>(1+J50)*K48</f>
        <v>1.78861873283873</v>
      </c>
      <c r="L50" s="100"/>
      <c r="M50" s="100"/>
      <c r="N50" s="184"/>
      <c r="O50" s="184"/>
      <c r="P50" s="184"/>
      <c r="Q50" s="184"/>
      <c r="R50" s="202">
        <f ca="1">T50/S50</f>
        <v>0.280898876404494</v>
      </c>
      <c r="S50" s="200">
        <f ca="1">VLOOKUP(INDIRECT("A"&amp;ROW()),收益表!$A$16:$U$10014,20,0)</f>
        <v>89</v>
      </c>
      <c r="T50" s="200">
        <f ca="1">VLOOKUP(INDIRECT("A"&amp;ROW()),收益表!$A$16:$U$10014,21,0)</f>
        <v>25</v>
      </c>
      <c r="U50" s="190"/>
      <c r="V50" s="191"/>
      <c r="W50" s="191"/>
      <c r="X50" s="192"/>
    </row>
    <row r="51" s="132" customFormat="1" spans="1:24">
      <c r="A51" s="168"/>
      <c r="B51" s="170" t="s">
        <v>130</v>
      </c>
      <c r="C51" s="170" t="s">
        <v>92</v>
      </c>
      <c r="D51" s="171">
        <v>0.0971</v>
      </c>
      <c r="E51" s="172" t="s">
        <v>93</v>
      </c>
      <c r="F51" s="173"/>
      <c r="G51" s="174"/>
      <c r="H51" s="174"/>
      <c r="I51" s="174"/>
      <c r="J51" s="100"/>
      <c r="K51" s="100"/>
      <c r="L51" s="100"/>
      <c r="M51" s="100"/>
      <c r="N51" s="184"/>
      <c r="O51" s="184"/>
      <c r="P51" s="184"/>
      <c r="Q51" s="184"/>
      <c r="R51" s="203"/>
      <c r="S51" s="204"/>
      <c r="T51" s="204"/>
      <c r="U51" s="190"/>
      <c r="V51" s="191"/>
      <c r="W51" s="191"/>
      <c r="X51" s="192"/>
    </row>
    <row r="52" s="132" customFormat="1" spans="1:24">
      <c r="A52" s="168"/>
      <c r="B52" s="170" t="s">
        <v>131</v>
      </c>
      <c r="C52" s="170" t="s">
        <v>92</v>
      </c>
      <c r="D52" s="171">
        <v>0.0522</v>
      </c>
      <c r="E52" s="172">
        <v>0.0098</v>
      </c>
      <c r="F52" s="173"/>
      <c r="G52" s="174"/>
      <c r="H52" s="174"/>
      <c r="I52" s="174"/>
      <c r="J52" s="100"/>
      <c r="K52" s="100"/>
      <c r="L52" s="100"/>
      <c r="M52" s="100"/>
      <c r="N52" s="184"/>
      <c r="O52" s="184"/>
      <c r="P52" s="184"/>
      <c r="Q52" s="184"/>
      <c r="R52" s="203"/>
      <c r="S52" s="204"/>
      <c r="T52" s="204"/>
      <c r="U52" s="190"/>
      <c r="V52" s="191"/>
      <c r="W52" s="191"/>
      <c r="X52" s="192"/>
    </row>
    <row r="53" s="132" customFormat="1" spans="1:24">
      <c r="A53" s="168"/>
      <c r="B53" s="170" t="s">
        <v>132</v>
      </c>
      <c r="C53" s="170" t="s">
        <v>74</v>
      </c>
      <c r="D53" s="171">
        <v>0.0235</v>
      </c>
      <c r="E53" s="172">
        <v>-0.0508</v>
      </c>
      <c r="F53" s="173"/>
      <c r="G53" s="174"/>
      <c r="H53" s="174"/>
      <c r="I53" s="174"/>
      <c r="J53" s="100"/>
      <c r="K53" s="100"/>
      <c r="L53" s="100"/>
      <c r="M53" s="100"/>
      <c r="N53" s="184"/>
      <c r="O53" s="184"/>
      <c r="P53" s="184"/>
      <c r="Q53" s="184"/>
      <c r="R53" s="203"/>
      <c r="S53" s="204"/>
      <c r="T53" s="204"/>
      <c r="U53" s="190"/>
      <c r="V53" s="191"/>
      <c r="W53" s="191"/>
      <c r="X53" s="192"/>
    </row>
    <row r="54" s="132" customFormat="1" spans="1:24">
      <c r="A54" s="168"/>
      <c r="B54" s="170" t="s">
        <v>133</v>
      </c>
      <c r="C54" s="170" t="s">
        <v>102</v>
      </c>
      <c r="D54" s="171">
        <v>0.0421</v>
      </c>
      <c r="E54" s="176" t="s">
        <v>96</v>
      </c>
      <c r="F54" s="173" t="s">
        <v>93</v>
      </c>
      <c r="G54" s="174">
        <v>-0.0829</v>
      </c>
      <c r="H54" s="174">
        <v>-0.0771</v>
      </c>
      <c r="I54" s="174"/>
      <c r="J54" s="100"/>
      <c r="K54" s="100"/>
      <c r="L54" s="100"/>
      <c r="M54" s="100"/>
      <c r="N54" s="184"/>
      <c r="O54" s="184"/>
      <c r="P54" s="184"/>
      <c r="Q54" s="184"/>
      <c r="R54" s="203"/>
      <c r="S54" s="204"/>
      <c r="T54" s="204"/>
      <c r="U54" s="190"/>
      <c r="V54" s="191"/>
      <c r="W54" s="191"/>
      <c r="X54" s="192"/>
    </row>
    <row r="55" s="132" customFormat="1" spans="1:24">
      <c r="A55" s="168"/>
      <c r="B55" s="170" t="s">
        <v>134</v>
      </c>
      <c r="C55" s="170" t="s">
        <v>74</v>
      </c>
      <c r="D55" s="171">
        <v>-0.0594</v>
      </c>
      <c r="E55" s="172">
        <v>-0.012</v>
      </c>
      <c r="F55" s="173"/>
      <c r="G55" s="174"/>
      <c r="H55" s="174"/>
      <c r="I55" s="174"/>
      <c r="J55" s="100"/>
      <c r="K55" s="100"/>
      <c r="L55" s="100"/>
      <c r="M55" s="100"/>
      <c r="N55" s="184"/>
      <c r="O55" s="184"/>
      <c r="P55" s="184"/>
      <c r="Q55" s="184"/>
      <c r="R55" s="203"/>
      <c r="S55" s="204"/>
      <c r="T55" s="204"/>
      <c r="U55" s="190"/>
      <c r="V55" s="191"/>
      <c r="W55" s="191"/>
      <c r="X55" s="192"/>
    </row>
    <row r="56" s="132" customFormat="1" spans="1:24">
      <c r="A56" s="168"/>
      <c r="B56" s="170" t="s">
        <v>135</v>
      </c>
      <c r="C56" s="170" t="s">
        <v>102</v>
      </c>
      <c r="D56" s="171">
        <v>-0.0569</v>
      </c>
      <c r="E56" s="172">
        <v>-0.0318</v>
      </c>
      <c r="F56" s="173">
        <v>-0.0467</v>
      </c>
      <c r="G56" s="174">
        <v>-0.0181</v>
      </c>
      <c r="H56" s="174">
        <v>-0.0462</v>
      </c>
      <c r="I56" s="174"/>
      <c r="J56" s="100"/>
      <c r="K56" s="100"/>
      <c r="L56" s="100"/>
      <c r="M56" s="100"/>
      <c r="N56" s="184"/>
      <c r="O56" s="184"/>
      <c r="P56" s="184"/>
      <c r="Q56" s="184"/>
      <c r="R56" s="205"/>
      <c r="S56" s="189"/>
      <c r="T56" s="189"/>
      <c r="U56" s="190"/>
      <c r="V56" s="191"/>
      <c r="W56" s="191"/>
      <c r="X56" s="192"/>
    </row>
    <row r="57" s="132" customFormat="1" spans="1:24">
      <c r="A57" s="28">
        <v>45610</v>
      </c>
      <c r="B57" s="170" t="s">
        <v>136</v>
      </c>
      <c r="C57" s="170" t="s">
        <v>90</v>
      </c>
      <c r="D57" s="171">
        <v>0.0667</v>
      </c>
      <c r="E57" s="172" t="s">
        <v>93</v>
      </c>
      <c r="F57" s="173"/>
      <c r="G57" s="174"/>
      <c r="H57" s="174"/>
      <c r="I57" s="174"/>
      <c r="J57" s="100">
        <v>-0.1</v>
      </c>
      <c r="K57" s="100">
        <f>(1+J57)*K50</f>
        <v>1.60975685955485</v>
      </c>
      <c r="L57" s="100"/>
      <c r="M57" s="100"/>
      <c r="N57" s="184"/>
      <c r="O57" s="184"/>
      <c r="P57" s="184"/>
      <c r="Q57" s="184"/>
      <c r="R57" s="202">
        <f ca="1">T57/S57</f>
        <v>0.448275862068966</v>
      </c>
      <c r="S57" s="200">
        <f ca="1">VLOOKUP(INDIRECT("A"&amp;ROW()),收益表!$A$16:$U$10014,20,0)</f>
        <v>58</v>
      </c>
      <c r="T57" s="200">
        <f ca="1">VLOOKUP(INDIRECT("A"&amp;ROW()),收益表!$A$16:$U$10014,21,0)</f>
        <v>26</v>
      </c>
      <c r="U57" s="190"/>
      <c r="V57" s="191"/>
      <c r="W57" s="191"/>
      <c r="X57" s="192"/>
    </row>
    <row r="58" s="132" customFormat="1" spans="1:24">
      <c r="A58" s="28"/>
      <c r="B58" s="170" t="s">
        <v>137</v>
      </c>
      <c r="C58" s="170" t="s">
        <v>138</v>
      </c>
      <c r="D58" s="171">
        <v>0.0347</v>
      </c>
      <c r="E58" s="172" t="s">
        <v>93</v>
      </c>
      <c r="F58" s="173">
        <v>-0.0792</v>
      </c>
      <c r="G58" s="174">
        <v>-0.0296</v>
      </c>
      <c r="H58" s="178" t="s">
        <v>96</v>
      </c>
      <c r="I58" s="178"/>
      <c r="J58" s="100"/>
      <c r="K58" s="100"/>
      <c r="L58" s="100"/>
      <c r="M58" s="100"/>
      <c r="N58" s="184"/>
      <c r="O58" s="184"/>
      <c r="P58" s="184"/>
      <c r="Q58" s="184"/>
      <c r="R58" s="203"/>
      <c r="S58" s="204"/>
      <c r="T58" s="204"/>
      <c r="U58" s="190"/>
      <c r="V58" s="191"/>
      <c r="W58" s="191"/>
      <c r="X58" s="192"/>
    </row>
    <row r="59" s="132" customFormat="1" spans="1:24">
      <c r="A59" s="28"/>
      <c r="B59" s="170" t="s">
        <v>139</v>
      </c>
      <c r="C59" s="170" t="s">
        <v>90</v>
      </c>
      <c r="D59" s="171">
        <v>0.0048</v>
      </c>
      <c r="E59" s="172">
        <v>-0.0883</v>
      </c>
      <c r="F59" s="173"/>
      <c r="G59" s="174"/>
      <c r="H59" s="174"/>
      <c r="I59" s="174"/>
      <c r="J59" s="100"/>
      <c r="K59" s="100"/>
      <c r="L59" s="100"/>
      <c r="M59" s="100"/>
      <c r="N59" s="184"/>
      <c r="O59" s="184"/>
      <c r="P59" s="184"/>
      <c r="Q59" s="184"/>
      <c r="R59" s="205"/>
      <c r="S59" s="189"/>
      <c r="T59" s="189"/>
      <c r="U59" s="190"/>
      <c r="V59" s="191"/>
      <c r="W59" s="191"/>
      <c r="X59" s="192"/>
    </row>
    <row r="60" s="132" customFormat="1" spans="1:24">
      <c r="A60" s="70">
        <v>45611</v>
      </c>
      <c r="B60" s="170"/>
      <c r="C60" s="170"/>
      <c r="D60" s="171"/>
      <c r="E60" s="172"/>
      <c r="F60" s="173"/>
      <c r="G60" s="174"/>
      <c r="H60" s="174"/>
      <c r="I60" s="174"/>
      <c r="J60" s="32"/>
      <c r="K60" s="32"/>
      <c r="L60" s="32"/>
      <c r="M60" s="32"/>
      <c r="N60" s="6"/>
      <c r="O60" s="6"/>
      <c r="P60" s="6"/>
      <c r="Q60" s="6"/>
      <c r="R60" s="207">
        <f ca="1" t="shared" ref="R60:R65" si="3">T60/S60</f>
        <v>0.666666666666667</v>
      </c>
      <c r="S60" s="194">
        <f ca="1">VLOOKUP(INDIRECT("A"&amp;ROW()),收益表!$A$16:$U$10014,20,0)</f>
        <v>81</v>
      </c>
      <c r="T60" s="194">
        <f ca="1">VLOOKUP(INDIRECT("A"&amp;ROW()),收益表!$A$16:$U$10014,21,0)</f>
        <v>54</v>
      </c>
      <c r="U60" s="190"/>
      <c r="V60" s="191"/>
      <c r="W60" s="191"/>
      <c r="X60" s="192"/>
    </row>
    <row r="61" s="133" customFormat="1" spans="1:24">
      <c r="A61" s="168">
        <v>45614</v>
      </c>
      <c r="B61" s="170" t="s">
        <v>140</v>
      </c>
      <c r="C61" s="170" t="s">
        <v>102</v>
      </c>
      <c r="D61" s="171">
        <v>-0.0035</v>
      </c>
      <c r="E61" s="176" t="s">
        <v>96</v>
      </c>
      <c r="F61" s="173" t="s">
        <v>93</v>
      </c>
      <c r="G61" s="174">
        <v>-0.0186</v>
      </c>
      <c r="H61" s="174">
        <v>-0.0285</v>
      </c>
      <c r="I61" s="174"/>
      <c r="J61" s="34">
        <v>0.1</v>
      </c>
      <c r="K61" s="34">
        <f>(1+J61)*K57</f>
        <v>1.77073254551034</v>
      </c>
      <c r="L61" s="34"/>
      <c r="M61" s="34"/>
      <c r="N61" s="35"/>
      <c r="O61" s="35"/>
      <c r="P61" s="35"/>
      <c r="Q61" s="35"/>
      <c r="R61" s="207">
        <f ca="1" t="shared" si="3"/>
        <v>0.679012345679012</v>
      </c>
      <c r="S61" s="194">
        <f ca="1">VLOOKUP(INDIRECT("A"&amp;ROW()),收益表!$A$16:$U$10014,20,0)</f>
        <v>81</v>
      </c>
      <c r="T61" s="194">
        <f ca="1">VLOOKUP(INDIRECT("A"&amp;ROW()),收益表!$A$16:$U$10014,21,0)</f>
        <v>55</v>
      </c>
      <c r="U61" s="190"/>
      <c r="V61" s="191"/>
      <c r="W61" s="191"/>
      <c r="X61" s="192"/>
    </row>
    <row r="62" s="133" customFormat="1" spans="1:24">
      <c r="A62" s="179">
        <v>45615</v>
      </c>
      <c r="B62" s="170"/>
      <c r="C62" s="170"/>
      <c r="D62" s="171"/>
      <c r="E62" s="172"/>
      <c r="F62" s="173"/>
      <c r="G62" s="174"/>
      <c r="H62" s="174"/>
      <c r="I62" s="174"/>
      <c r="J62" s="32"/>
      <c r="K62" s="32"/>
      <c r="L62" s="32"/>
      <c r="M62" s="32"/>
      <c r="N62" s="6"/>
      <c r="O62" s="6"/>
      <c r="P62" s="6"/>
      <c r="Q62" s="6"/>
      <c r="R62" s="195">
        <f ca="1" t="shared" si="3"/>
        <v>0.126315789473684</v>
      </c>
      <c r="S62" s="194">
        <f ca="1">VLOOKUP(INDIRECT("A"&amp;ROW()),收益表!$A$16:$U$10014,20,0)</f>
        <v>95</v>
      </c>
      <c r="T62" s="194">
        <f ca="1">VLOOKUP(INDIRECT("A"&amp;ROW()),收益表!$A$16:$U$10014,21,0)</f>
        <v>12</v>
      </c>
      <c r="U62" s="190"/>
      <c r="V62" s="191"/>
      <c r="W62" s="191"/>
      <c r="X62" s="192"/>
    </row>
    <row r="63" s="132" customFormat="1" spans="1:24">
      <c r="A63" s="28">
        <v>45616</v>
      </c>
      <c r="B63" s="170" t="s">
        <v>141</v>
      </c>
      <c r="C63" s="170" t="s">
        <v>102</v>
      </c>
      <c r="D63" s="171">
        <v>0.0233</v>
      </c>
      <c r="E63" s="172">
        <v>-0.0298</v>
      </c>
      <c r="F63" s="173">
        <v>-0.0586</v>
      </c>
      <c r="G63" s="174" t="s">
        <v>105</v>
      </c>
      <c r="H63" s="174"/>
      <c r="I63" s="174"/>
      <c r="J63" s="100">
        <v>-0.0298</v>
      </c>
      <c r="K63" s="100">
        <f>(1+J63)*K61</f>
        <v>1.71796471565413</v>
      </c>
      <c r="L63" s="100">
        <v>-0.0298</v>
      </c>
      <c r="M63" s="100">
        <f>(1+L63)*M48</f>
        <v>1.75292745320959</v>
      </c>
      <c r="N63" s="184"/>
      <c r="O63" s="184"/>
      <c r="P63" s="184"/>
      <c r="Q63" s="184"/>
      <c r="R63" s="195">
        <f ca="1" t="shared" si="3"/>
        <v>0.0132450331125828</v>
      </c>
      <c r="S63" s="194">
        <f ca="1">VLOOKUP(INDIRECT("A"&amp;ROW()),收益表!$A$16:$U$10014,20,0)</f>
        <v>151</v>
      </c>
      <c r="T63" s="194">
        <f ca="1">VLOOKUP(INDIRECT("A"&amp;ROW()),收益表!$A$16:$U$10014,21,0)</f>
        <v>2</v>
      </c>
      <c r="U63" s="190"/>
      <c r="V63" s="191"/>
      <c r="W63" s="191"/>
      <c r="X63" s="192"/>
    </row>
    <row r="64" s="132" customFormat="1" spans="1:24">
      <c r="A64" s="28">
        <v>45617</v>
      </c>
      <c r="B64" s="170" t="s">
        <v>142</v>
      </c>
      <c r="C64" s="170" t="s">
        <v>92</v>
      </c>
      <c r="D64" s="171">
        <v>0.0478</v>
      </c>
      <c r="E64" s="172">
        <v>-0.021</v>
      </c>
      <c r="F64" s="173"/>
      <c r="G64" s="174"/>
      <c r="H64" s="174"/>
      <c r="I64" s="174"/>
      <c r="J64" s="100"/>
      <c r="K64" s="100"/>
      <c r="L64" s="100"/>
      <c r="M64" s="100"/>
      <c r="N64" s="184"/>
      <c r="O64" s="184"/>
      <c r="P64" s="184"/>
      <c r="Q64" s="184"/>
      <c r="R64" s="195">
        <f ca="1" t="shared" si="3"/>
        <v>0.0285714285714286</v>
      </c>
      <c r="S64" s="194">
        <f ca="1">VLOOKUP(INDIRECT("A"&amp;ROW()),收益表!$A$16:$U$10014,20,0)</f>
        <v>105</v>
      </c>
      <c r="T64" s="194">
        <f ca="1">VLOOKUP(INDIRECT("A"&amp;ROW()),收益表!$A$16:$U$10014,21,0)</f>
        <v>3</v>
      </c>
      <c r="U64" s="190"/>
      <c r="V64" s="191"/>
      <c r="W64" s="191"/>
      <c r="X64" s="192"/>
    </row>
    <row r="65" s="132" customFormat="1" spans="1:24">
      <c r="A65" s="168">
        <v>45618</v>
      </c>
      <c r="B65" s="170" t="s">
        <v>143</v>
      </c>
      <c r="C65" s="170" t="s">
        <v>92</v>
      </c>
      <c r="D65" s="171">
        <v>-0.0391</v>
      </c>
      <c r="E65" s="172">
        <v>-0.0303</v>
      </c>
      <c r="F65" s="173"/>
      <c r="G65" s="174"/>
      <c r="H65" s="174"/>
      <c r="I65" s="174"/>
      <c r="J65" s="100">
        <v>-0.041</v>
      </c>
      <c r="K65" s="100">
        <f>(1+J65)*K63</f>
        <v>1.64752816231231</v>
      </c>
      <c r="L65" s="100">
        <v>-0.041</v>
      </c>
      <c r="M65" s="100">
        <f>(1+L65)*M48</f>
        <v>1.73269163845392</v>
      </c>
      <c r="N65" s="184"/>
      <c r="O65" s="184"/>
      <c r="P65" s="184"/>
      <c r="Q65" s="184"/>
      <c r="R65" s="199">
        <f ca="1" t="shared" si="3"/>
        <v>0.0857142857142857</v>
      </c>
      <c r="S65" s="200">
        <f ca="1">VLOOKUP(INDIRECT("A"&amp;ROW()),收益表!$A$16:$U$10014,20,0)</f>
        <v>70</v>
      </c>
      <c r="T65" s="200">
        <f ca="1">VLOOKUP(INDIRECT("A"&amp;ROW()),收益表!$A$16:$U$10014,21,0)</f>
        <v>6</v>
      </c>
      <c r="U65" s="190"/>
      <c r="V65" s="191"/>
      <c r="W65" s="191"/>
      <c r="X65" s="192"/>
    </row>
    <row r="66" s="132" customFormat="1" spans="1:24">
      <c r="A66" s="168"/>
      <c r="B66" s="170" t="s">
        <v>144</v>
      </c>
      <c r="C66" s="170" t="s">
        <v>92</v>
      </c>
      <c r="D66" s="171">
        <v>-0.0123</v>
      </c>
      <c r="E66" s="172">
        <v>0.0164</v>
      </c>
      <c r="F66" s="173"/>
      <c r="G66" s="174"/>
      <c r="H66" s="174"/>
      <c r="I66" s="174"/>
      <c r="J66" s="100"/>
      <c r="K66" s="100"/>
      <c r="L66" s="100"/>
      <c r="M66" s="100"/>
      <c r="N66" s="184"/>
      <c r="O66" s="184"/>
      <c r="P66" s="184"/>
      <c r="Q66" s="184"/>
      <c r="R66" s="206"/>
      <c r="S66" s="204"/>
      <c r="T66" s="204"/>
      <c r="U66" s="190"/>
      <c r="V66" s="191"/>
      <c r="W66" s="191"/>
      <c r="X66" s="192"/>
    </row>
    <row r="67" s="132" customFormat="1" spans="1:24">
      <c r="A67" s="168"/>
      <c r="B67" s="170" t="s">
        <v>137</v>
      </c>
      <c r="C67" s="170" t="s">
        <v>95</v>
      </c>
      <c r="D67" s="171">
        <v>-0.0547</v>
      </c>
      <c r="E67" s="172">
        <v>-0.041</v>
      </c>
      <c r="F67" s="177" t="s">
        <v>96</v>
      </c>
      <c r="G67" s="174"/>
      <c r="H67" s="174"/>
      <c r="I67" s="174"/>
      <c r="J67" s="100"/>
      <c r="K67" s="100"/>
      <c r="L67" s="100"/>
      <c r="M67" s="100"/>
      <c r="N67" s="184"/>
      <c r="O67" s="184"/>
      <c r="P67" s="184"/>
      <c r="Q67" s="184"/>
      <c r="R67" s="201"/>
      <c r="S67" s="189"/>
      <c r="T67" s="189"/>
      <c r="U67" s="190"/>
      <c r="V67" s="191"/>
      <c r="W67" s="191"/>
      <c r="X67" s="192"/>
    </row>
    <row r="68" s="133" customFormat="1" spans="1:24">
      <c r="A68" s="168">
        <v>45621</v>
      </c>
      <c r="B68" s="170" t="s">
        <v>145</v>
      </c>
      <c r="C68" s="170" t="s">
        <v>95</v>
      </c>
      <c r="D68" s="171">
        <v>0.0895</v>
      </c>
      <c r="E68" s="176" t="s">
        <v>96</v>
      </c>
      <c r="F68" s="173" t="s">
        <v>146</v>
      </c>
      <c r="G68" s="178" t="s">
        <v>96</v>
      </c>
      <c r="H68" s="174" t="s">
        <v>147</v>
      </c>
      <c r="I68" s="174"/>
      <c r="J68" s="34">
        <v>0.1</v>
      </c>
      <c r="K68" s="34">
        <f>(1+J68)*K65</f>
        <v>1.81228097854354</v>
      </c>
      <c r="L68" s="34">
        <v>0.1</v>
      </c>
      <c r="M68" s="34">
        <f>(1+L68)*M65</f>
        <v>1.90596080229931</v>
      </c>
      <c r="N68" s="35"/>
      <c r="O68" s="35"/>
      <c r="P68" s="35"/>
      <c r="Q68" s="35"/>
      <c r="R68" s="199">
        <f ca="1">T68/S68</f>
        <v>0.0454545454545455</v>
      </c>
      <c r="S68" s="200">
        <f ca="1">VLOOKUP(INDIRECT("A"&amp;ROW()),收益表!$A$16:$U$10014,20,0)</f>
        <v>154</v>
      </c>
      <c r="T68" s="200">
        <f ca="1">VLOOKUP(INDIRECT("A"&amp;ROW()),收益表!$A$16:$U$10014,21,0)</f>
        <v>7</v>
      </c>
      <c r="U68" s="190"/>
      <c r="V68" s="191"/>
      <c r="W68" s="191"/>
      <c r="X68" s="192"/>
    </row>
    <row r="69" s="133" customFormat="1" spans="1:24">
      <c r="A69" s="168"/>
      <c r="B69" s="170" t="s">
        <v>148</v>
      </c>
      <c r="C69" s="170" t="s">
        <v>102</v>
      </c>
      <c r="D69" s="171">
        <v>0.0779</v>
      </c>
      <c r="E69" s="176" t="s">
        <v>96</v>
      </c>
      <c r="F69" s="173" t="s">
        <v>96</v>
      </c>
      <c r="G69" s="174" t="s">
        <v>149</v>
      </c>
      <c r="H69" s="178" t="s">
        <v>96</v>
      </c>
      <c r="I69" s="178"/>
      <c r="J69" s="34"/>
      <c r="K69" s="34"/>
      <c r="L69" s="34"/>
      <c r="M69" s="34"/>
      <c r="N69" s="35"/>
      <c r="O69" s="35"/>
      <c r="P69" s="35"/>
      <c r="Q69" s="35"/>
      <c r="R69" s="201"/>
      <c r="S69" s="189"/>
      <c r="T69" s="189"/>
      <c r="U69" s="190"/>
      <c r="V69" s="191"/>
      <c r="W69" s="191"/>
      <c r="X69" s="192"/>
    </row>
    <row r="70" s="133" customFormat="1" spans="1:24">
      <c r="A70" s="70">
        <v>45622</v>
      </c>
      <c r="B70" s="170"/>
      <c r="C70" s="170"/>
      <c r="D70" s="171"/>
      <c r="E70" s="172"/>
      <c r="F70" s="173"/>
      <c r="G70" s="174"/>
      <c r="H70" s="174"/>
      <c r="I70" s="174"/>
      <c r="J70" s="32"/>
      <c r="K70" s="32"/>
      <c r="L70" s="32"/>
      <c r="M70" s="32"/>
      <c r="N70" s="6"/>
      <c r="O70" s="6"/>
      <c r="P70" s="6"/>
      <c r="Q70" s="6"/>
      <c r="R70" s="207">
        <f ca="1" t="shared" ref="R70:R75" si="4">T70/S70</f>
        <v>0.613207547169811</v>
      </c>
      <c r="S70" s="194">
        <f ca="1">VLOOKUP(INDIRECT("A"&amp;ROW()),收益表!$A$16:$U$10014,20,0)</f>
        <v>106</v>
      </c>
      <c r="T70" s="194">
        <f ca="1">VLOOKUP(INDIRECT("A"&amp;ROW()),收益表!$A$16:$U$10014,21,0)</f>
        <v>65</v>
      </c>
      <c r="U70" s="190"/>
      <c r="V70" s="191"/>
      <c r="W70" s="191"/>
      <c r="X70" s="192"/>
    </row>
    <row r="71" s="132" customFormat="1" spans="1:24">
      <c r="A71" s="168">
        <v>45623</v>
      </c>
      <c r="B71" s="170" t="s">
        <v>150</v>
      </c>
      <c r="C71" s="170" t="s">
        <v>100</v>
      </c>
      <c r="D71" s="171">
        <v>-0.0946</v>
      </c>
      <c r="E71" s="172">
        <v>-0.0627</v>
      </c>
      <c r="F71" s="173">
        <v>-0.0097</v>
      </c>
      <c r="G71" s="174">
        <v>-0.0014</v>
      </c>
      <c r="H71" s="174">
        <v>0.0451</v>
      </c>
      <c r="I71" s="174"/>
      <c r="J71" s="100">
        <f>AVERAGE(E71,E72,E74)</f>
        <v>-0.0263666666666667</v>
      </c>
      <c r="K71" s="100">
        <f>(1+J71)*K68</f>
        <v>1.76449717007594</v>
      </c>
      <c r="L71" s="100"/>
      <c r="M71" s="100"/>
      <c r="N71" s="184"/>
      <c r="O71" s="184"/>
      <c r="P71" s="184"/>
      <c r="Q71" s="184"/>
      <c r="R71" s="199">
        <f ca="1" t="shared" si="4"/>
        <v>0.203703703703704</v>
      </c>
      <c r="S71" s="200">
        <f ca="1">VLOOKUP(INDIRECT("A"&amp;ROW()),收益表!$A$16:$U$10014,20,0)</f>
        <v>108</v>
      </c>
      <c r="T71" s="200">
        <f ca="1">VLOOKUP(INDIRECT("A"&amp;ROW()),收益表!$A$16:$U$10014,21,0)</f>
        <v>22</v>
      </c>
      <c r="U71" s="190"/>
      <c r="V71" s="191"/>
      <c r="W71" s="191"/>
      <c r="X71" s="192"/>
    </row>
    <row r="72" s="132" customFormat="1" spans="1:24">
      <c r="A72" s="168"/>
      <c r="B72" s="170" t="s">
        <v>151</v>
      </c>
      <c r="C72" s="170" t="s">
        <v>102</v>
      </c>
      <c r="D72" s="171">
        <v>-0.0477</v>
      </c>
      <c r="E72" s="172">
        <v>-0.0371</v>
      </c>
      <c r="F72" s="173">
        <v>-0.0421</v>
      </c>
      <c r="G72" s="178" t="s">
        <v>96</v>
      </c>
      <c r="H72" s="174"/>
      <c r="I72" s="174"/>
      <c r="J72" s="100"/>
      <c r="K72" s="100"/>
      <c r="L72" s="100"/>
      <c r="M72" s="100"/>
      <c r="N72" s="184"/>
      <c r="O72" s="184"/>
      <c r="P72" s="184"/>
      <c r="Q72" s="184"/>
      <c r="R72" s="206"/>
      <c r="S72" s="204"/>
      <c r="T72" s="204"/>
      <c r="U72" s="190"/>
      <c r="V72" s="191"/>
      <c r="W72" s="191"/>
      <c r="X72" s="192"/>
    </row>
    <row r="73" s="132" customFormat="1" spans="1:24">
      <c r="A73" s="168"/>
      <c r="B73" s="170" t="s">
        <v>152</v>
      </c>
      <c r="C73" s="170" t="s">
        <v>90</v>
      </c>
      <c r="D73" s="171">
        <v>-0.0886</v>
      </c>
      <c r="E73" s="172">
        <v>-0.0233</v>
      </c>
      <c r="F73" s="173"/>
      <c r="G73" s="174"/>
      <c r="H73" s="174"/>
      <c r="I73" s="174"/>
      <c r="J73" s="100"/>
      <c r="K73" s="100"/>
      <c r="L73" s="100"/>
      <c r="M73" s="100"/>
      <c r="N73" s="184"/>
      <c r="O73" s="184"/>
      <c r="P73" s="184"/>
      <c r="Q73" s="184"/>
      <c r="R73" s="206"/>
      <c r="S73" s="204"/>
      <c r="T73" s="204"/>
      <c r="U73" s="190"/>
      <c r="V73" s="191"/>
      <c r="W73" s="191"/>
      <c r="X73" s="192"/>
    </row>
    <row r="74" s="132" customFormat="1" spans="1:24">
      <c r="A74" s="168"/>
      <c r="B74" s="170" t="s">
        <v>153</v>
      </c>
      <c r="C74" s="170" t="s">
        <v>102</v>
      </c>
      <c r="D74" s="171">
        <v>-0.0958</v>
      </c>
      <c r="E74" s="172">
        <v>0.0207</v>
      </c>
      <c r="F74" s="173">
        <v>-0.0515</v>
      </c>
      <c r="G74" s="174">
        <v>0.0197</v>
      </c>
      <c r="H74" s="174">
        <v>0.031</v>
      </c>
      <c r="I74" s="174"/>
      <c r="J74" s="100"/>
      <c r="K74" s="100"/>
      <c r="L74" s="100"/>
      <c r="M74" s="100"/>
      <c r="N74" s="184"/>
      <c r="O74" s="184"/>
      <c r="P74" s="184"/>
      <c r="Q74" s="184"/>
      <c r="R74" s="201"/>
      <c r="S74" s="189"/>
      <c r="T74" s="189"/>
      <c r="U74" s="190"/>
      <c r="V74" s="191"/>
      <c r="W74" s="191"/>
      <c r="X74" s="192"/>
    </row>
    <row r="75" s="133" customFormat="1" spans="1:24">
      <c r="A75" s="168">
        <v>45624</v>
      </c>
      <c r="B75" s="170" t="s">
        <v>154</v>
      </c>
      <c r="C75" s="170" t="s">
        <v>102</v>
      </c>
      <c r="D75" s="171">
        <v>-0.0469</v>
      </c>
      <c r="E75" s="176" t="s">
        <v>96</v>
      </c>
      <c r="F75" s="173">
        <v>-0.0485</v>
      </c>
      <c r="G75" s="178" t="s">
        <v>96</v>
      </c>
      <c r="H75" s="174">
        <v>0.0249</v>
      </c>
      <c r="I75" s="174"/>
      <c r="J75" s="34">
        <v>0.1</v>
      </c>
      <c r="K75" s="34">
        <f>(1+J75)*K71</f>
        <v>1.94094688708354</v>
      </c>
      <c r="L75" s="34">
        <v>0.1</v>
      </c>
      <c r="M75" s="34">
        <f>(1+L75)*M68</f>
        <v>2.09655688252924</v>
      </c>
      <c r="N75" s="35"/>
      <c r="O75" s="35"/>
      <c r="P75" s="35"/>
      <c r="Q75" s="35"/>
      <c r="R75" s="199">
        <f ca="1" t="shared" si="4"/>
        <v>0.0619469026548673</v>
      </c>
      <c r="S75" s="200">
        <f ca="1">VLOOKUP(INDIRECT("A"&amp;ROW()),收益表!$A$16:$U$10014,20,0)</f>
        <v>113</v>
      </c>
      <c r="T75" s="200">
        <f ca="1">VLOOKUP(INDIRECT("A"&amp;ROW()),收益表!$A$16:$U$10014,21,0)</f>
        <v>7</v>
      </c>
      <c r="U75" s="190"/>
      <c r="V75" s="191"/>
      <c r="W75" s="191"/>
      <c r="X75" s="192"/>
    </row>
    <row r="76" s="133" customFormat="1" spans="1:24">
      <c r="A76" s="168"/>
      <c r="B76" s="170" t="s">
        <v>155</v>
      </c>
      <c r="C76" s="170" t="s">
        <v>90</v>
      </c>
      <c r="D76" s="171">
        <v>0.0785</v>
      </c>
      <c r="E76" s="172">
        <v>-0.0229</v>
      </c>
      <c r="F76" s="173"/>
      <c r="G76" s="174"/>
      <c r="H76" s="174"/>
      <c r="I76" s="174"/>
      <c r="J76" s="34"/>
      <c r="K76" s="34"/>
      <c r="L76" s="34"/>
      <c r="M76" s="34"/>
      <c r="N76" s="35"/>
      <c r="O76" s="35"/>
      <c r="P76" s="35"/>
      <c r="Q76" s="35"/>
      <c r="R76" s="206"/>
      <c r="S76" s="204"/>
      <c r="T76" s="204"/>
      <c r="U76" s="190"/>
      <c r="V76" s="191"/>
      <c r="W76" s="191"/>
      <c r="X76" s="192"/>
    </row>
    <row r="77" s="133" customFormat="1" spans="1:24">
      <c r="A77" s="168"/>
      <c r="B77" s="170" t="s">
        <v>156</v>
      </c>
      <c r="C77" s="170" t="s">
        <v>90</v>
      </c>
      <c r="D77" s="171">
        <v>0.0786</v>
      </c>
      <c r="E77" s="172">
        <v>0.0812</v>
      </c>
      <c r="F77" s="173"/>
      <c r="G77" s="174"/>
      <c r="H77" s="174"/>
      <c r="I77" s="174"/>
      <c r="J77" s="34"/>
      <c r="K77" s="34"/>
      <c r="L77" s="34"/>
      <c r="M77" s="34"/>
      <c r="N77" s="35"/>
      <c r="O77" s="35"/>
      <c r="P77" s="35"/>
      <c r="Q77" s="35"/>
      <c r="R77" s="206"/>
      <c r="S77" s="204"/>
      <c r="T77" s="204"/>
      <c r="U77" s="190"/>
      <c r="V77" s="191"/>
      <c r="W77" s="191"/>
      <c r="X77" s="192"/>
    </row>
    <row r="78" s="133" customFormat="1" spans="1:24">
      <c r="A78" s="168"/>
      <c r="B78" s="170" t="s">
        <v>157</v>
      </c>
      <c r="C78" s="170" t="s">
        <v>90</v>
      </c>
      <c r="D78" s="171">
        <f>-6.14%</f>
        <v>-0.0614</v>
      </c>
      <c r="E78" s="172">
        <v>-0.0543</v>
      </c>
      <c r="F78" s="173"/>
      <c r="G78" s="174"/>
      <c r="H78" s="174"/>
      <c r="I78" s="174"/>
      <c r="J78" s="34"/>
      <c r="K78" s="34"/>
      <c r="L78" s="34"/>
      <c r="M78" s="34"/>
      <c r="N78" s="35"/>
      <c r="O78" s="35"/>
      <c r="P78" s="35"/>
      <c r="Q78" s="35"/>
      <c r="R78" s="201"/>
      <c r="S78" s="189"/>
      <c r="T78" s="189"/>
      <c r="U78" s="190"/>
      <c r="V78" s="191"/>
      <c r="W78" s="191"/>
      <c r="X78" s="192"/>
    </row>
    <row r="79" s="133" customFormat="1" spans="1:24">
      <c r="A79" s="168">
        <v>45625</v>
      </c>
      <c r="B79" s="170" t="s">
        <v>158</v>
      </c>
      <c r="C79" s="170" t="s">
        <v>159</v>
      </c>
      <c r="D79" s="171">
        <v>-0.0487</v>
      </c>
      <c r="E79" s="172">
        <v>0.0402</v>
      </c>
      <c r="F79" s="173"/>
      <c r="G79" s="174"/>
      <c r="H79" s="174"/>
      <c r="I79" s="174"/>
      <c r="J79" s="32"/>
      <c r="K79" s="32"/>
      <c r="L79" s="32"/>
      <c r="M79" s="32"/>
      <c r="N79" s="6"/>
      <c r="O79" s="6"/>
      <c r="P79" s="6"/>
      <c r="Q79" s="6"/>
      <c r="R79" s="195">
        <f ca="1" t="shared" ref="R79:R82" si="5">T79/S79</f>
        <v>0.0763888888888889</v>
      </c>
      <c r="S79" s="194">
        <f ca="1">VLOOKUP(INDIRECT("A"&amp;ROW()),收益表!$A$16:$U$10014,20,0)</f>
        <v>144</v>
      </c>
      <c r="T79" s="194">
        <f ca="1">VLOOKUP(INDIRECT("A"&amp;ROW()),收益表!$A$16:$U$10014,21,0)</f>
        <v>11</v>
      </c>
      <c r="U79" s="190"/>
      <c r="V79" s="191"/>
      <c r="W79" s="191"/>
      <c r="X79" s="192"/>
    </row>
    <row r="80" s="133" customFormat="1" spans="1:24">
      <c r="A80" s="168">
        <v>45628</v>
      </c>
      <c r="B80" s="170" t="s">
        <v>160</v>
      </c>
      <c r="C80" s="170" t="s">
        <v>102</v>
      </c>
      <c r="D80" s="171">
        <v>-0.0471</v>
      </c>
      <c r="E80" s="176" t="s">
        <v>96</v>
      </c>
      <c r="F80" s="173" t="s">
        <v>161</v>
      </c>
      <c r="G80" s="174">
        <v>0.0244</v>
      </c>
      <c r="H80" s="174">
        <v>-0.0401</v>
      </c>
      <c r="I80" s="174"/>
      <c r="J80" s="34">
        <v>0.1</v>
      </c>
      <c r="K80" s="34">
        <f>(1+J80)*K75</f>
        <v>2.13504157579189</v>
      </c>
      <c r="L80" s="34">
        <v>0.1</v>
      </c>
      <c r="M80" s="34">
        <f>(1+L80)*M75</f>
        <v>2.30621257078217</v>
      </c>
      <c r="N80" s="35"/>
      <c r="O80" s="35"/>
      <c r="P80" s="35"/>
      <c r="Q80" s="35"/>
      <c r="R80" s="195">
        <f ca="1" t="shared" si="5"/>
        <v>0.0324324324324324</v>
      </c>
      <c r="S80" s="194">
        <f ca="1">VLOOKUP(INDIRECT("A"&amp;ROW()),收益表!$A$16:$U$10014,20,0)</f>
        <v>185</v>
      </c>
      <c r="T80" s="194">
        <f ca="1">VLOOKUP(INDIRECT("A"&amp;ROW()),收益表!$A$16:$U$10014,21,0)</f>
        <v>6</v>
      </c>
      <c r="U80" s="190"/>
      <c r="V80" s="191"/>
      <c r="W80" s="191"/>
      <c r="X80" s="192"/>
    </row>
    <row r="81" s="133" customFormat="1" spans="1:24">
      <c r="A81" s="70">
        <v>45629</v>
      </c>
      <c r="B81" s="170"/>
      <c r="C81" s="170"/>
      <c r="D81" s="171"/>
      <c r="E81" s="172"/>
      <c r="F81" s="173"/>
      <c r="G81" s="174"/>
      <c r="H81" s="174"/>
      <c r="I81" s="174"/>
      <c r="J81" s="32"/>
      <c r="K81" s="32"/>
      <c r="L81" s="32"/>
      <c r="M81" s="32"/>
      <c r="N81" s="6"/>
      <c r="O81" s="6"/>
      <c r="P81" s="6"/>
      <c r="Q81" s="6"/>
      <c r="R81" s="195">
        <f ca="1" t="shared" si="5"/>
        <v>0.0447761194029851</v>
      </c>
      <c r="S81" s="194">
        <f ca="1">VLOOKUP(INDIRECT("A"&amp;ROW()),收益表!$A$16:$U$10014,20,0)</f>
        <v>134</v>
      </c>
      <c r="T81" s="194">
        <f ca="1">VLOOKUP(INDIRECT("A"&amp;ROW()),收益表!$A$16:$U$10014,21,0)</f>
        <v>6</v>
      </c>
      <c r="U81" s="190"/>
      <c r="V81" s="191"/>
      <c r="W81" s="191"/>
      <c r="X81" s="192"/>
    </row>
    <row r="82" s="133" customFormat="1" spans="1:24">
      <c r="A82" s="168">
        <v>45630</v>
      </c>
      <c r="B82" s="170" t="s">
        <v>162</v>
      </c>
      <c r="C82" s="170" t="s">
        <v>92</v>
      </c>
      <c r="D82" s="171">
        <v>0.0704</v>
      </c>
      <c r="E82" s="176" t="s">
        <v>96</v>
      </c>
      <c r="F82" s="173"/>
      <c r="G82" s="174"/>
      <c r="H82" s="174"/>
      <c r="I82" s="174"/>
      <c r="J82" s="34">
        <v>0.1</v>
      </c>
      <c r="K82" s="34">
        <f>(1+J82)*K80</f>
        <v>2.34854573337108</v>
      </c>
      <c r="L82" s="34">
        <v>0.1</v>
      </c>
      <c r="M82" s="34">
        <f>(1+L82)*M80</f>
        <v>2.53683382786038</v>
      </c>
      <c r="N82" s="35"/>
      <c r="O82" s="35"/>
      <c r="P82" s="35"/>
      <c r="Q82" s="35"/>
      <c r="R82" s="202">
        <f ca="1" t="shared" si="5"/>
        <v>0.195876288659794</v>
      </c>
      <c r="S82" s="200">
        <f ca="1">VLOOKUP(INDIRECT("A"&amp;ROW()),收益表!$A$16:$U$10014,20,0)</f>
        <v>97</v>
      </c>
      <c r="T82" s="200">
        <f ca="1">VLOOKUP(INDIRECT("A"&amp;ROW()),收益表!$A$16:$U$10014,21,0)</f>
        <v>19</v>
      </c>
      <c r="U82" s="190"/>
      <c r="V82" s="191"/>
      <c r="W82" s="191"/>
      <c r="X82" s="192"/>
    </row>
    <row r="83" s="133" customFormat="1" spans="1:24">
      <c r="A83" s="168"/>
      <c r="B83" s="170" t="s">
        <v>127</v>
      </c>
      <c r="C83" s="170" t="s">
        <v>74</v>
      </c>
      <c r="D83" s="171">
        <v>0.0557</v>
      </c>
      <c r="E83" s="172">
        <v>-0.05</v>
      </c>
      <c r="F83" s="173"/>
      <c r="G83" s="174"/>
      <c r="H83" s="174"/>
      <c r="I83" s="174"/>
      <c r="J83" s="34"/>
      <c r="K83" s="34"/>
      <c r="L83" s="34"/>
      <c r="M83" s="34"/>
      <c r="N83" s="35"/>
      <c r="O83" s="35"/>
      <c r="P83" s="35"/>
      <c r="Q83" s="35"/>
      <c r="R83" s="203"/>
      <c r="S83" s="204"/>
      <c r="T83" s="204"/>
      <c r="U83" s="190"/>
      <c r="V83" s="191"/>
      <c r="W83" s="191"/>
      <c r="X83" s="192"/>
    </row>
    <row r="84" s="133" customFormat="1" spans="1:24">
      <c r="A84" s="168"/>
      <c r="B84" s="170" t="s">
        <v>163</v>
      </c>
      <c r="C84" s="170" t="s">
        <v>102</v>
      </c>
      <c r="D84" s="171">
        <v>0.0609</v>
      </c>
      <c r="E84" s="176" t="s">
        <v>96</v>
      </c>
      <c r="F84" s="177" t="s">
        <v>96</v>
      </c>
      <c r="G84" s="174">
        <v>-0.0797</v>
      </c>
      <c r="H84" s="174" t="s">
        <v>93</v>
      </c>
      <c r="I84" s="174"/>
      <c r="J84" s="34"/>
      <c r="K84" s="34"/>
      <c r="L84" s="34"/>
      <c r="M84" s="34"/>
      <c r="N84" s="35"/>
      <c r="O84" s="35"/>
      <c r="P84" s="35"/>
      <c r="Q84" s="35"/>
      <c r="R84" s="203"/>
      <c r="S84" s="204"/>
      <c r="T84" s="204"/>
      <c r="U84" s="190"/>
      <c r="V84" s="191"/>
      <c r="W84" s="191"/>
      <c r="X84" s="192"/>
    </row>
    <row r="85" s="133" customFormat="1" spans="1:24">
      <c r="A85" s="168"/>
      <c r="B85" s="170" t="s">
        <v>164</v>
      </c>
      <c r="C85" s="170" t="s">
        <v>90</v>
      </c>
      <c r="D85" s="171">
        <v>-0.024</v>
      </c>
      <c r="E85" s="172">
        <v>-0.0924</v>
      </c>
      <c r="F85" s="173"/>
      <c r="G85" s="174"/>
      <c r="H85" s="174"/>
      <c r="I85" s="174"/>
      <c r="J85" s="34"/>
      <c r="K85" s="34"/>
      <c r="L85" s="34"/>
      <c r="M85" s="34"/>
      <c r="N85" s="35"/>
      <c r="O85" s="35"/>
      <c r="P85" s="35"/>
      <c r="Q85" s="35"/>
      <c r="R85" s="205"/>
      <c r="S85" s="189"/>
      <c r="T85" s="189"/>
      <c r="U85" s="190"/>
      <c r="V85" s="191"/>
      <c r="W85" s="191"/>
      <c r="X85" s="192"/>
    </row>
    <row r="86" s="133" customFormat="1" spans="1:24">
      <c r="A86" s="168">
        <v>45631</v>
      </c>
      <c r="B86" s="170" t="s">
        <v>165</v>
      </c>
      <c r="C86" s="170" t="s">
        <v>102</v>
      </c>
      <c r="D86" s="171">
        <v>-0.0517</v>
      </c>
      <c r="E86" s="172">
        <v>0.0316</v>
      </c>
      <c r="F86" s="177" t="s">
        <v>96</v>
      </c>
      <c r="G86" s="174"/>
      <c r="H86" s="174"/>
      <c r="I86" s="174"/>
      <c r="J86" s="34">
        <f>AVERAGE(E86:E87)</f>
        <v>0.0188</v>
      </c>
      <c r="K86" s="34">
        <f>(1+J86)*K82</f>
        <v>2.39269839315846</v>
      </c>
      <c r="L86" s="34"/>
      <c r="M86" s="34"/>
      <c r="N86" s="35"/>
      <c r="O86" s="35"/>
      <c r="P86" s="35"/>
      <c r="Q86" s="35"/>
      <c r="R86" s="199">
        <f ca="1">T86/S86</f>
        <v>0.0774647887323944</v>
      </c>
      <c r="S86" s="200">
        <f ca="1">VLOOKUP(INDIRECT("A"&amp;ROW()),收益表!$A$16:$U$10014,20,0)</f>
        <v>142</v>
      </c>
      <c r="T86" s="200">
        <f ca="1">VLOOKUP(INDIRECT("A"&amp;ROW()),收益表!$A$16:$U$10014,21,0)</f>
        <v>11</v>
      </c>
      <c r="U86" s="190"/>
      <c r="V86" s="191"/>
      <c r="W86" s="191"/>
      <c r="X86" s="192"/>
    </row>
    <row r="87" s="133" customFormat="1" spans="1:24">
      <c r="A87" s="168"/>
      <c r="B87" s="170" t="s">
        <v>166</v>
      </c>
      <c r="C87" s="170" t="s">
        <v>102</v>
      </c>
      <c r="D87" s="171">
        <v>-0.0538</v>
      </c>
      <c r="E87" s="172">
        <v>0.006</v>
      </c>
      <c r="F87" s="173"/>
      <c r="G87" s="174"/>
      <c r="H87" s="174"/>
      <c r="I87" s="174"/>
      <c r="J87" s="34"/>
      <c r="K87" s="34"/>
      <c r="L87" s="34"/>
      <c r="M87" s="34"/>
      <c r="N87" s="35"/>
      <c r="O87" s="35"/>
      <c r="P87" s="35"/>
      <c r="Q87" s="35"/>
      <c r="R87" s="206"/>
      <c r="S87" s="204"/>
      <c r="T87" s="204"/>
      <c r="U87" s="190"/>
      <c r="V87" s="191"/>
      <c r="W87" s="191"/>
      <c r="X87" s="192"/>
    </row>
    <row r="88" s="133" customFormat="1" spans="1:24">
      <c r="A88" s="168"/>
      <c r="B88" s="170" t="s">
        <v>167</v>
      </c>
      <c r="C88" s="170" t="s">
        <v>74</v>
      </c>
      <c r="D88" s="171">
        <v>-0.0528</v>
      </c>
      <c r="E88" s="176" t="s">
        <v>96</v>
      </c>
      <c r="F88" s="173"/>
      <c r="G88" s="174"/>
      <c r="H88" s="174"/>
      <c r="I88" s="174"/>
      <c r="J88" s="34"/>
      <c r="K88" s="34"/>
      <c r="L88" s="34"/>
      <c r="M88" s="34"/>
      <c r="N88" s="35"/>
      <c r="O88" s="35"/>
      <c r="P88" s="35"/>
      <c r="Q88" s="35"/>
      <c r="R88" s="206"/>
      <c r="S88" s="204"/>
      <c r="T88" s="204"/>
      <c r="U88" s="190"/>
      <c r="V88" s="191"/>
      <c r="W88" s="191"/>
      <c r="X88" s="192"/>
    </row>
    <row r="89" s="133" customFormat="1" spans="1:24">
      <c r="A89" s="168"/>
      <c r="B89" s="170" t="s">
        <v>168</v>
      </c>
      <c r="C89" s="170" t="s">
        <v>90</v>
      </c>
      <c r="D89" s="171">
        <v>-0.0604</v>
      </c>
      <c r="E89" s="176" t="s">
        <v>96</v>
      </c>
      <c r="F89" s="173"/>
      <c r="G89" s="174"/>
      <c r="H89" s="174"/>
      <c r="I89" s="174"/>
      <c r="J89" s="34"/>
      <c r="K89" s="34"/>
      <c r="L89" s="34"/>
      <c r="M89" s="34"/>
      <c r="N89" s="35"/>
      <c r="O89" s="35"/>
      <c r="P89" s="35"/>
      <c r="Q89" s="35"/>
      <c r="R89" s="201"/>
      <c r="S89" s="189"/>
      <c r="T89" s="189"/>
      <c r="U89" s="190"/>
      <c r="V89" s="191"/>
      <c r="W89" s="191"/>
      <c r="X89" s="192"/>
    </row>
    <row r="90" s="133" customFormat="1" spans="1:24">
      <c r="A90" s="168">
        <v>45632</v>
      </c>
      <c r="B90" s="170" t="s">
        <v>169</v>
      </c>
      <c r="C90" s="170" t="s">
        <v>102</v>
      </c>
      <c r="D90" s="171">
        <v>-0.0629</v>
      </c>
      <c r="E90" s="176" t="s">
        <v>96</v>
      </c>
      <c r="F90" s="173" t="s">
        <v>93</v>
      </c>
      <c r="G90" s="174">
        <v>-0.0573</v>
      </c>
      <c r="H90" s="174">
        <v>0.016</v>
      </c>
      <c r="I90" s="174"/>
      <c r="J90" s="34">
        <v>0.0121</v>
      </c>
      <c r="K90" s="34">
        <f>(1+J90)*K86</f>
        <v>2.42165004371568</v>
      </c>
      <c r="L90" s="34">
        <v>0.0121</v>
      </c>
      <c r="M90" s="34">
        <f>(1+L90)*M82</f>
        <v>2.56752951717749</v>
      </c>
      <c r="N90" s="35"/>
      <c r="O90" s="35"/>
      <c r="P90" s="35"/>
      <c r="Q90" s="35"/>
      <c r="R90" s="199">
        <f ca="1">T90/S90</f>
        <v>0.0447761194029851</v>
      </c>
      <c r="S90" s="200">
        <f ca="1">VLOOKUP(INDIRECT("A"&amp;ROW()),收益表!$A$16:$U$10014,20,0)</f>
        <v>134</v>
      </c>
      <c r="T90" s="200">
        <f ca="1">VLOOKUP(INDIRECT("A"&amp;ROW()),收益表!$A$16:$U$10014,21,0)</f>
        <v>6</v>
      </c>
      <c r="U90" s="190"/>
      <c r="V90" s="191"/>
      <c r="W90" s="191"/>
      <c r="X90" s="192"/>
    </row>
    <row r="91" s="133" customFormat="1" spans="1:24">
      <c r="A91" s="168"/>
      <c r="B91" s="170" t="s">
        <v>170</v>
      </c>
      <c r="C91" s="170" t="s">
        <v>102</v>
      </c>
      <c r="D91" s="171">
        <v>-0.0246</v>
      </c>
      <c r="E91" s="172">
        <v>-0.0757</v>
      </c>
      <c r="F91" s="173">
        <v>-0.0176</v>
      </c>
      <c r="G91" s="174">
        <v>0.0129</v>
      </c>
      <c r="H91" s="174">
        <v>0.0157</v>
      </c>
      <c r="I91" s="174"/>
      <c r="J91" s="34"/>
      <c r="K91" s="34"/>
      <c r="L91" s="34"/>
      <c r="M91" s="34"/>
      <c r="N91" s="35"/>
      <c r="O91" s="35"/>
      <c r="P91" s="35"/>
      <c r="Q91" s="35"/>
      <c r="R91" s="201"/>
      <c r="S91" s="189"/>
      <c r="T91" s="189"/>
      <c r="U91" s="190"/>
      <c r="V91" s="191"/>
      <c r="W91" s="191"/>
      <c r="X91" s="192"/>
    </row>
    <row r="92" s="133" customFormat="1" spans="1:24">
      <c r="A92" s="168">
        <v>45635</v>
      </c>
      <c r="B92" s="170" t="s">
        <v>171</v>
      </c>
      <c r="C92" s="170" t="s">
        <v>74</v>
      </c>
      <c r="D92" s="171">
        <v>0.0247</v>
      </c>
      <c r="E92" s="176" t="s">
        <v>96</v>
      </c>
      <c r="F92" s="173"/>
      <c r="G92" s="174"/>
      <c r="H92" s="174"/>
      <c r="I92" s="174"/>
      <c r="J92" s="34">
        <v>0.1</v>
      </c>
      <c r="K92" s="34">
        <f>(1+J92)*K90</f>
        <v>2.66381504808724</v>
      </c>
      <c r="L92" s="34">
        <v>0.1</v>
      </c>
      <c r="M92" s="34">
        <f>(1+L92)*M90</f>
        <v>2.82428246889524</v>
      </c>
      <c r="N92" s="35"/>
      <c r="O92" s="35"/>
      <c r="P92" s="35"/>
      <c r="Q92" s="35"/>
      <c r="R92" s="202">
        <f ca="1">T92/S92</f>
        <v>0.228813559322034</v>
      </c>
      <c r="S92" s="200">
        <f ca="1">VLOOKUP(INDIRECT("A"&amp;ROW()),收益表!$A$16:$U$10014,20,0)</f>
        <v>118</v>
      </c>
      <c r="T92" s="200">
        <f ca="1">VLOOKUP(INDIRECT("A"&amp;ROW()),收益表!$A$16:$U$10014,21,0)</f>
        <v>27</v>
      </c>
      <c r="U92" s="190"/>
      <c r="V92" s="191"/>
      <c r="W92" s="191"/>
      <c r="X92" s="192"/>
    </row>
    <row r="93" s="133" customFormat="1" spans="1:24">
      <c r="A93" s="168"/>
      <c r="B93" s="170" t="s">
        <v>172</v>
      </c>
      <c r="C93" s="170" t="s">
        <v>100</v>
      </c>
      <c r="D93" s="171">
        <v>-0.0566</v>
      </c>
      <c r="E93" s="176" t="s">
        <v>96</v>
      </c>
      <c r="F93" s="177" t="s">
        <v>96</v>
      </c>
      <c r="G93" s="178" t="s">
        <v>96</v>
      </c>
      <c r="H93" s="174" t="s">
        <v>93</v>
      </c>
      <c r="I93" s="174"/>
      <c r="J93" s="34"/>
      <c r="K93" s="34"/>
      <c r="L93" s="34"/>
      <c r="M93" s="34"/>
      <c r="N93" s="35"/>
      <c r="O93" s="35"/>
      <c r="P93" s="35"/>
      <c r="Q93" s="35"/>
      <c r="R93" s="203"/>
      <c r="S93" s="204"/>
      <c r="T93" s="204"/>
      <c r="U93" s="190"/>
      <c r="V93" s="191"/>
      <c r="W93" s="191"/>
      <c r="X93" s="192"/>
    </row>
    <row r="94" s="133" customFormat="1" spans="1:24">
      <c r="A94" s="168"/>
      <c r="B94" s="170" t="s">
        <v>173</v>
      </c>
      <c r="C94" s="170" t="s">
        <v>92</v>
      </c>
      <c r="D94" s="171">
        <v>-0.0721</v>
      </c>
      <c r="E94" s="172">
        <v>-0.046</v>
      </c>
      <c r="F94" s="173"/>
      <c r="G94" s="174"/>
      <c r="H94" s="174"/>
      <c r="I94" s="174"/>
      <c r="J94" s="34"/>
      <c r="K94" s="34"/>
      <c r="L94" s="34"/>
      <c r="M94" s="34"/>
      <c r="N94" s="35"/>
      <c r="O94" s="35"/>
      <c r="P94" s="35"/>
      <c r="Q94" s="35"/>
      <c r="R94" s="205"/>
      <c r="S94" s="189"/>
      <c r="T94" s="189"/>
      <c r="U94" s="190"/>
      <c r="V94" s="191"/>
      <c r="W94" s="191"/>
      <c r="X94" s="192"/>
    </row>
    <row r="95" s="133" customFormat="1" spans="1:24">
      <c r="A95" s="168">
        <v>45636</v>
      </c>
      <c r="B95" s="170" t="s">
        <v>174</v>
      </c>
      <c r="C95" s="170" t="s">
        <v>100</v>
      </c>
      <c r="D95" s="171">
        <v>-0.048</v>
      </c>
      <c r="E95" s="172">
        <v>-0.0229</v>
      </c>
      <c r="F95" s="177" t="s">
        <v>96</v>
      </c>
      <c r="G95" s="174"/>
      <c r="H95" s="174"/>
      <c r="I95" s="174"/>
      <c r="J95" s="34">
        <v>0.0283</v>
      </c>
      <c r="K95" s="34">
        <f>(1+J95)*K92</f>
        <v>2.73920101394811</v>
      </c>
      <c r="L95" s="34"/>
      <c r="M95" s="34"/>
      <c r="N95" s="35"/>
      <c r="O95" s="35"/>
      <c r="P95" s="35"/>
      <c r="Q95" s="35"/>
      <c r="R95" s="199">
        <f ca="1">T95/S95</f>
        <v>0.0504201680672269</v>
      </c>
      <c r="S95" s="200">
        <f ca="1">VLOOKUP(INDIRECT("A"&amp;ROW()),收益表!$A$16:$U$10014,20,0)</f>
        <v>119</v>
      </c>
      <c r="T95" s="200">
        <f ca="1">VLOOKUP(INDIRECT("A"&amp;ROW()),收益表!$A$16:$U$10014,21,0)</f>
        <v>6</v>
      </c>
      <c r="U95" s="190"/>
      <c r="V95" s="191"/>
      <c r="W95" s="191"/>
      <c r="X95" s="192"/>
    </row>
    <row r="96" s="133" customFormat="1" spans="1:24">
      <c r="A96" s="168"/>
      <c r="B96" s="170" t="s">
        <v>175</v>
      </c>
      <c r="C96" s="170" t="s">
        <v>74</v>
      </c>
      <c r="D96" s="171">
        <v>0.0123</v>
      </c>
      <c r="E96" s="172">
        <v>-0.0389</v>
      </c>
      <c r="F96" s="173"/>
      <c r="G96" s="174"/>
      <c r="H96" s="174"/>
      <c r="I96" s="174"/>
      <c r="J96" s="34"/>
      <c r="K96" s="34"/>
      <c r="L96" s="34"/>
      <c r="M96" s="34"/>
      <c r="N96" s="35"/>
      <c r="O96" s="35"/>
      <c r="P96" s="35"/>
      <c r="Q96" s="35"/>
      <c r="R96" s="206"/>
      <c r="S96" s="204"/>
      <c r="T96" s="204"/>
      <c r="U96" s="190"/>
      <c r="V96" s="191"/>
      <c r="W96" s="191"/>
      <c r="X96" s="192"/>
    </row>
    <row r="97" s="133" customFormat="1" spans="1:24">
      <c r="A97" s="168"/>
      <c r="B97" s="170" t="s">
        <v>176</v>
      </c>
      <c r="C97" s="170" t="s">
        <v>102</v>
      </c>
      <c r="D97" s="171">
        <v>-0.0533</v>
      </c>
      <c r="E97" s="176" t="s">
        <v>96</v>
      </c>
      <c r="F97" s="177" t="s">
        <v>96</v>
      </c>
      <c r="G97" s="178" t="s">
        <v>96</v>
      </c>
      <c r="H97" s="174">
        <v>0</v>
      </c>
      <c r="I97" s="174"/>
      <c r="J97" s="34"/>
      <c r="K97" s="34"/>
      <c r="L97" s="34"/>
      <c r="M97" s="34"/>
      <c r="N97" s="35"/>
      <c r="O97" s="35"/>
      <c r="P97" s="35"/>
      <c r="Q97" s="35"/>
      <c r="R97" s="206"/>
      <c r="S97" s="204"/>
      <c r="T97" s="204"/>
      <c r="U97" s="190"/>
      <c r="V97" s="191"/>
      <c r="W97" s="191"/>
      <c r="X97" s="192"/>
    </row>
    <row r="98" s="133" customFormat="1" spans="1:24">
      <c r="A98" s="168"/>
      <c r="B98" s="170" t="s">
        <v>167</v>
      </c>
      <c r="C98" s="170" t="s">
        <v>100</v>
      </c>
      <c r="D98" s="171">
        <v>0.0099</v>
      </c>
      <c r="E98" s="172">
        <v>-0.0408</v>
      </c>
      <c r="F98" s="173">
        <v>-0.0255</v>
      </c>
      <c r="G98" s="174">
        <v>0.0297</v>
      </c>
      <c r="H98" s="174" t="s">
        <v>105</v>
      </c>
      <c r="I98" s="174"/>
      <c r="J98" s="34"/>
      <c r="K98" s="34"/>
      <c r="L98" s="34"/>
      <c r="M98" s="34"/>
      <c r="N98" s="35"/>
      <c r="O98" s="35"/>
      <c r="P98" s="35"/>
      <c r="Q98" s="35"/>
      <c r="R98" s="206"/>
      <c r="S98" s="204"/>
      <c r="T98" s="204"/>
      <c r="U98" s="190"/>
      <c r="V98" s="191"/>
      <c r="W98" s="191"/>
      <c r="X98" s="192"/>
    </row>
    <row r="99" s="133" customFormat="1" spans="1:24">
      <c r="A99" s="168"/>
      <c r="B99" s="170" t="s">
        <v>177</v>
      </c>
      <c r="C99" s="170" t="s">
        <v>102</v>
      </c>
      <c r="D99" s="171">
        <v>-0.0629</v>
      </c>
      <c r="E99" s="172">
        <v>0.0346</v>
      </c>
      <c r="F99" s="173">
        <v>-0.0334</v>
      </c>
      <c r="G99" s="174">
        <v>0.044</v>
      </c>
      <c r="H99" s="174">
        <v>-0.0321</v>
      </c>
      <c r="I99" s="174"/>
      <c r="J99" s="34"/>
      <c r="K99" s="34"/>
      <c r="L99" s="34"/>
      <c r="M99" s="34"/>
      <c r="N99" s="35"/>
      <c r="O99" s="35"/>
      <c r="P99" s="35"/>
      <c r="Q99" s="35"/>
      <c r="R99" s="206"/>
      <c r="S99" s="204"/>
      <c r="T99" s="204"/>
      <c r="U99" s="190"/>
      <c r="V99" s="191"/>
      <c r="W99" s="191"/>
      <c r="X99" s="192"/>
    </row>
    <row r="100" s="133" customFormat="1" spans="1:24">
      <c r="A100" s="168"/>
      <c r="B100" s="170" t="s">
        <v>178</v>
      </c>
      <c r="C100" s="170" t="s">
        <v>102</v>
      </c>
      <c r="D100" s="171">
        <v>0.0138</v>
      </c>
      <c r="E100" s="172" t="s">
        <v>179</v>
      </c>
      <c r="F100" s="173"/>
      <c r="G100" s="174"/>
      <c r="H100" s="174"/>
      <c r="I100" s="174"/>
      <c r="J100" s="34"/>
      <c r="K100" s="34"/>
      <c r="L100" s="34"/>
      <c r="M100" s="34"/>
      <c r="N100" s="35"/>
      <c r="O100" s="35"/>
      <c r="P100" s="35"/>
      <c r="Q100" s="35"/>
      <c r="R100" s="201"/>
      <c r="S100" s="189"/>
      <c r="T100" s="189"/>
      <c r="U100" s="190"/>
      <c r="V100" s="191"/>
      <c r="W100" s="191"/>
      <c r="X100" s="192"/>
    </row>
    <row r="101" s="133" customFormat="1" spans="1:24">
      <c r="A101" s="168">
        <v>45637</v>
      </c>
      <c r="B101" s="170" t="s">
        <v>180</v>
      </c>
      <c r="C101" s="170" t="s">
        <v>95</v>
      </c>
      <c r="D101" s="171">
        <v>-0.026</v>
      </c>
      <c r="E101" s="172">
        <v>0.032</v>
      </c>
      <c r="F101" s="173" t="s">
        <v>105</v>
      </c>
      <c r="G101" s="174"/>
      <c r="H101" s="174"/>
      <c r="I101" s="174"/>
      <c r="J101" s="34">
        <v>0.032</v>
      </c>
      <c r="K101" s="34">
        <f>(1+J101)*K95</f>
        <v>2.82685544639445</v>
      </c>
      <c r="L101" s="34">
        <v>0.032</v>
      </c>
      <c r="M101" s="34">
        <f>(1+L101)*M92</f>
        <v>2.91465950789989</v>
      </c>
      <c r="N101" s="35"/>
      <c r="O101" s="35"/>
      <c r="P101" s="35"/>
      <c r="Q101" s="35"/>
      <c r="R101" s="195">
        <f ca="1" t="shared" ref="R101:R105" si="6">T101/S101</f>
        <v>0.0705128205128205</v>
      </c>
      <c r="S101" s="194">
        <f ca="1">VLOOKUP(INDIRECT("A"&amp;ROW()),收益表!$A$16:$U$10014,20,0)</f>
        <v>156</v>
      </c>
      <c r="T101" s="194">
        <f ca="1">VLOOKUP(INDIRECT("A"&amp;ROW()),收益表!$A$16:$U$10014,21,0)</f>
        <v>11</v>
      </c>
      <c r="U101" s="190"/>
      <c r="V101" s="191"/>
      <c r="W101" s="191"/>
      <c r="X101" s="192"/>
    </row>
    <row r="102" s="133" customFormat="1" spans="1:24">
      <c r="A102" s="168">
        <v>45638</v>
      </c>
      <c r="B102" s="170" t="s">
        <v>181</v>
      </c>
      <c r="C102" s="170" t="s">
        <v>102</v>
      </c>
      <c r="D102" s="171">
        <v>0.0415</v>
      </c>
      <c r="E102" s="172" t="s">
        <v>182</v>
      </c>
      <c r="F102" s="173"/>
      <c r="G102" s="174"/>
      <c r="H102" s="174"/>
      <c r="I102" s="174"/>
      <c r="J102" s="34">
        <v>0.0517</v>
      </c>
      <c r="K102" s="34">
        <f>(1+J102)*K101</f>
        <v>2.97300387297305</v>
      </c>
      <c r="L102" s="34">
        <v>0.0517</v>
      </c>
      <c r="M102" s="34">
        <f>(1+L102)*M101</f>
        <v>3.06534740445832</v>
      </c>
      <c r="N102" s="35"/>
      <c r="O102" s="35"/>
      <c r="P102" s="35"/>
      <c r="Q102" s="35"/>
      <c r="R102" s="199">
        <f ca="1" t="shared" si="6"/>
        <v>0.0451612903225806</v>
      </c>
      <c r="S102" s="200">
        <f ca="1">VLOOKUP(INDIRECT("A"&amp;ROW()),收益表!$A$16:$U$10014,20,0)</f>
        <v>155</v>
      </c>
      <c r="T102" s="200">
        <f ca="1">VLOOKUP(INDIRECT("A"&amp;ROW()),收益表!$A$16:$U$10014,21,0)</f>
        <v>7</v>
      </c>
      <c r="U102" s="190"/>
      <c r="V102" s="191"/>
      <c r="W102" s="191"/>
      <c r="X102" s="192"/>
    </row>
    <row r="103" s="133" customFormat="1" spans="1:24">
      <c r="A103" s="168"/>
      <c r="B103" s="170" t="s">
        <v>144</v>
      </c>
      <c r="C103" s="170" t="s">
        <v>92</v>
      </c>
      <c r="D103" s="171">
        <v>0.0573</v>
      </c>
      <c r="E103" s="172">
        <v>-0.0217</v>
      </c>
      <c r="F103" s="173"/>
      <c r="G103" s="174"/>
      <c r="H103" s="174"/>
      <c r="I103" s="174"/>
      <c r="J103" s="34"/>
      <c r="K103" s="34"/>
      <c r="L103" s="34"/>
      <c r="M103" s="34"/>
      <c r="N103" s="35"/>
      <c r="O103" s="35"/>
      <c r="P103" s="35"/>
      <c r="Q103" s="35"/>
      <c r="R103" s="201"/>
      <c r="S103" s="189"/>
      <c r="T103" s="189"/>
      <c r="U103" s="190"/>
      <c r="V103" s="191"/>
      <c r="W103" s="191"/>
      <c r="X103" s="192"/>
    </row>
    <row r="104" spans="1:24">
      <c r="A104" s="70">
        <v>45639</v>
      </c>
      <c r="B104" s="170"/>
      <c r="C104" s="170"/>
      <c r="D104" s="171"/>
      <c r="E104" s="172"/>
      <c r="F104" s="173"/>
      <c r="G104" s="174"/>
      <c r="H104" s="174"/>
      <c r="I104" s="174"/>
      <c r="J104" s="32"/>
      <c r="K104" s="32"/>
      <c r="L104" s="32"/>
      <c r="M104" s="32"/>
      <c r="N104" s="6"/>
      <c r="O104" s="6"/>
      <c r="P104" s="6"/>
      <c r="R104" s="195">
        <f ca="1" t="shared" si="6"/>
        <v>0.17</v>
      </c>
      <c r="S104" s="194">
        <f ca="1">VLOOKUP(INDIRECT("A"&amp;ROW()),收益表!$A$16:$U$10014,20,0)</f>
        <v>100</v>
      </c>
      <c r="T104" s="194">
        <f ca="1">VLOOKUP(INDIRECT("A"&amp;ROW()),收益表!$A$16:$U$10014,21,0)</f>
        <v>17</v>
      </c>
      <c r="U104" s="190"/>
      <c r="V104" s="191"/>
      <c r="W104" s="191"/>
      <c r="X104" s="192"/>
    </row>
    <row r="105" spans="1:24">
      <c r="A105" s="168">
        <v>45642</v>
      </c>
      <c r="B105" s="170" t="s">
        <v>183</v>
      </c>
      <c r="C105" s="170" t="s">
        <v>102</v>
      </c>
      <c r="D105" s="171">
        <v>-0.038</v>
      </c>
      <c r="E105" s="172">
        <v>-0.0745</v>
      </c>
      <c r="F105" s="173">
        <v>-0.0854</v>
      </c>
      <c r="G105" s="178" t="s">
        <v>96</v>
      </c>
      <c r="H105" s="174"/>
      <c r="I105" s="174"/>
      <c r="J105" s="100">
        <v>-0.0745</v>
      </c>
      <c r="K105" s="100">
        <f>(1+J105)*K102</f>
        <v>2.75151508443655</v>
      </c>
      <c r="L105" s="100"/>
      <c r="M105" s="100"/>
      <c r="N105" s="184"/>
      <c r="O105" s="184"/>
      <c r="P105" s="184"/>
      <c r="Q105" s="184"/>
      <c r="R105" s="207">
        <f ca="1" t="shared" si="6"/>
        <v>0.260869565217391</v>
      </c>
      <c r="S105" s="194">
        <f ca="1">VLOOKUP(INDIRECT("A"&amp;ROW()),收益表!$A$16:$U$10014,20,0)</f>
        <v>115</v>
      </c>
      <c r="T105" s="194">
        <f ca="1">VLOOKUP(INDIRECT("A"&amp;ROW()),收益表!$A$16:$U$10014,21,0)</f>
        <v>30</v>
      </c>
      <c r="U105" s="190"/>
      <c r="V105" s="191"/>
      <c r="W105" s="191"/>
      <c r="X105" s="192"/>
    </row>
    <row r="106" spans="1:24">
      <c r="A106" s="70">
        <v>45643</v>
      </c>
      <c r="B106" s="170"/>
      <c r="C106" s="170"/>
      <c r="D106" s="171"/>
      <c r="E106" s="172"/>
      <c r="F106" s="173"/>
      <c r="G106" s="174"/>
      <c r="H106" s="174"/>
      <c r="I106" s="174"/>
      <c r="J106" s="32"/>
      <c r="K106" s="32"/>
      <c r="L106" s="32"/>
      <c r="M106" s="32"/>
      <c r="N106" s="6"/>
      <c r="O106" s="6"/>
      <c r="P106" s="6"/>
      <c r="R106" s="207">
        <f ca="1" t="shared" ref="R106:R113" si="7">T106/S106</f>
        <v>5.2258064516129</v>
      </c>
      <c r="S106" s="194">
        <f ca="1">VLOOKUP(INDIRECT("A"&amp;ROW()),收益表!$A$16:$U$10014,20,0)</f>
        <v>31</v>
      </c>
      <c r="T106" s="194">
        <f ca="1">VLOOKUP(INDIRECT("A"&amp;ROW()),收益表!$A$16:$U$10014,21,0)</f>
        <v>162</v>
      </c>
      <c r="U106" s="190"/>
      <c r="V106" s="191"/>
      <c r="W106" s="191"/>
      <c r="X106" s="192"/>
    </row>
    <row r="107" spans="1:24">
      <c r="A107" s="168">
        <v>45644</v>
      </c>
      <c r="B107" s="170" t="s">
        <v>184</v>
      </c>
      <c r="C107" s="170" t="s">
        <v>100</v>
      </c>
      <c r="D107" s="171">
        <v>0.0598</v>
      </c>
      <c r="E107" s="176" t="s">
        <v>96</v>
      </c>
      <c r="F107" s="173" t="s">
        <v>93</v>
      </c>
      <c r="G107" s="174" t="s">
        <v>93</v>
      </c>
      <c r="H107" s="174" t="s">
        <v>93</v>
      </c>
      <c r="I107" s="174"/>
      <c r="J107" s="34">
        <v>0.1</v>
      </c>
      <c r="K107" s="34">
        <f>(1+J107)*K105</f>
        <v>3.02666659288021</v>
      </c>
      <c r="L107" s="34"/>
      <c r="M107" s="34"/>
      <c r="N107" s="35"/>
      <c r="O107" s="35"/>
      <c r="P107" s="35"/>
      <c r="Q107" s="35"/>
      <c r="R107" s="199">
        <f ca="1" t="shared" si="7"/>
        <v>0.138888888888889</v>
      </c>
      <c r="S107" s="200">
        <f ca="1">VLOOKUP(INDIRECT("A"&amp;ROW()),收益表!$A$16:$U$10014,20,0)</f>
        <v>108</v>
      </c>
      <c r="T107" s="200">
        <f ca="1">VLOOKUP(INDIRECT("A"&amp;ROW()),收益表!$A$16:$U$10014,21,0)</f>
        <v>15</v>
      </c>
      <c r="U107" s="190"/>
      <c r="V107" s="191"/>
      <c r="W107" s="191"/>
      <c r="X107" s="192"/>
    </row>
    <row r="108" spans="1:24">
      <c r="A108" s="168"/>
      <c r="B108" s="170" t="s">
        <v>185</v>
      </c>
      <c r="C108" s="170" t="s">
        <v>102</v>
      </c>
      <c r="D108" s="171">
        <v>-0.0814</v>
      </c>
      <c r="E108" s="176" t="s">
        <v>96</v>
      </c>
      <c r="F108" s="173" t="s">
        <v>93</v>
      </c>
      <c r="G108" s="174">
        <v>-0.0085</v>
      </c>
      <c r="H108" s="174">
        <v>0.088</v>
      </c>
      <c r="I108" s="174"/>
      <c r="J108" s="34"/>
      <c r="K108" s="34"/>
      <c r="L108" s="34"/>
      <c r="M108" s="34"/>
      <c r="N108" s="35"/>
      <c r="O108" s="35"/>
      <c r="P108" s="35"/>
      <c r="Q108" s="35"/>
      <c r="R108" s="206"/>
      <c r="S108" s="204"/>
      <c r="T108" s="204"/>
      <c r="U108" s="190"/>
      <c r="V108" s="191"/>
      <c r="W108" s="191"/>
      <c r="X108" s="192"/>
    </row>
    <row r="109" spans="1:24">
      <c r="A109" s="168"/>
      <c r="B109" s="170" t="s">
        <v>186</v>
      </c>
      <c r="C109" s="170" t="s">
        <v>74</v>
      </c>
      <c r="D109" s="171">
        <v>0.0123</v>
      </c>
      <c r="E109" s="176" t="s">
        <v>96</v>
      </c>
      <c r="F109" s="173"/>
      <c r="G109" s="174"/>
      <c r="H109" s="174"/>
      <c r="I109" s="174"/>
      <c r="J109" s="34"/>
      <c r="K109" s="34"/>
      <c r="L109" s="34"/>
      <c r="M109" s="34"/>
      <c r="N109" s="35"/>
      <c r="O109" s="35"/>
      <c r="P109" s="35"/>
      <c r="Q109" s="35"/>
      <c r="R109" s="201"/>
      <c r="S109" s="189"/>
      <c r="T109" s="189"/>
      <c r="U109" s="190"/>
      <c r="V109" s="191"/>
      <c r="W109" s="191"/>
      <c r="X109" s="192"/>
    </row>
    <row r="110" spans="1:24">
      <c r="A110" s="70">
        <v>45645</v>
      </c>
      <c r="B110" s="170"/>
      <c r="C110" s="170"/>
      <c r="D110" s="171"/>
      <c r="E110" s="172"/>
      <c r="F110" s="173"/>
      <c r="G110" s="174"/>
      <c r="H110" s="174"/>
      <c r="I110" s="174"/>
      <c r="J110" s="32"/>
      <c r="K110" s="32"/>
      <c r="L110" s="32"/>
      <c r="M110" s="32"/>
      <c r="N110" s="6"/>
      <c r="O110" s="6"/>
      <c r="P110" s="6"/>
      <c r="R110" s="207">
        <f ca="1" t="shared" si="7"/>
        <v>0.308641975308642</v>
      </c>
      <c r="S110" s="194">
        <f ca="1">VLOOKUP(INDIRECT("A"&amp;ROW()),收益表!$A$16:$U$10014,20,0)</f>
        <v>81</v>
      </c>
      <c r="T110" s="194">
        <f ca="1">VLOOKUP(INDIRECT("A"&amp;ROW()),收益表!$A$16:$U$10014,21,0)</f>
        <v>25</v>
      </c>
      <c r="U110" s="190"/>
      <c r="V110" s="191"/>
      <c r="W110" s="191"/>
      <c r="X110" s="192"/>
    </row>
    <row r="111" spans="1:24">
      <c r="A111" s="168">
        <v>45646</v>
      </c>
      <c r="B111" s="170" t="s">
        <v>187</v>
      </c>
      <c r="C111" s="170" t="s">
        <v>102</v>
      </c>
      <c r="D111" s="171">
        <v>0.0116</v>
      </c>
      <c r="E111" s="172" t="s">
        <v>93</v>
      </c>
      <c r="F111" s="173" t="s">
        <v>93</v>
      </c>
      <c r="G111" s="174">
        <v>-0.0756</v>
      </c>
      <c r="H111" s="174">
        <v>-0.0521</v>
      </c>
      <c r="I111" s="174"/>
      <c r="J111" s="100">
        <v>-0.1</v>
      </c>
      <c r="K111" s="100">
        <f>(1+J111)*K107</f>
        <v>2.72399993359219</v>
      </c>
      <c r="L111" s="100"/>
      <c r="M111" s="100"/>
      <c r="N111" s="184"/>
      <c r="O111" s="184"/>
      <c r="P111" s="184"/>
      <c r="Q111" s="184"/>
      <c r="R111" s="207">
        <f ca="1" t="shared" si="7"/>
        <v>0.163265306122449</v>
      </c>
      <c r="S111" s="194">
        <f ca="1">VLOOKUP(INDIRECT("A"&amp;ROW()),收益表!$A$16:$U$10014,20,0)</f>
        <v>98</v>
      </c>
      <c r="T111" s="194">
        <f ca="1">VLOOKUP(INDIRECT("A"&amp;ROW()),收益表!$A$16:$U$10014,21,0)</f>
        <v>16</v>
      </c>
      <c r="U111" s="190"/>
      <c r="V111" s="191"/>
      <c r="W111" s="191"/>
      <c r="X111" s="192"/>
    </row>
    <row r="112" spans="1:24">
      <c r="A112" s="168">
        <v>45649</v>
      </c>
      <c r="B112" s="170" t="s">
        <v>188</v>
      </c>
      <c r="C112" s="170" t="s">
        <v>102</v>
      </c>
      <c r="D112" s="171">
        <v>-0.0377</v>
      </c>
      <c r="E112" s="172" t="s">
        <v>93</v>
      </c>
      <c r="F112" s="173" t="s">
        <v>93</v>
      </c>
      <c r="G112" s="174" t="s">
        <v>93</v>
      </c>
      <c r="H112" s="174">
        <v>-0.093</v>
      </c>
      <c r="I112" s="174"/>
      <c r="J112" s="100">
        <v>-0.1</v>
      </c>
      <c r="K112" s="100">
        <f>(1+J112)*K111</f>
        <v>2.45159994023297</v>
      </c>
      <c r="L112" s="100"/>
      <c r="M112" s="100"/>
      <c r="N112" s="184"/>
      <c r="O112" s="184"/>
      <c r="P112" s="184"/>
      <c r="Q112" s="184"/>
      <c r="R112" s="207">
        <f ca="1" t="shared" si="7"/>
        <v>6.27272727272727</v>
      </c>
      <c r="S112" s="194">
        <f ca="1">VLOOKUP(INDIRECT("A"&amp;ROW()),收益表!$A$16:$U$10014,20,0)</f>
        <v>33</v>
      </c>
      <c r="T112" s="194">
        <f ca="1">VLOOKUP(INDIRECT("A"&amp;ROW()),收益表!$A$16:$U$10014,21,0)</f>
        <v>207</v>
      </c>
      <c r="U112" s="190"/>
      <c r="V112" s="191"/>
      <c r="W112" s="191"/>
      <c r="X112" s="192"/>
    </row>
    <row r="113" spans="1:24">
      <c r="A113" s="168">
        <v>45650</v>
      </c>
      <c r="B113" s="170" t="s">
        <v>189</v>
      </c>
      <c r="C113" s="170" t="s">
        <v>92</v>
      </c>
      <c r="D113" s="171">
        <v>-0.1005</v>
      </c>
      <c r="E113" s="172" t="s">
        <v>93</v>
      </c>
      <c r="F113" s="173"/>
      <c r="G113" s="174"/>
      <c r="H113" s="174"/>
      <c r="I113" s="174"/>
      <c r="J113" s="34">
        <v>0.0157</v>
      </c>
      <c r="K113" s="34">
        <f>(1+J113)*K112</f>
        <v>2.49009005929463</v>
      </c>
      <c r="L113" s="34"/>
      <c r="M113" s="34"/>
      <c r="N113" s="35"/>
      <c r="O113" s="35"/>
      <c r="P113" s="35"/>
      <c r="Q113" s="35"/>
      <c r="R113" s="199">
        <f ca="1" t="shared" si="7"/>
        <v>0.44578313253012</v>
      </c>
      <c r="S113" s="200">
        <f ca="1">VLOOKUP(INDIRECT("A"&amp;ROW()),收益表!$A$16:$U$10014,20,0)</f>
        <v>83</v>
      </c>
      <c r="T113" s="200">
        <f ca="1">VLOOKUP(INDIRECT("A"&amp;ROW()),收益表!$A$16:$U$10014,21,0)</f>
        <v>37</v>
      </c>
      <c r="U113" s="190"/>
      <c r="V113" s="191"/>
      <c r="W113" s="191"/>
      <c r="X113" s="192"/>
    </row>
    <row r="114" spans="1:24">
      <c r="A114" s="168"/>
      <c r="B114" s="170" t="s">
        <v>190</v>
      </c>
      <c r="C114" s="170" t="s">
        <v>102</v>
      </c>
      <c r="D114" s="171">
        <v>0.0169</v>
      </c>
      <c r="E114" s="172">
        <v>0.0157</v>
      </c>
      <c r="F114" s="173" t="s">
        <v>93</v>
      </c>
      <c r="G114" s="174">
        <v>0.0104</v>
      </c>
      <c r="H114" s="174">
        <v>-0.0897</v>
      </c>
      <c r="I114" s="174"/>
      <c r="J114" s="34"/>
      <c r="K114" s="34"/>
      <c r="L114" s="34"/>
      <c r="M114" s="34"/>
      <c r="N114" s="35"/>
      <c r="O114" s="35"/>
      <c r="P114" s="35"/>
      <c r="Q114" s="35"/>
      <c r="R114" s="201"/>
      <c r="S114" s="189"/>
      <c r="T114" s="189"/>
      <c r="U114" s="190"/>
      <c r="V114" s="191"/>
      <c r="W114" s="191"/>
      <c r="X114" s="192"/>
    </row>
    <row r="115" spans="1:24">
      <c r="A115" s="168">
        <v>45651</v>
      </c>
      <c r="B115" s="170" t="s">
        <v>191</v>
      </c>
      <c r="C115" s="170" t="s">
        <v>100</v>
      </c>
      <c r="D115" s="171">
        <v>0.0632</v>
      </c>
      <c r="E115" s="176" t="s">
        <v>96</v>
      </c>
      <c r="F115" s="177" t="s">
        <v>96</v>
      </c>
      <c r="G115" s="174">
        <v>0.0313</v>
      </c>
      <c r="H115" s="174">
        <v>-0.0419</v>
      </c>
      <c r="I115" s="174"/>
      <c r="J115" s="34">
        <v>0.1</v>
      </c>
      <c r="K115" s="34">
        <f>(1+J115)*K113</f>
        <v>2.73909906522409</v>
      </c>
      <c r="L115" s="34">
        <v>0.1</v>
      </c>
      <c r="M115" s="34">
        <f>(1+L115)*M102</f>
        <v>3.37188214490415</v>
      </c>
      <c r="N115" s="35"/>
      <c r="O115" s="35"/>
      <c r="P115" s="35"/>
      <c r="Q115" s="35"/>
      <c r="R115" s="207">
        <f ca="1">T115/S115</f>
        <v>1.34782608695652</v>
      </c>
      <c r="S115" s="194">
        <f ca="1">VLOOKUP(INDIRECT("A"&amp;ROW()),收益表!$A$16:$U$10014,20,0)</f>
        <v>46</v>
      </c>
      <c r="T115" s="194">
        <f ca="1">VLOOKUP(INDIRECT("A"&amp;ROW()),收益表!$A$16:$U$10014,21,0)</f>
        <v>62</v>
      </c>
      <c r="U115" s="190"/>
      <c r="V115" s="191"/>
      <c r="W115" s="191"/>
      <c r="X115" s="192"/>
    </row>
    <row r="116" spans="1:24">
      <c r="A116" s="168">
        <v>45652</v>
      </c>
      <c r="B116" s="170" t="s">
        <v>192</v>
      </c>
      <c r="C116" s="170" t="s">
        <v>102</v>
      </c>
      <c r="D116" s="171">
        <v>0.0429</v>
      </c>
      <c r="E116" s="172">
        <v>0.0235</v>
      </c>
      <c r="F116" s="177" t="s">
        <v>96</v>
      </c>
      <c r="G116" s="174" t="s">
        <v>193</v>
      </c>
      <c r="H116" s="174">
        <v>-0.0617</v>
      </c>
      <c r="I116" s="174"/>
      <c r="J116" s="214">
        <v>0.008</v>
      </c>
      <c r="K116" s="34">
        <f>(1+J116)*K115</f>
        <v>2.76101185774588</v>
      </c>
      <c r="L116" s="214"/>
      <c r="M116" s="34"/>
      <c r="N116" s="35"/>
      <c r="O116" s="35"/>
      <c r="P116" s="35"/>
      <c r="Q116" s="35"/>
      <c r="R116" s="199">
        <f ca="1">T116/S116</f>
        <v>0.0841121495327103</v>
      </c>
      <c r="S116" s="200">
        <f ca="1">VLOOKUP(INDIRECT("A"&amp;ROW()),收益表!$A$16:$U$10014,20,0)</f>
        <v>107</v>
      </c>
      <c r="T116" s="200">
        <f ca="1">VLOOKUP(INDIRECT("A"&amp;ROW()),收益表!$A$16:$U$10014,21,0)</f>
        <v>9</v>
      </c>
      <c r="U116" s="190"/>
      <c r="V116" s="191"/>
      <c r="W116" s="191"/>
      <c r="X116" s="192"/>
    </row>
    <row r="117" spans="1:24">
      <c r="A117" s="168"/>
      <c r="B117" s="170" t="s">
        <v>194</v>
      </c>
      <c r="C117" s="170" t="s">
        <v>102</v>
      </c>
      <c r="D117" s="171">
        <v>-0.0657</v>
      </c>
      <c r="E117" s="172">
        <v>-0.0074</v>
      </c>
      <c r="F117" s="173">
        <v>-0.0672</v>
      </c>
      <c r="G117" s="174">
        <v>-0.0733</v>
      </c>
      <c r="H117" s="174">
        <v>-0.0619</v>
      </c>
      <c r="I117" s="174"/>
      <c r="J117" s="34"/>
      <c r="K117" s="34"/>
      <c r="L117" s="34"/>
      <c r="M117" s="34"/>
      <c r="N117" s="35"/>
      <c r="O117" s="35"/>
      <c r="P117" s="35"/>
      <c r="Q117" s="35"/>
      <c r="R117" s="201"/>
      <c r="S117" s="189"/>
      <c r="T117" s="189"/>
      <c r="U117" s="190"/>
      <c r="V117" s="191"/>
      <c r="W117" s="191"/>
      <c r="X117" s="192"/>
    </row>
    <row r="118" spans="1:24">
      <c r="A118" s="70">
        <v>45653</v>
      </c>
      <c r="B118" s="170"/>
      <c r="C118" s="170"/>
      <c r="D118" s="171"/>
      <c r="E118" s="172"/>
      <c r="F118" s="173"/>
      <c r="G118" s="174"/>
      <c r="H118" s="174"/>
      <c r="I118" s="174"/>
      <c r="J118" s="32"/>
      <c r="K118" s="32"/>
      <c r="L118" s="32"/>
      <c r="M118" s="32"/>
      <c r="N118" s="6"/>
      <c r="O118" s="6"/>
      <c r="P118" s="6"/>
      <c r="R118" s="195">
        <f ca="1" t="shared" ref="R118:R123" si="8">T118/S118</f>
        <v>0.164556962025316</v>
      </c>
      <c r="S118" s="194">
        <f ca="1">VLOOKUP(INDIRECT("A"&amp;ROW()),收益表!$A$16:$U$10014,20,0)</f>
        <v>79</v>
      </c>
      <c r="T118" s="194">
        <f ca="1">VLOOKUP(INDIRECT("A"&amp;ROW()),收益表!$A$16:$U$10014,21,0)</f>
        <v>13</v>
      </c>
      <c r="U118" s="190"/>
      <c r="V118" s="191"/>
      <c r="W118" s="191"/>
      <c r="X118" s="192"/>
    </row>
    <row r="119" spans="1:24">
      <c r="A119" s="70">
        <v>45656</v>
      </c>
      <c r="B119" s="170" t="s">
        <v>195</v>
      </c>
      <c r="C119" s="170" t="s">
        <v>74</v>
      </c>
      <c r="D119" s="171">
        <v>-0.0627</v>
      </c>
      <c r="E119" s="172">
        <v>-0.0798</v>
      </c>
      <c r="F119" s="173">
        <v>-0.0393</v>
      </c>
      <c r="G119" s="174" t="s">
        <v>196</v>
      </c>
      <c r="H119" s="174" t="s">
        <v>93</v>
      </c>
      <c r="I119" s="174"/>
      <c r="J119" s="32"/>
      <c r="K119" s="32"/>
      <c r="L119" s="32"/>
      <c r="M119" s="32"/>
      <c r="N119" s="6"/>
      <c r="O119" s="6"/>
      <c r="P119" s="6"/>
      <c r="R119" s="207">
        <f ca="1" t="shared" si="8"/>
        <v>0.37037037037037</v>
      </c>
      <c r="S119" s="194">
        <f ca="1">VLOOKUP(INDIRECT("A"&amp;ROW()),收益表!$A$16:$U$10014,20,0)</f>
        <v>54</v>
      </c>
      <c r="T119" s="194">
        <f ca="1">VLOOKUP(INDIRECT("A"&amp;ROW()),收益表!$A$16:$U$10014,21,0)</f>
        <v>20</v>
      </c>
      <c r="U119" s="190"/>
      <c r="V119" s="191"/>
      <c r="W119" s="191"/>
      <c r="X119" s="192"/>
    </row>
    <row r="120" ht="16.5" spans="1:24">
      <c r="A120" s="70">
        <v>45657</v>
      </c>
      <c r="B120" s="170"/>
      <c r="C120" s="170"/>
      <c r="D120" s="171"/>
      <c r="E120" s="172"/>
      <c r="F120" s="173"/>
      <c r="G120" s="174"/>
      <c r="H120" s="174"/>
      <c r="I120" s="174"/>
      <c r="J120" s="100"/>
      <c r="K120" s="100"/>
      <c r="L120" s="100"/>
      <c r="M120" s="100"/>
      <c r="N120" s="184"/>
      <c r="O120" s="184"/>
      <c r="P120" s="184"/>
      <c r="R120" s="207">
        <f ca="1" t="shared" si="8"/>
        <v>0.526315789473684</v>
      </c>
      <c r="S120" s="194">
        <f ca="1">VLOOKUP(INDIRECT("A"&amp;ROW()),收益表!$A$16:$U$10014,20,0)</f>
        <v>57</v>
      </c>
      <c r="T120" s="194">
        <f ca="1">VLOOKUP(INDIRECT("A"&amp;ROW()),收益表!$A$16:$U$10014,21,0)</f>
        <v>30</v>
      </c>
      <c r="U120" s="190"/>
      <c r="V120" s="191"/>
      <c r="W120" s="191"/>
      <c r="X120" s="192"/>
    </row>
    <row r="121" ht="16.5" spans="1:24">
      <c r="A121" s="70">
        <v>45659</v>
      </c>
      <c r="B121" s="170"/>
      <c r="C121" s="170"/>
      <c r="D121" s="171"/>
      <c r="E121" s="172"/>
      <c r="F121" s="173"/>
      <c r="G121" s="174"/>
      <c r="H121" s="174"/>
      <c r="I121" s="174"/>
      <c r="J121" s="32"/>
      <c r="K121" s="32"/>
      <c r="L121" s="32"/>
      <c r="M121" s="29"/>
      <c r="N121" s="215" t="s">
        <v>197</v>
      </c>
      <c r="O121" s="216"/>
      <c r="P121" s="216"/>
      <c r="Q121" s="220"/>
      <c r="R121" s="207">
        <f ca="1" t="shared" si="8"/>
        <v>0.477611940298507</v>
      </c>
      <c r="S121" s="194">
        <f ca="1">VLOOKUP(INDIRECT("A"&amp;ROW()),收益表!$A$16:$U$10014,20,0)</f>
        <v>67</v>
      </c>
      <c r="T121" s="194">
        <f ca="1">VLOOKUP(INDIRECT("A"&amp;ROW()),收益表!$A$16:$U$10014,21,0)</f>
        <v>32</v>
      </c>
      <c r="U121" s="190"/>
      <c r="V121" s="191"/>
      <c r="W121" s="191"/>
      <c r="X121" s="192"/>
    </row>
    <row r="122" spans="1:24">
      <c r="A122" s="70">
        <v>45660</v>
      </c>
      <c r="B122" s="170"/>
      <c r="C122" s="170"/>
      <c r="D122" s="208"/>
      <c r="E122" s="209"/>
      <c r="F122" s="210"/>
      <c r="G122" s="174"/>
      <c r="H122" s="174"/>
      <c r="I122" s="174"/>
      <c r="J122" s="32"/>
      <c r="K122" s="32"/>
      <c r="L122" s="32"/>
      <c r="M122" s="29"/>
      <c r="N122" s="217"/>
      <c r="Q122" s="221"/>
      <c r="R122" s="207">
        <f ca="1" t="shared" si="8"/>
        <v>2.01818181818182</v>
      </c>
      <c r="S122" s="194">
        <f ca="1">VLOOKUP(INDIRECT("A"&amp;ROW()),收益表!$A$16:$U$10014,20,0)</f>
        <v>55</v>
      </c>
      <c r="T122" s="194">
        <f ca="1">VLOOKUP(INDIRECT("A"&amp;ROW()),收益表!$A$16:$U$10014,21,0)</f>
        <v>111</v>
      </c>
      <c r="U122" s="190"/>
      <c r="V122" s="191"/>
      <c r="W122" s="191"/>
      <c r="X122" s="192"/>
    </row>
    <row r="123" spans="1:24">
      <c r="A123" s="211">
        <v>45663</v>
      </c>
      <c r="B123" s="170" t="s">
        <v>198</v>
      </c>
      <c r="C123" s="170" t="s">
        <v>74</v>
      </c>
      <c r="D123" s="174" t="s">
        <v>93</v>
      </c>
      <c r="E123" s="174" t="s">
        <v>93</v>
      </c>
      <c r="F123" s="174">
        <v>-0.0855</v>
      </c>
      <c r="G123" s="174">
        <v>0.0475</v>
      </c>
      <c r="H123" s="178" t="s">
        <v>96</v>
      </c>
      <c r="I123" s="218"/>
      <c r="J123" s="120">
        <v>-0.1</v>
      </c>
      <c r="K123" s="120">
        <f>(1+J123)*K116</f>
        <v>2.4849106719713</v>
      </c>
      <c r="L123" s="51"/>
      <c r="M123" s="52"/>
      <c r="N123" s="217"/>
      <c r="Q123" s="221"/>
      <c r="R123" s="202">
        <f ca="1" t="shared" si="8"/>
        <v>1.33823529411765</v>
      </c>
      <c r="S123" s="200">
        <f ca="1">VLOOKUP(INDIRECT("A"&amp;ROW()),收益表!$A$16:$U$10014,20,0)</f>
        <v>68</v>
      </c>
      <c r="T123" s="200">
        <f ca="1">VLOOKUP(INDIRECT("A"&amp;ROW()),收益表!$A$16:$U$10014,21,0)</f>
        <v>91</v>
      </c>
      <c r="U123" s="190"/>
      <c r="V123" s="191"/>
      <c r="W123" s="191"/>
      <c r="X123" s="192"/>
    </row>
    <row r="124" spans="1:24">
      <c r="A124" s="212"/>
      <c r="B124" s="170" t="s">
        <v>199</v>
      </c>
      <c r="C124" s="170" t="s">
        <v>100</v>
      </c>
      <c r="D124" s="171" t="s">
        <v>93</v>
      </c>
      <c r="E124" s="172" t="s">
        <v>93</v>
      </c>
      <c r="F124" s="173">
        <v>-0.0313</v>
      </c>
      <c r="G124" s="173">
        <v>0.0436</v>
      </c>
      <c r="H124" s="178" t="s">
        <v>96</v>
      </c>
      <c r="I124" s="219"/>
      <c r="J124" s="121"/>
      <c r="K124" s="121"/>
      <c r="L124" s="73"/>
      <c r="M124" s="74"/>
      <c r="N124" s="217"/>
      <c r="Q124" s="221"/>
      <c r="R124" s="205"/>
      <c r="S124" s="189"/>
      <c r="T124" s="189"/>
      <c r="U124" s="190"/>
      <c r="V124" s="191"/>
      <c r="W124" s="191"/>
      <c r="X124" s="192"/>
    </row>
    <row r="125" spans="1:24">
      <c r="A125" s="70">
        <v>45664</v>
      </c>
      <c r="B125" s="170" t="s">
        <v>200</v>
      </c>
      <c r="C125" s="170" t="s">
        <v>90</v>
      </c>
      <c r="D125" s="171">
        <v>-0.0702</v>
      </c>
      <c r="E125" s="172" t="s">
        <v>96</v>
      </c>
      <c r="F125" s="173">
        <v>0.0242</v>
      </c>
      <c r="G125" s="174">
        <v>-0.0433</v>
      </c>
      <c r="H125" s="174">
        <v>-0.0947</v>
      </c>
      <c r="I125" s="174"/>
      <c r="J125" s="32"/>
      <c r="K125" s="32"/>
      <c r="L125" s="32"/>
      <c r="M125" s="29"/>
      <c r="N125" s="217"/>
      <c r="Q125" s="221"/>
      <c r="R125" s="195">
        <f ca="1" t="shared" ref="R125:R129" si="9">T125/S125</f>
        <v>0.173076923076923</v>
      </c>
      <c r="S125" s="194">
        <f ca="1">VLOOKUP(INDIRECT("A"&amp;ROW()),收益表!$A$16:$U$10014,20,0)</f>
        <v>104</v>
      </c>
      <c r="T125" s="194">
        <f ca="1">VLOOKUP(INDIRECT("A"&amp;ROW()),收益表!$A$16:$U$10014,21,0)</f>
        <v>18</v>
      </c>
      <c r="U125" s="190"/>
      <c r="V125" s="191"/>
      <c r="W125" s="191"/>
      <c r="X125" s="192"/>
    </row>
    <row r="126" spans="1:24">
      <c r="A126" s="168">
        <v>45665</v>
      </c>
      <c r="B126" s="213" t="s">
        <v>201</v>
      </c>
      <c r="C126" s="170" t="s">
        <v>102</v>
      </c>
      <c r="D126" s="171">
        <v>-0.0043</v>
      </c>
      <c r="E126" s="172">
        <v>0.0104</v>
      </c>
      <c r="F126" s="173" t="s">
        <v>93</v>
      </c>
      <c r="G126" s="174" t="s">
        <v>93</v>
      </c>
      <c r="H126" s="174">
        <v>-0.0612</v>
      </c>
      <c r="I126" s="174"/>
      <c r="J126" s="34">
        <v>0.0104</v>
      </c>
      <c r="K126" s="34">
        <f>(1+J126)*K123</f>
        <v>2.5107537429598</v>
      </c>
      <c r="L126" s="34">
        <v>0.0104</v>
      </c>
      <c r="M126" s="41">
        <f>(1+L126)*M115</f>
        <v>3.40694971921115</v>
      </c>
      <c r="N126" s="217"/>
      <c r="Q126" s="221"/>
      <c r="R126" s="195">
        <f ca="1" t="shared" si="9"/>
        <v>0.121621621621622</v>
      </c>
      <c r="S126" s="194">
        <f ca="1">VLOOKUP(INDIRECT("A"&amp;ROW()),收益表!$A$16:$U$10014,20,0)</f>
        <v>74</v>
      </c>
      <c r="T126" s="194">
        <f ca="1">VLOOKUP(INDIRECT("A"&amp;ROW()),收益表!$A$16:$U$10014,21,0)</f>
        <v>9</v>
      </c>
      <c r="U126" s="190"/>
      <c r="V126" s="191"/>
      <c r="W126" s="191"/>
      <c r="X126" s="192"/>
    </row>
    <row r="127" spans="1:24">
      <c r="A127" s="70">
        <v>45666</v>
      </c>
      <c r="B127" s="170"/>
      <c r="C127" s="170"/>
      <c r="D127" s="171"/>
      <c r="E127" s="172"/>
      <c r="F127" s="173"/>
      <c r="G127" s="174"/>
      <c r="H127" s="174"/>
      <c r="I127" s="174"/>
      <c r="J127" s="32"/>
      <c r="K127" s="32"/>
      <c r="L127" s="32"/>
      <c r="M127" s="29"/>
      <c r="N127" s="217"/>
      <c r="Q127" s="221"/>
      <c r="R127" s="195">
        <f ca="1" t="shared" si="9"/>
        <v>0.11340206185567</v>
      </c>
      <c r="S127" s="194">
        <f ca="1">VLOOKUP(INDIRECT("A"&amp;ROW()),收益表!$A$16:$U$10014,20,0)</f>
        <v>97</v>
      </c>
      <c r="T127" s="194">
        <f ca="1">VLOOKUP(INDIRECT("A"&amp;ROW()),收益表!$A$16:$U$10014,21,0)</f>
        <v>11</v>
      </c>
      <c r="U127" s="190"/>
      <c r="V127" s="191"/>
      <c r="W127" s="191"/>
      <c r="X127" s="192"/>
    </row>
    <row r="128" spans="1:24">
      <c r="A128" s="70">
        <v>45667</v>
      </c>
      <c r="B128" s="170"/>
      <c r="C128" s="170"/>
      <c r="D128" s="171"/>
      <c r="E128" s="172"/>
      <c r="F128" s="173"/>
      <c r="G128" s="174"/>
      <c r="H128" s="174"/>
      <c r="I128" s="174"/>
      <c r="J128" s="32"/>
      <c r="K128" s="32"/>
      <c r="L128" s="32"/>
      <c r="M128" s="29"/>
      <c r="N128" s="217"/>
      <c r="Q128" s="221"/>
      <c r="R128" s="207">
        <f ca="1" t="shared" si="9"/>
        <v>1.18181818181818</v>
      </c>
      <c r="S128" s="194">
        <f ca="1">VLOOKUP(INDIRECT("A"&amp;ROW()),收益表!$A$16:$U$10014,20,0)</f>
        <v>44</v>
      </c>
      <c r="T128" s="194">
        <f ca="1">VLOOKUP(INDIRECT("A"&amp;ROW()),收益表!$A$16:$U$10014,21,0)</f>
        <v>52</v>
      </c>
      <c r="U128" s="190"/>
      <c r="V128" s="191"/>
      <c r="W128" s="191"/>
      <c r="X128" s="192"/>
    </row>
    <row r="129" spans="1:24">
      <c r="A129" s="211">
        <v>45670</v>
      </c>
      <c r="B129" s="170" t="s">
        <v>202</v>
      </c>
      <c r="C129" s="170" t="s">
        <v>100</v>
      </c>
      <c r="D129" s="171" t="s">
        <v>93</v>
      </c>
      <c r="E129" s="172">
        <v>-0.0295</v>
      </c>
      <c r="F129" s="173">
        <v>0.0532</v>
      </c>
      <c r="G129" s="174">
        <v>-0.0325</v>
      </c>
      <c r="H129" s="178" t="s">
        <v>96</v>
      </c>
      <c r="I129" s="218"/>
      <c r="J129" s="120">
        <v>-0.065</v>
      </c>
      <c r="K129" s="120">
        <f>(1+J129)*K126</f>
        <v>2.34755474966741</v>
      </c>
      <c r="L129" s="51"/>
      <c r="M129" s="52"/>
      <c r="N129" s="217"/>
      <c r="Q129" s="221"/>
      <c r="R129" s="202">
        <f ca="1" t="shared" si="9"/>
        <v>0.788461538461538</v>
      </c>
      <c r="S129" s="200">
        <f ca="1">VLOOKUP(INDIRECT("A"&amp;ROW()),收益表!$A$16:$U$10014,20,0)</f>
        <v>52</v>
      </c>
      <c r="T129" s="200">
        <f ca="1">VLOOKUP(INDIRECT("A"&amp;ROW()),收益表!$A$16:$U$10014,21,0)</f>
        <v>41</v>
      </c>
      <c r="U129" s="190"/>
      <c r="V129" s="191"/>
      <c r="W129" s="191"/>
      <c r="X129" s="192"/>
    </row>
    <row r="130" spans="1:24">
      <c r="A130" s="212"/>
      <c r="B130" s="170" t="s">
        <v>203</v>
      </c>
      <c r="C130" s="170" t="s">
        <v>102</v>
      </c>
      <c r="D130" s="171" t="s">
        <v>93</v>
      </c>
      <c r="E130" s="172" t="s">
        <v>93</v>
      </c>
      <c r="F130" s="173">
        <v>0.0215</v>
      </c>
      <c r="G130" s="174">
        <v>-0.0358</v>
      </c>
      <c r="H130" s="174">
        <v>0.0088</v>
      </c>
      <c r="I130" s="227"/>
      <c r="J130" s="121"/>
      <c r="K130" s="121"/>
      <c r="L130" s="73"/>
      <c r="M130" s="74"/>
      <c r="N130" s="217"/>
      <c r="Q130" s="221"/>
      <c r="R130" s="205"/>
      <c r="S130" s="189"/>
      <c r="T130" s="189"/>
      <c r="U130" s="190"/>
      <c r="V130" s="191"/>
      <c r="W130" s="191"/>
      <c r="X130" s="192"/>
    </row>
    <row r="131" spans="1:24">
      <c r="A131" s="168">
        <v>45671</v>
      </c>
      <c r="B131" s="170" t="s">
        <v>204</v>
      </c>
      <c r="C131" s="170" t="s">
        <v>100</v>
      </c>
      <c r="D131" s="171">
        <v>0.0096</v>
      </c>
      <c r="E131" s="176" t="s">
        <v>96</v>
      </c>
      <c r="F131" s="177" t="s">
        <v>96</v>
      </c>
      <c r="G131" s="174" t="s">
        <v>205</v>
      </c>
      <c r="H131" s="174">
        <v>0.0424</v>
      </c>
      <c r="I131" s="174"/>
      <c r="J131" s="34">
        <v>0.1</v>
      </c>
      <c r="K131" s="34">
        <f>(1+J131)*K129</f>
        <v>2.58231022463415</v>
      </c>
      <c r="L131" s="34"/>
      <c r="M131" s="29"/>
      <c r="N131" s="217"/>
      <c r="Q131" s="221"/>
      <c r="R131" s="195">
        <f ca="1">T131/S131</f>
        <v>0.0191082802547771</v>
      </c>
      <c r="S131" s="194">
        <f ca="1">VLOOKUP(INDIRECT("A"&amp;ROW()),收益表!$A$16:$U$10014,20,0)</f>
        <v>157</v>
      </c>
      <c r="T131" s="194">
        <f ca="1">VLOOKUP(INDIRECT("A"&amp;ROW()),收益表!$A$16:$U$10014,21,0)</f>
        <v>3</v>
      </c>
      <c r="U131" s="190"/>
      <c r="V131" s="191"/>
      <c r="W131" s="191"/>
      <c r="X131" s="192"/>
    </row>
    <row r="132" spans="1:24">
      <c r="A132" s="33">
        <v>45672</v>
      </c>
      <c r="B132" s="170"/>
      <c r="C132" s="170"/>
      <c r="D132" s="171"/>
      <c r="E132" s="172"/>
      <c r="F132" s="173"/>
      <c r="G132" s="174"/>
      <c r="H132" s="174"/>
      <c r="I132" s="174"/>
      <c r="J132" s="32"/>
      <c r="K132" s="32"/>
      <c r="L132" s="32"/>
      <c r="M132" s="29"/>
      <c r="N132" s="217"/>
      <c r="Q132" s="221"/>
      <c r="R132" s="195">
        <f ca="1">T132/S132</f>
        <v>0.123456790123457</v>
      </c>
      <c r="S132" s="194">
        <f ca="1">VLOOKUP(INDIRECT("A"&amp;ROW()),收益表!$A$16:$U$10014,20,0)</f>
        <v>81</v>
      </c>
      <c r="T132" s="194">
        <f ca="1">VLOOKUP(INDIRECT("A"&amp;ROW()),收益表!$A$16:$U$10014,21,0)</f>
        <v>10</v>
      </c>
      <c r="U132" s="190"/>
      <c r="V132" s="191"/>
      <c r="W132" s="191"/>
      <c r="X132" s="192"/>
    </row>
    <row r="133" spans="1:24">
      <c r="A133" s="168">
        <v>45673</v>
      </c>
      <c r="B133" s="170" t="s">
        <v>206</v>
      </c>
      <c r="C133" s="170" t="s">
        <v>74</v>
      </c>
      <c r="D133" s="171">
        <v>-0.0608</v>
      </c>
      <c r="E133" s="172" t="s">
        <v>207</v>
      </c>
      <c r="F133" s="173" t="s">
        <v>93</v>
      </c>
      <c r="G133" s="174">
        <v>-0.0575</v>
      </c>
      <c r="H133" s="174">
        <v>-0.0129</v>
      </c>
      <c r="I133" s="174"/>
      <c r="J133" s="34">
        <v>0.0492</v>
      </c>
      <c r="K133" s="34">
        <f>(1+J133)*K131</f>
        <v>2.70935988768615</v>
      </c>
      <c r="L133" s="34">
        <v>0.0492</v>
      </c>
      <c r="M133" s="41">
        <f>(1+L133)*M126</f>
        <v>3.57457164539634</v>
      </c>
      <c r="N133" s="217"/>
      <c r="Q133" s="221"/>
      <c r="R133" s="195">
        <f ca="1">T133/S133</f>
        <v>0.0833333333333333</v>
      </c>
      <c r="S133" s="194">
        <f ca="1">VLOOKUP(INDIRECT("A"&amp;ROW()),收益表!$A$16:$U$10014,20,0)</f>
        <v>84</v>
      </c>
      <c r="T133" s="194">
        <f ca="1">VLOOKUP(INDIRECT("A"&amp;ROW()),收益表!$A$16:$U$10014,21,0)</f>
        <v>7</v>
      </c>
      <c r="U133" s="190"/>
      <c r="V133" s="191"/>
      <c r="W133" s="191"/>
      <c r="X133" s="192"/>
    </row>
    <row r="134" spans="1:24">
      <c r="A134" s="211">
        <v>45674</v>
      </c>
      <c r="B134" s="170" t="s">
        <v>204</v>
      </c>
      <c r="C134" s="170" t="s">
        <v>102</v>
      </c>
      <c r="D134" s="171" t="s">
        <v>205</v>
      </c>
      <c r="E134" s="172">
        <v>0.0424</v>
      </c>
      <c r="F134" s="173">
        <v>0.0259</v>
      </c>
      <c r="G134" s="174">
        <v>0.0009</v>
      </c>
      <c r="H134" s="174" t="s">
        <v>96</v>
      </c>
      <c r="I134" s="228"/>
      <c r="J134" s="60">
        <v>0.0424</v>
      </c>
      <c r="K134" s="60">
        <f>(1+J134)*K133</f>
        <v>2.82423674692405</v>
      </c>
      <c r="L134" s="60">
        <v>0.0424</v>
      </c>
      <c r="M134" s="61">
        <f>(1+L134)*M133</f>
        <v>3.72613348316114</v>
      </c>
      <c r="N134" s="217"/>
      <c r="Q134" s="221"/>
      <c r="R134" s="202">
        <f ca="1">T134/S134</f>
        <v>0.246153846153846</v>
      </c>
      <c r="S134" s="200">
        <f ca="1">VLOOKUP(INDIRECT("A"&amp;ROW()),收益表!$A$16:$U$10014,20,0)</f>
        <v>65</v>
      </c>
      <c r="T134" s="200">
        <f ca="1">VLOOKUP(INDIRECT("A"&amp;ROW()),收益表!$A$16:$U$10014,21,0)</f>
        <v>16</v>
      </c>
      <c r="U134" s="190"/>
      <c r="V134" s="191"/>
      <c r="W134" s="191"/>
      <c r="X134" s="192"/>
    </row>
    <row r="135" spans="1:24">
      <c r="A135" s="212"/>
      <c r="B135" s="170" t="s">
        <v>208</v>
      </c>
      <c r="C135" s="170" t="s">
        <v>74</v>
      </c>
      <c r="D135" s="171">
        <v>0.0173</v>
      </c>
      <c r="E135" s="172">
        <v>-0.0681</v>
      </c>
      <c r="F135" s="173">
        <v>-0.0078</v>
      </c>
      <c r="G135" s="174">
        <v>-0.0393</v>
      </c>
      <c r="H135" s="174">
        <v>0.0082</v>
      </c>
      <c r="I135" s="227"/>
      <c r="J135" s="65"/>
      <c r="K135" s="65"/>
      <c r="L135" s="65"/>
      <c r="M135" s="66"/>
      <c r="N135" s="217"/>
      <c r="Q135" s="221"/>
      <c r="R135" s="205"/>
      <c r="S135" s="189"/>
      <c r="T135" s="189"/>
      <c r="U135" s="190"/>
      <c r="V135" s="191"/>
      <c r="W135" s="191"/>
      <c r="X135" s="192"/>
    </row>
    <row r="136" spans="1:24">
      <c r="A136" s="70">
        <v>45677</v>
      </c>
      <c r="B136" s="170"/>
      <c r="C136" s="170"/>
      <c r="D136" s="171"/>
      <c r="E136" s="172"/>
      <c r="F136" s="173"/>
      <c r="G136" s="174"/>
      <c r="H136" s="174"/>
      <c r="I136" s="174"/>
      <c r="J136" s="32"/>
      <c r="K136" s="32"/>
      <c r="L136" s="32"/>
      <c r="M136" s="29"/>
      <c r="N136" s="217"/>
      <c r="Q136" s="221"/>
      <c r="R136" s="207">
        <f ca="1" t="shared" ref="R136:R141" si="10">T136/S136</f>
        <v>0.325</v>
      </c>
      <c r="S136" s="194">
        <f ca="1">VLOOKUP(INDIRECT("A"&amp;ROW()),收益表!$A$16:$U$10014,20,0)</f>
        <v>80</v>
      </c>
      <c r="T136" s="194">
        <f ca="1">VLOOKUP(INDIRECT("A"&amp;ROW()),收益表!$A$16:$U$10014,21,0)</f>
        <v>26</v>
      </c>
      <c r="U136" s="190"/>
      <c r="V136" s="191"/>
      <c r="W136" s="191"/>
      <c r="X136" s="192"/>
    </row>
    <row r="137" spans="1:24">
      <c r="A137" s="53">
        <v>45678</v>
      </c>
      <c r="B137" s="170"/>
      <c r="C137" s="170"/>
      <c r="D137" s="171"/>
      <c r="E137" s="172"/>
      <c r="F137" s="173"/>
      <c r="G137" s="174"/>
      <c r="H137" s="174"/>
      <c r="I137" s="174"/>
      <c r="J137" s="32"/>
      <c r="K137" s="32"/>
      <c r="L137" s="32"/>
      <c r="M137" s="29"/>
      <c r="N137" s="217"/>
      <c r="Q137" s="221"/>
      <c r="R137" s="207">
        <f ca="1" t="shared" si="10"/>
        <v>0.519230769230769</v>
      </c>
      <c r="S137" s="194">
        <f ca="1">VLOOKUP(INDIRECT("A"&amp;ROW()),收益表!$A$16:$U$10014,20,0)</f>
        <v>52</v>
      </c>
      <c r="T137" s="194">
        <f ca="1">VLOOKUP(INDIRECT("A"&amp;ROW()),收益表!$A$16:$U$10014,21,0)</f>
        <v>27</v>
      </c>
      <c r="U137" s="190"/>
      <c r="V137" s="191"/>
      <c r="W137" s="191"/>
      <c r="X137" s="192"/>
    </row>
    <row r="138" spans="1:24">
      <c r="A138" s="70">
        <v>45679</v>
      </c>
      <c r="B138" s="170"/>
      <c r="C138" s="170"/>
      <c r="D138" s="171"/>
      <c r="E138" s="172"/>
      <c r="F138" s="173"/>
      <c r="G138" s="174"/>
      <c r="H138" s="174"/>
      <c r="I138" s="174"/>
      <c r="J138" s="32"/>
      <c r="K138" s="32"/>
      <c r="L138" s="32"/>
      <c r="M138" s="29"/>
      <c r="N138" s="217"/>
      <c r="Q138" s="221"/>
      <c r="R138" s="207">
        <f ca="1" t="shared" si="10"/>
        <v>0.541666666666667</v>
      </c>
      <c r="S138" s="194">
        <f ca="1">VLOOKUP(INDIRECT("A"&amp;ROW()),收益表!$A$16:$U$10014,20,0)</f>
        <v>48</v>
      </c>
      <c r="T138" s="194">
        <f ca="1">VLOOKUP(INDIRECT("A"&amp;ROW()),收益表!$A$16:$U$10014,21,0)</f>
        <v>26</v>
      </c>
      <c r="U138" s="190"/>
      <c r="V138" s="191"/>
      <c r="W138" s="191"/>
      <c r="X138" s="192"/>
    </row>
    <row r="139" spans="1:24">
      <c r="A139" s="168">
        <v>45680</v>
      </c>
      <c r="B139" s="170" t="s">
        <v>209</v>
      </c>
      <c r="C139" s="170" t="s">
        <v>102</v>
      </c>
      <c r="D139" s="171">
        <v>-0.03</v>
      </c>
      <c r="E139" s="172" t="s">
        <v>93</v>
      </c>
      <c r="F139" s="173">
        <v>-0.0538</v>
      </c>
      <c r="G139" s="174">
        <v>-0.0023</v>
      </c>
      <c r="H139" s="174">
        <v>0.0171</v>
      </c>
      <c r="I139" s="174"/>
      <c r="J139" s="100">
        <v>-0.1</v>
      </c>
      <c r="K139" s="100">
        <f>(1+J139)*K134</f>
        <v>2.54181307223164</v>
      </c>
      <c r="L139" s="32"/>
      <c r="M139" s="29"/>
      <c r="N139" s="217"/>
      <c r="Q139" s="221"/>
      <c r="R139" s="207">
        <f ca="1" t="shared" si="10"/>
        <v>0.630434782608696</v>
      </c>
      <c r="S139" s="194">
        <f ca="1">VLOOKUP(INDIRECT("A"&amp;ROW()),收益表!$A$16:$U$10014,20,0)</f>
        <v>46</v>
      </c>
      <c r="T139" s="194">
        <f ca="1">VLOOKUP(INDIRECT("A"&amp;ROW()),收益表!$A$16:$U$10014,21,0)</f>
        <v>29</v>
      </c>
      <c r="U139" s="190"/>
      <c r="V139" s="191"/>
      <c r="W139" s="191"/>
      <c r="X139" s="192"/>
    </row>
    <row r="140" spans="1:24">
      <c r="A140" s="70">
        <v>45681</v>
      </c>
      <c r="B140" s="170"/>
      <c r="C140" s="170"/>
      <c r="D140" s="171"/>
      <c r="E140" s="172"/>
      <c r="F140" s="173"/>
      <c r="G140" s="174"/>
      <c r="H140" s="174"/>
      <c r="I140" s="174"/>
      <c r="J140" s="32"/>
      <c r="K140" s="32"/>
      <c r="L140" s="32"/>
      <c r="M140" s="29"/>
      <c r="N140" s="217"/>
      <c r="Q140" s="221"/>
      <c r="R140" s="207">
        <f ca="1" t="shared" si="10"/>
        <v>0.391891891891892</v>
      </c>
      <c r="S140" s="194">
        <f ca="1">VLOOKUP(INDIRECT("A"&amp;ROW()),收益表!$A$16:$U$10014,20,0)</f>
        <v>74</v>
      </c>
      <c r="T140" s="194">
        <f ca="1">VLOOKUP(INDIRECT("A"&amp;ROW()),收益表!$A$16:$U$10014,21,0)</f>
        <v>29</v>
      </c>
      <c r="U140" s="190"/>
      <c r="V140" s="191"/>
      <c r="W140" s="191"/>
      <c r="X140" s="192"/>
    </row>
    <row r="141" ht="16.5" spans="1:24">
      <c r="A141" s="168">
        <v>45684</v>
      </c>
      <c r="B141" s="170" t="s">
        <v>210</v>
      </c>
      <c r="C141" s="170" t="s">
        <v>102</v>
      </c>
      <c r="D141" s="171" t="s">
        <v>93</v>
      </c>
      <c r="E141" s="172" t="s">
        <v>93</v>
      </c>
      <c r="F141" s="173">
        <v>0.0271</v>
      </c>
      <c r="G141" s="174">
        <v>0.0275</v>
      </c>
      <c r="H141" s="174">
        <v>0.0154</v>
      </c>
      <c r="I141" s="174"/>
      <c r="J141" s="100">
        <v>-0.1</v>
      </c>
      <c r="K141" s="100">
        <f>(1+J141)*K139</f>
        <v>2.28763176500848</v>
      </c>
      <c r="L141" s="32"/>
      <c r="M141" s="29"/>
      <c r="N141" s="217"/>
      <c r="O141" s="6"/>
      <c r="P141" s="6"/>
      <c r="Q141" s="221"/>
      <c r="R141" s="207">
        <f ca="1" t="shared" si="10"/>
        <v>1.06666666666667</v>
      </c>
      <c r="S141" s="194">
        <f ca="1">VLOOKUP(INDIRECT("A"&amp;ROW()),收益表!$A$16:$U$10014,20,0)</f>
        <v>45</v>
      </c>
      <c r="T141" s="194">
        <f ca="1">VLOOKUP(INDIRECT("A"&amp;ROW()),收益表!$A$16:$U$10014,21,0)</f>
        <v>48</v>
      </c>
      <c r="U141" s="190"/>
      <c r="V141" s="191"/>
      <c r="W141" s="191"/>
      <c r="X141" s="192"/>
    </row>
    <row r="142" ht="16.5" spans="1:24">
      <c r="A142" s="75">
        <v>45693</v>
      </c>
      <c r="B142" s="170"/>
      <c r="C142" s="170"/>
      <c r="D142" s="171"/>
      <c r="E142" s="172"/>
      <c r="F142" s="173"/>
      <c r="G142" s="174"/>
      <c r="H142" s="174"/>
      <c r="I142" s="174"/>
      <c r="J142" s="32"/>
      <c r="K142" s="32"/>
      <c r="L142" s="32"/>
      <c r="M142" s="29"/>
      <c r="N142" s="229" t="s">
        <v>211</v>
      </c>
      <c r="O142" s="230"/>
      <c r="P142" s="230"/>
      <c r="Q142" s="240"/>
      <c r="R142" s="207">
        <f ca="1" t="shared" ref="R142:R147" si="11">T142/S142</f>
        <v>0.542168674698795</v>
      </c>
      <c r="S142" s="194">
        <f ca="1">VLOOKUP(INDIRECT("A"&amp;ROW()),收益表!$A$16:$U$10014,20,0)</f>
        <v>83</v>
      </c>
      <c r="T142" s="194">
        <f ca="1">VLOOKUP(INDIRECT("A"&amp;ROW()),收益表!$A$16:$U$10014,21,0)</f>
        <v>45</v>
      </c>
      <c r="U142" s="241"/>
      <c r="V142" s="242"/>
      <c r="W142" s="242"/>
      <c r="X142" s="243"/>
    </row>
    <row r="143" spans="1:24">
      <c r="A143" s="75">
        <v>45694</v>
      </c>
      <c r="B143" s="170"/>
      <c r="C143" s="170"/>
      <c r="D143" s="171"/>
      <c r="E143" s="172"/>
      <c r="F143" s="173"/>
      <c r="G143" s="174"/>
      <c r="H143" s="174"/>
      <c r="I143" s="174"/>
      <c r="J143" s="32"/>
      <c r="K143" s="32"/>
      <c r="L143" s="32"/>
      <c r="M143" s="29"/>
      <c r="N143" s="231"/>
      <c r="Q143" s="244"/>
      <c r="R143" s="195">
        <f ca="1" t="shared" si="11"/>
        <v>0.0396039603960396</v>
      </c>
      <c r="S143" s="194">
        <f ca="1">VLOOKUP(INDIRECT("A"&amp;ROW()),收益表!$A$16:$U$10014,20,0)</f>
        <v>101</v>
      </c>
      <c r="T143" s="194">
        <f ca="1">VLOOKUP(INDIRECT("A"&amp;ROW()),收益表!$A$16:$U$10014,21,0)</f>
        <v>4</v>
      </c>
      <c r="U143" s="241"/>
      <c r="V143" s="242"/>
      <c r="W143" s="242"/>
      <c r="X143" s="243"/>
    </row>
    <row r="144" spans="1:24">
      <c r="A144" s="105">
        <v>45695</v>
      </c>
      <c r="B144" s="170" t="s">
        <v>212</v>
      </c>
      <c r="C144" s="170" t="s">
        <v>102</v>
      </c>
      <c r="D144" s="171" t="s">
        <v>213</v>
      </c>
      <c r="E144" s="172">
        <v>0.0279</v>
      </c>
      <c r="F144" s="173">
        <v>0.0208</v>
      </c>
      <c r="G144" s="174" t="s">
        <v>214</v>
      </c>
      <c r="H144" s="174">
        <v>0.0196</v>
      </c>
      <c r="I144" s="174"/>
      <c r="J144" s="34">
        <v>0.0279</v>
      </c>
      <c r="K144" s="34">
        <f>(1+J144)*K141</f>
        <v>2.35145669125222</v>
      </c>
      <c r="L144" s="34">
        <v>0.0279</v>
      </c>
      <c r="M144" s="41">
        <f>(1+L144)*M134</f>
        <v>3.83009260734134</v>
      </c>
      <c r="N144" s="231"/>
      <c r="Q144" s="244"/>
      <c r="R144" s="199">
        <f ca="1" t="shared" si="11"/>
        <v>0.021505376344086</v>
      </c>
      <c r="S144" s="200">
        <f ca="1">VLOOKUP(INDIRECT("A"&amp;ROW()),收益表!$A$16:$U$10014,20,0)</f>
        <v>93</v>
      </c>
      <c r="T144" s="200">
        <f ca="1">VLOOKUP(INDIRECT("A"&amp;ROW()),收益表!$A$16:$U$10014,21,0)</f>
        <v>2</v>
      </c>
      <c r="U144" s="241" t="s">
        <v>215</v>
      </c>
      <c r="V144" s="242"/>
      <c r="W144" s="242"/>
      <c r="X144" s="243"/>
    </row>
    <row r="145" spans="1:24">
      <c r="A145" s="118"/>
      <c r="B145" s="170" t="s">
        <v>216</v>
      </c>
      <c r="C145" s="170" t="s">
        <v>90</v>
      </c>
      <c r="D145" s="171">
        <v>0.0339</v>
      </c>
      <c r="E145" s="172" t="s">
        <v>96</v>
      </c>
      <c r="F145" s="173">
        <v>-0.0136</v>
      </c>
      <c r="G145" s="174">
        <v>-0.0497</v>
      </c>
      <c r="H145" s="174">
        <v>0.0268</v>
      </c>
      <c r="I145" s="174"/>
      <c r="J145" s="34"/>
      <c r="K145" s="34"/>
      <c r="L145" s="34"/>
      <c r="M145" s="41"/>
      <c r="N145" s="231"/>
      <c r="Q145" s="244"/>
      <c r="R145" s="201"/>
      <c r="S145" s="189"/>
      <c r="T145" s="189"/>
      <c r="U145" s="241" t="s">
        <v>215</v>
      </c>
      <c r="V145" s="242"/>
      <c r="W145" s="242"/>
      <c r="X145" s="243"/>
    </row>
    <row r="146" spans="1:24">
      <c r="A146" s="75">
        <v>45698</v>
      </c>
      <c r="B146" s="170"/>
      <c r="C146" s="170"/>
      <c r="D146" s="171"/>
      <c r="E146" s="172"/>
      <c r="F146" s="173"/>
      <c r="G146" s="174"/>
      <c r="H146" s="174"/>
      <c r="I146" s="174"/>
      <c r="J146" s="32"/>
      <c r="K146" s="32"/>
      <c r="L146" s="32"/>
      <c r="M146" s="29"/>
      <c r="N146" s="231"/>
      <c r="Q146" s="244"/>
      <c r="R146" s="195">
        <f ca="1" t="shared" si="11"/>
        <v>0.0142857142857143</v>
      </c>
      <c r="S146" s="194">
        <f ca="1">VLOOKUP(INDIRECT("A"&amp;ROW()),收益表!$A$16:$U$10014,20,0)</f>
        <v>140</v>
      </c>
      <c r="T146" s="194">
        <f ca="1">VLOOKUP(INDIRECT("A"&amp;ROW()),收益表!$A$16:$U$10014,21,0)</f>
        <v>2</v>
      </c>
      <c r="U146" s="245"/>
      <c r="V146" s="246"/>
      <c r="W146" s="246"/>
      <c r="X146" s="247"/>
    </row>
    <row r="147" spans="1:24">
      <c r="A147" s="77">
        <v>45699</v>
      </c>
      <c r="B147" s="170" t="s">
        <v>217</v>
      </c>
      <c r="C147" s="170" t="s">
        <v>102</v>
      </c>
      <c r="D147" s="171">
        <v>0.0259</v>
      </c>
      <c r="E147" s="172">
        <v>-0.0225</v>
      </c>
      <c r="F147" s="173">
        <v>0.0374</v>
      </c>
      <c r="G147" s="174">
        <v>-0.046</v>
      </c>
      <c r="H147" s="174">
        <v>0.0618</v>
      </c>
      <c r="I147" s="174"/>
      <c r="J147" s="100">
        <v>-0.0225</v>
      </c>
      <c r="K147" s="100">
        <f>(1+J147)*K144</f>
        <v>2.29854891569905</v>
      </c>
      <c r="L147" s="100">
        <v>-0.0225</v>
      </c>
      <c r="M147" s="68">
        <f>(1+L147)*M144</f>
        <v>3.74391552367616</v>
      </c>
      <c r="N147" s="231"/>
      <c r="Q147" s="244"/>
      <c r="R147" s="195">
        <f ca="1" t="shared" si="11"/>
        <v>0.0238095238095238</v>
      </c>
      <c r="S147" s="194">
        <f ca="1">VLOOKUP(INDIRECT("A"&amp;ROW()),收益表!$A$16:$U$10014,20,0)</f>
        <v>84</v>
      </c>
      <c r="T147" s="194">
        <f ca="1">VLOOKUP(INDIRECT("A"&amp;ROW()),收益表!$A$16:$U$10014,21,0)</f>
        <v>2</v>
      </c>
      <c r="U147" s="248" t="s">
        <v>218</v>
      </c>
      <c r="V147" s="249"/>
      <c r="W147" s="249"/>
      <c r="X147" s="250"/>
    </row>
    <row r="148" spans="1:24">
      <c r="A148" s="75">
        <v>45700</v>
      </c>
      <c r="B148" s="170"/>
      <c r="C148" s="170"/>
      <c r="D148" s="171"/>
      <c r="E148" s="172"/>
      <c r="F148" s="173"/>
      <c r="G148" s="174"/>
      <c r="H148" s="174"/>
      <c r="I148" s="174"/>
      <c r="J148" s="32"/>
      <c r="K148" s="32"/>
      <c r="L148" s="32"/>
      <c r="M148" s="29"/>
      <c r="N148" s="231"/>
      <c r="Q148" s="244"/>
      <c r="R148" s="195">
        <f ca="1" t="shared" ref="R148:R153" si="12">T148/S148</f>
        <v>0.0210526315789474</v>
      </c>
      <c r="S148" s="194">
        <f ca="1">VLOOKUP(INDIRECT("A"&amp;ROW()),收益表!$A$16:$U$10014,20,0)</f>
        <v>95</v>
      </c>
      <c r="T148" s="194">
        <f ca="1">VLOOKUP(INDIRECT("A"&amp;ROW()),收益表!$A$16:$U$10014,21,0)</f>
        <v>2</v>
      </c>
      <c r="U148" s="245"/>
      <c r="V148" s="246"/>
      <c r="W148" s="246"/>
      <c r="X148" s="247"/>
    </row>
    <row r="149" spans="1:24">
      <c r="A149" s="75">
        <v>45701</v>
      </c>
      <c r="B149" s="170"/>
      <c r="C149" s="170"/>
      <c r="D149" s="171"/>
      <c r="E149" s="172"/>
      <c r="F149" s="173"/>
      <c r="G149" s="174"/>
      <c r="H149" s="174"/>
      <c r="I149" s="174"/>
      <c r="J149" s="32"/>
      <c r="K149" s="32"/>
      <c r="L149" s="32"/>
      <c r="M149" s="29"/>
      <c r="N149" s="231"/>
      <c r="Q149" s="244"/>
      <c r="R149" s="195">
        <f ca="1" t="shared" si="12"/>
        <v>0.0945945945945946</v>
      </c>
      <c r="S149" s="194">
        <f ca="1">VLOOKUP(INDIRECT("A"&amp;ROW()),收益表!$A$16:$U$10014,20,0)</f>
        <v>74</v>
      </c>
      <c r="T149" s="194">
        <f ca="1">VLOOKUP(INDIRECT("A"&amp;ROW()),收益表!$A$16:$U$10014,21,0)</f>
        <v>7</v>
      </c>
      <c r="U149" s="245"/>
      <c r="V149" s="246"/>
      <c r="W149" s="246"/>
      <c r="X149" s="247"/>
    </row>
    <row r="150" ht="16.5" spans="1:24">
      <c r="A150" s="75">
        <v>45702</v>
      </c>
      <c r="B150" s="170"/>
      <c r="C150" s="170"/>
      <c r="D150" s="171"/>
      <c r="E150" s="172"/>
      <c r="F150" s="173"/>
      <c r="G150" s="174"/>
      <c r="H150" s="174"/>
      <c r="I150" s="174"/>
      <c r="J150" s="32"/>
      <c r="K150" s="32"/>
      <c r="L150" s="32"/>
      <c r="M150" s="29"/>
      <c r="N150" s="231"/>
      <c r="O150" s="6"/>
      <c r="P150" s="6"/>
      <c r="Q150" s="244"/>
      <c r="R150" s="195">
        <f ca="1" t="shared" si="12"/>
        <v>0.103448275862069</v>
      </c>
      <c r="S150" s="194">
        <f ca="1">VLOOKUP(INDIRECT("A"&amp;ROW()),收益表!$A$16:$U$10014,20,0)</f>
        <v>87</v>
      </c>
      <c r="T150" s="194">
        <f ca="1">VLOOKUP(INDIRECT("A"&amp;ROW()),收益表!$A$16:$U$10014,21,0)</f>
        <v>9</v>
      </c>
      <c r="U150" s="245"/>
      <c r="V150" s="246"/>
      <c r="W150" s="246"/>
      <c r="X150" s="247"/>
    </row>
    <row r="151" ht="16.5" spans="1:24">
      <c r="A151" s="75">
        <v>45705</v>
      </c>
      <c r="B151" s="170"/>
      <c r="C151" s="170"/>
      <c r="D151" s="171"/>
      <c r="E151" s="172"/>
      <c r="F151" s="173"/>
      <c r="G151" s="174"/>
      <c r="H151" s="174"/>
      <c r="I151" s="174"/>
      <c r="J151" s="32"/>
      <c r="K151" s="32"/>
      <c r="L151" s="32"/>
      <c r="M151" s="29"/>
      <c r="N151" s="229" t="s">
        <v>219</v>
      </c>
      <c r="O151" s="230"/>
      <c r="P151" s="230"/>
      <c r="Q151" s="240"/>
      <c r="R151" s="195">
        <f ca="1" t="shared" si="12"/>
        <v>0.0614035087719298</v>
      </c>
      <c r="S151" s="194">
        <f ca="1">VLOOKUP(INDIRECT("A"&amp;ROW()),收益表!$A$16:$U$10014,20,0)</f>
        <v>114</v>
      </c>
      <c r="T151" s="194">
        <f ca="1">VLOOKUP(INDIRECT("A"&amp;ROW()),收益表!$A$16:$U$10014,21,0)</f>
        <v>7</v>
      </c>
      <c r="U151" s="245"/>
      <c r="V151" s="246"/>
      <c r="W151" s="246"/>
      <c r="X151" s="247"/>
    </row>
    <row r="152" spans="1:24">
      <c r="A152" s="77">
        <v>45706</v>
      </c>
      <c r="B152" s="170" t="s">
        <v>220</v>
      </c>
      <c r="C152" s="170" t="s">
        <v>92</v>
      </c>
      <c r="D152" s="222">
        <v>0.0061</v>
      </c>
      <c r="E152" s="172" t="s">
        <v>93</v>
      </c>
      <c r="F152" s="173">
        <v>0.0184</v>
      </c>
      <c r="G152" s="174">
        <v>-0.0632</v>
      </c>
      <c r="H152" s="174">
        <v>0.007</v>
      </c>
      <c r="I152" s="174"/>
      <c r="J152" s="32"/>
      <c r="K152" s="32"/>
      <c r="L152" s="32"/>
      <c r="M152" s="29"/>
      <c r="N152" s="231"/>
      <c r="Q152" s="244"/>
      <c r="R152" s="207">
        <f ca="1" t="shared" si="12"/>
        <v>0.39622641509434</v>
      </c>
      <c r="S152" s="194">
        <f ca="1">VLOOKUP(INDIRECT("A"&amp;ROW()),收益表!$A$16:$U$10014,20,0)</f>
        <v>53</v>
      </c>
      <c r="T152" s="194">
        <f ca="1">VLOOKUP(INDIRECT("A"&amp;ROW()),收益表!$A$16:$U$10014,21,0)</f>
        <v>21</v>
      </c>
      <c r="U152" s="251" t="s">
        <v>221</v>
      </c>
      <c r="V152" s="252"/>
      <c r="W152" s="252"/>
      <c r="X152" s="253"/>
    </row>
    <row r="153" spans="1:24">
      <c r="A153" s="101">
        <v>45707</v>
      </c>
      <c r="B153" s="170" t="s">
        <v>222</v>
      </c>
      <c r="C153" s="170" t="s">
        <v>102</v>
      </c>
      <c r="D153" s="222">
        <v>-0.0084</v>
      </c>
      <c r="E153" s="172">
        <v>-0.0028</v>
      </c>
      <c r="F153" s="173">
        <v>0.0622</v>
      </c>
      <c r="G153" s="174">
        <v>-0.0346</v>
      </c>
      <c r="H153" s="174">
        <v>-0.0703</v>
      </c>
      <c r="I153" s="228"/>
      <c r="J153" s="60">
        <f>AVERAGE(E153:E156)</f>
        <v>0.01835</v>
      </c>
      <c r="K153" s="60">
        <f>(1+J153)*K147</f>
        <v>2.34072728830213</v>
      </c>
      <c r="L153" s="51"/>
      <c r="M153" s="52"/>
      <c r="N153" s="231"/>
      <c r="Q153" s="244"/>
      <c r="R153" s="199">
        <f ca="1" t="shared" si="12"/>
        <v>0.0333333333333333</v>
      </c>
      <c r="S153" s="200">
        <f ca="1">VLOOKUP(INDIRECT("A"&amp;ROW()),收益表!$A$16:$U$10014,20,0)</f>
        <v>120</v>
      </c>
      <c r="T153" s="200">
        <f ca="1">VLOOKUP(INDIRECT("A"&amp;ROW()),收益表!$A$16:$U$10014,21,0)</f>
        <v>4</v>
      </c>
      <c r="U153" s="245"/>
      <c r="V153" s="246"/>
      <c r="W153" s="246"/>
      <c r="X153" s="247"/>
    </row>
    <row r="154" spans="1:24">
      <c r="A154" s="102"/>
      <c r="B154" s="170" t="s">
        <v>223</v>
      </c>
      <c r="C154" s="170" t="s">
        <v>102</v>
      </c>
      <c r="D154" s="222">
        <v>-0.056</v>
      </c>
      <c r="E154" s="172">
        <v>0.0441</v>
      </c>
      <c r="F154" s="173">
        <v>-0.0189</v>
      </c>
      <c r="G154" s="174">
        <v>-0.0089</v>
      </c>
      <c r="H154" s="174">
        <v>-0.0195</v>
      </c>
      <c r="I154" s="232"/>
      <c r="J154" s="62"/>
      <c r="K154" s="62"/>
      <c r="L154" s="233"/>
      <c r="M154" s="234"/>
      <c r="N154" s="231"/>
      <c r="Q154" s="244"/>
      <c r="R154" s="206"/>
      <c r="S154" s="204"/>
      <c r="T154" s="204"/>
      <c r="U154" s="245"/>
      <c r="V154" s="246"/>
      <c r="W154" s="246"/>
      <c r="X154" s="247"/>
    </row>
    <row r="155" spans="1:24">
      <c r="A155" s="102"/>
      <c r="B155" s="170" t="s">
        <v>224</v>
      </c>
      <c r="C155" s="170" t="s">
        <v>102</v>
      </c>
      <c r="D155" s="222">
        <v>0.0366</v>
      </c>
      <c r="E155" s="172">
        <v>-0.0307</v>
      </c>
      <c r="F155" s="173">
        <v>0.0336</v>
      </c>
      <c r="G155" s="174">
        <v>-0.028</v>
      </c>
      <c r="H155" s="174">
        <v>-0.0446</v>
      </c>
      <c r="I155" s="232"/>
      <c r="J155" s="62"/>
      <c r="K155" s="62"/>
      <c r="L155" s="233"/>
      <c r="M155" s="234"/>
      <c r="N155" s="231"/>
      <c r="Q155" s="244"/>
      <c r="R155" s="206"/>
      <c r="S155" s="204"/>
      <c r="T155" s="204"/>
      <c r="U155" s="245"/>
      <c r="V155" s="246"/>
      <c r="W155" s="246"/>
      <c r="X155" s="247"/>
    </row>
    <row r="156" spans="1:24">
      <c r="A156" s="104"/>
      <c r="B156" s="170" t="s">
        <v>225</v>
      </c>
      <c r="C156" s="170" t="s">
        <v>102</v>
      </c>
      <c r="D156" s="171">
        <v>-0.0212</v>
      </c>
      <c r="E156" s="172">
        <v>0.0628</v>
      </c>
      <c r="F156" s="173">
        <v>-0.0131</v>
      </c>
      <c r="G156" s="174" t="s">
        <v>96</v>
      </c>
      <c r="H156" s="174" t="s">
        <v>96</v>
      </c>
      <c r="I156" s="227"/>
      <c r="J156" s="65"/>
      <c r="K156" s="65"/>
      <c r="L156" s="73"/>
      <c r="M156" s="74"/>
      <c r="N156" s="231"/>
      <c r="Q156" s="244"/>
      <c r="R156" s="201"/>
      <c r="S156" s="189"/>
      <c r="T156" s="189"/>
      <c r="U156" s="245"/>
      <c r="V156" s="246"/>
      <c r="W156" s="246"/>
      <c r="X156" s="247"/>
    </row>
    <row r="157" spans="1:24">
      <c r="A157" s="102">
        <v>45708</v>
      </c>
      <c r="B157" s="170" t="s">
        <v>226</v>
      </c>
      <c r="C157" s="170" t="s">
        <v>102</v>
      </c>
      <c r="D157" s="171">
        <v>0.0205</v>
      </c>
      <c r="E157" s="172" t="s">
        <v>96</v>
      </c>
      <c r="F157" s="173">
        <v>-0.0639</v>
      </c>
      <c r="G157" s="174" t="s">
        <v>96</v>
      </c>
      <c r="H157" s="174" t="s">
        <v>96</v>
      </c>
      <c r="I157" s="228"/>
      <c r="J157" s="60">
        <v>0.0178</v>
      </c>
      <c r="K157" s="60">
        <f>(1+J157)*K153</f>
        <v>2.38239223403391</v>
      </c>
      <c r="L157" s="60">
        <v>0.0178</v>
      </c>
      <c r="M157" s="61">
        <f>(1+L157)*M147</f>
        <v>3.8105572199976</v>
      </c>
      <c r="N157" s="231"/>
      <c r="Q157" s="244"/>
      <c r="R157" s="199">
        <f ca="1">T157/S157</f>
        <v>0.00934579439252336</v>
      </c>
      <c r="S157" s="200">
        <f ca="1">VLOOKUP(INDIRECT("A"&amp;ROW()),收益表!$A$16:$U$10014,20,0)</f>
        <v>107</v>
      </c>
      <c r="T157" s="200">
        <f ca="1">VLOOKUP(INDIRECT("A"&amp;ROW()),收益表!$A$16:$U$10014,21,0)</f>
        <v>1</v>
      </c>
      <c r="U157" s="245"/>
      <c r="V157" s="246"/>
      <c r="W157" s="246"/>
      <c r="X157" s="247"/>
    </row>
    <row r="158" spans="1:24">
      <c r="A158" s="102"/>
      <c r="B158" s="170" t="s">
        <v>227</v>
      </c>
      <c r="C158" s="170" t="s">
        <v>102</v>
      </c>
      <c r="D158" s="171">
        <v>-0.0352</v>
      </c>
      <c r="E158" s="172">
        <v>-0.0602</v>
      </c>
      <c r="F158" s="173">
        <v>-0.0187</v>
      </c>
      <c r="G158" s="174">
        <v>-0.0245</v>
      </c>
      <c r="H158" s="174">
        <v>-0.0139</v>
      </c>
      <c r="I158" s="227"/>
      <c r="J158" s="65"/>
      <c r="K158" s="65"/>
      <c r="L158" s="65"/>
      <c r="M158" s="66"/>
      <c r="N158" s="231"/>
      <c r="Q158" s="244"/>
      <c r="R158" s="201"/>
      <c r="S158" s="189"/>
      <c r="T158" s="189"/>
      <c r="U158" s="245"/>
      <c r="V158" s="246"/>
      <c r="W158" s="246"/>
      <c r="X158" s="247"/>
    </row>
    <row r="159" spans="1:24">
      <c r="A159" s="114">
        <v>45709</v>
      </c>
      <c r="B159" s="170"/>
      <c r="C159" s="170"/>
      <c r="D159" s="171"/>
      <c r="E159" s="172"/>
      <c r="F159" s="173"/>
      <c r="G159" s="174"/>
      <c r="H159" s="174"/>
      <c r="I159" s="174"/>
      <c r="J159" s="32"/>
      <c r="K159" s="32"/>
      <c r="L159" s="32"/>
      <c r="M159" s="29"/>
      <c r="N159" s="231"/>
      <c r="Q159" s="244"/>
      <c r="R159" s="195">
        <f ca="1">T159/S159</f>
        <v>0.0336134453781513</v>
      </c>
      <c r="S159" s="194">
        <f ca="1">VLOOKUP(INDIRECT("A"&amp;ROW()),收益表!$A$16:$U$10014,20,0)</f>
        <v>119</v>
      </c>
      <c r="T159" s="194">
        <f ca="1">VLOOKUP(INDIRECT("A"&amp;ROW()),收益表!$A$16:$U$10014,21,0)</f>
        <v>4</v>
      </c>
      <c r="U159" s="245"/>
      <c r="V159" s="246"/>
      <c r="W159" s="246"/>
      <c r="X159" s="247"/>
    </row>
    <row r="160" spans="1:24">
      <c r="A160" s="101">
        <v>45712</v>
      </c>
      <c r="B160" s="170" t="s">
        <v>228</v>
      </c>
      <c r="C160" s="170" t="s">
        <v>102</v>
      </c>
      <c r="D160" s="171">
        <v>0.0833</v>
      </c>
      <c r="E160" s="172">
        <v>0.0314</v>
      </c>
      <c r="F160" s="173">
        <v>-0.0659</v>
      </c>
      <c r="G160" s="174">
        <v>0.007</v>
      </c>
      <c r="H160" s="174">
        <v>-0.0462</v>
      </c>
      <c r="I160" s="174"/>
      <c r="J160" s="34">
        <v>0.0314</v>
      </c>
      <c r="K160" s="34">
        <f>(1+J160)*K157</f>
        <v>2.45719935018257</v>
      </c>
      <c r="L160" s="34">
        <v>0.0314</v>
      </c>
      <c r="M160" s="41">
        <f>(1+L160)*M157</f>
        <v>3.93020871670552</v>
      </c>
      <c r="N160" s="231"/>
      <c r="Q160" s="244"/>
      <c r="R160" s="199">
        <f ca="1" t="shared" ref="R160:R165" si="13">T160/S160</f>
        <v>0.197802197802198</v>
      </c>
      <c r="S160" s="200">
        <f ca="1">VLOOKUP(INDIRECT("A"&amp;ROW()),收益表!$A$16:$U$10014,20,0)</f>
        <v>91</v>
      </c>
      <c r="T160" s="200">
        <f ca="1">VLOOKUP(INDIRECT("A"&amp;ROW()),收益表!$A$16:$U$10014,21,0)</f>
        <v>18</v>
      </c>
      <c r="U160" s="245"/>
      <c r="V160" s="246"/>
      <c r="W160" s="246"/>
      <c r="X160" s="247"/>
    </row>
    <row r="161" spans="1:24">
      <c r="A161" s="104"/>
      <c r="B161" s="213" t="s">
        <v>229</v>
      </c>
      <c r="C161" s="170" t="s">
        <v>92</v>
      </c>
      <c r="D161" s="171">
        <v>0.0942</v>
      </c>
      <c r="E161" s="172" t="s">
        <v>93</v>
      </c>
      <c r="F161" s="173">
        <v>-0.0756</v>
      </c>
      <c r="G161" s="174">
        <v>0.0108</v>
      </c>
      <c r="H161" s="223">
        <v>-6.39</v>
      </c>
      <c r="I161" s="223"/>
      <c r="J161" s="34"/>
      <c r="K161" s="34"/>
      <c r="L161" s="34"/>
      <c r="M161" s="41"/>
      <c r="N161" s="231"/>
      <c r="Q161" s="244"/>
      <c r="R161" s="201"/>
      <c r="S161" s="189"/>
      <c r="T161" s="189"/>
      <c r="U161" s="245"/>
      <c r="V161" s="246"/>
      <c r="W161" s="246"/>
      <c r="X161" s="247"/>
    </row>
    <row r="162" spans="1:24">
      <c r="A162" s="75">
        <v>45713</v>
      </c>
      <c r="B162" s="170"/>
      <c r="C162" s="170"/>
      <c r="D162" s="171"/>
      <c r="E162" s="172"/>
      <c r="F162" s="173"/>
      <c r="G162" s="174"/>
      <c r="H162" s="174"/>
      <c r="I162" s="174"/>
      <c r="J162" s="32"/>
      <c r="K162" s="32"/>
      <c r="L162" s="32"/>
      <c r="M162" s="29"/>
      <c r="N162" s="231"/>
      <c r="Q162" s="244"/>
      <c r="R162" s="195">
        <f ca="1" t="shared" si="13"/>
        <v>0.107692307692308</v>
      </c>
      <c r="S162" s="194">
        <f ca="1">VLOOKUP(INDIRECT("A"&amp;ROW()),收益表!$A$16:$U$10014,20,0)</f>
        <v>65</v>
      </c>
      <c r="T162" s="194">
        <f ca="1">VLOOKUP(INDIRECT("A"&amp;ROW()),收益表!$A$16:$U$10014,21,0)</f>
        <v>7</v>
      </c>
      <c r="U162" s="245"/>
      <c r="V162" s="246"/>
      <c r="W162" s="246"/>
      <c r="X162" s="247"/>
    </row>
    <row r="163" spans="1:24">
      <c r="A163" s="101">
        <v>45714</v>
      </c>
      <c r="B163" s="170" t="s">
        <v>230</v>
      </c>
      <c r="C163" s="170" t="s">
        <v>102</v>
      </c>
      <c r="D163" s="171">
        <v>0.0782</v>
      </c>
      <c r="E163" s="172">
        <v>-0.0448</v>
      </c>
      <c r="F163" s="173">
        <v>-0.0916</v>
      </c>
      <c r="G163" s="174" t="s">
        <v>93</v>
      </c>
      <c r="H163" s="174">
        <v>-0.0276</v>
      </c>
      <c r="I163" s="228"/>
      <c r="J163" s="120">
        <v>-0.0218</v>
      </c>
      <c r="K163" s="120">
        <f>(1+J163)*K160</f>
        <v>2.40363240434859</v>
      </c>
      <c r="L163" s="120">
        <v>-0.0218</v>
      </c>
      <c r="M163" s="235">
        <f>(1+L163)*M160</f>
        <v>3.84453016668134</v>
      </c>
      <c r="N163" s="231"/>
      <c r="Q163" s="244"/>
      <c r="R163" s="199">
        <f ca="1" t="shared" si="13"/>
        <v>0.0277777777777778</v>
      </c>
      <c r="S163" s="200">
        <f ca="1">VLOOKUP(INDIRECT("A"&amp;ROW()),收益表!$A$16:$U$10014,20,0)</f>
        <v>108</v>
      </c>
      <c r="T163" s="200">
        <f ca="1">VLOOKUP(INDIRECT("A"&amp;ROW()),收益表!$A$16:$U$10014,21,0)</f>
        <v>3</v>
      </c>
      <c r="U163" s="245"/>
      <c r="V163" s="246"/>
      <c r="W163" s="246"/>
      <c r="X163" s="247"/>
    </row>
    <row r="164" spans="1:24">
      <c r="A164" s="104"/>
      <c r="B164" s="170" t="s">
        <v>231</v>
      </c>
      <c r="C164" s="170" t="s">
        <v>102</v>
      </c>
      <c r="D164" s="171">
        <v>-0.0659</v>
      </c>
      <c r="E164" s="172">
        <v>0.0013</v>
      </c>
      <c r="F164" s="173">
        <v>-0.0615</v>
      </c>
      <c r="G164" s="174">
        <v>-0.0559</v>
      </c>
      <c r="H164" s="174">
        <v>-0.0173</v>
      </c>
      <c r="I164" s="227"/>
      <c r="J164" s="121"/>
      <c r="K164" s="121"/>
      <c r="L164" s="121"/>
      <c r="M164" s="236"/>
      <c r="N164" s="231"/>
      <c r="Q164" s="244"/>
      <c r="R164" s="201"/>
      <c r="S164" s="189"/>
      <c r="T164" s="189"/>
      <c r="U164" s="245"/>
      <c r="V164" s="246"/>
      <c r="W164" s="246"/>
      <c r="X164" s="247"/>
    </row>
    <row r="165" spans="1:24">
      <c r="A165" s="77">
        <v>45715</v>
      </c>
      <c r="B165" s="170" t="s">
        <v>232</v>
      </c>
      <c r="C165" s="170" t="s">
        <v>95</v>
      </c>
      <c r="D165" s="171">
        <v>0.0682</v>
      </c>
      <c r="E165" s="172">
        <v>-0.0877</v>
      </c>
      <c r="F165" s="173">
        <v>-0.0135</v>
      </c>
      <c r="G165" s="174">
        <v>-0.0128</v>
      </c>
      <c r="H165" s="174">
        <v>0.0026</v>
      </c>
      <c r="I165" s="174"/>
      <c r="J165" s="100">
        <v>-0.0877</v>
      </c>
      <c r="K165" s="100">
        <f>(1+J165)*K163</f>
        <v>2.19283384248722</v>
      </c>
      <c r="L165" s="100">
        <v>-0.0877</v>
      </c>
      <c r="M165" s="68">
        <f>(1+L165)*M163</f>
        <v>3.50736487106339</v>
      </c>
      <c r="N165" s="231"/>
      <c r="Q165" s="244"/>
      <c r="R165" s="195">
        <f ca="1" t="shared" si="13"/>
        <v>0.133333333333333</v>
      </c>
      <c r="S165" s="194">
        <f ca="1">VLOOKUP(INDIRECT("A"&amp;ROW()),收益表!$A$16:$U$10014,20,0)</f>
        <v>90</v>
      </c>
      <c r="T165" s="194">
        <f ca="1">VLOOKUP(INDIRECT("A"&amp;ROW()),收益表!$A$16:$U$10014,21,0)</f>
        <v>12</v>
      </c>
      <c r="U165" s="245"/>
      <c r="V165" s="246"/>
      <c r="W165" s="246"/>
      <c r="X165" s="247"/>
    </row>
    <row r="166" ht="16.5" spans="1:24">
      <c r="A166" s="114">
        <v>45716</v>
      </c>
      <c r="B166" s="170"/>
      <c r="C166" s="170"/>
      <c r="D166" s="171"/>
      <c r="E166" s="172"/>
      <c r="F166" s="173"/>
      <c r="G166" s="174"/>
      <c r="H166" s="174"/>
      <c r="I166" s="174"/>
      <c r="J166" s="32"/>
      <c r="K166" s="32"/>
      <c r="L166" s="32"/>
      <c r="M166" s="29"/>
      <c r="N166" s="237"/>
      <c r="O166" s="238"/>
      <c r="P166" s="238"/>
      <c r="Q166" s="254"/>
      <c r="R166" s="207">
        <f ca="1" t="shared" ref="R166:R173" si="14">T166/S166</f>
        <v>0.839285714285714</v>
      </c>
      <c r="S166" s="194">
        <f ca="1">VLOOKUP(INDIRECT("A"&amp;ROW()),收益表!$A$16:$U$10014,20,0)</f>
        <v>56</v>
      </c>
      <c r="T166" s="194">
        <f ca="1">VLOOKUP(INDIRECT("A"&amp;ROW()),收益表!$A$16:$U$10014,21,0)</f>
        <v>47</v>
      </c>
      <c r="U166" s="245"/>
      <c r="V166" s="246"/>
      <c r="W166" s="246"/>
      <c r="X166" s="247"/>
    </row>
    <row r="167" ht="16.5" spans="1:24">
      <c r="A167" s="114">
        <v>45719</v>
      </c>
      <c r="B167" s="170"/>
      <c r="C167" s="170"/>
      <c r="D167" s="171"/>
      <c r="E167" s="172"/>
      <c r="F167" s="173"/>
      <c r="G167" s="174"/>
      <c r="H167" s="174"/>
      <c r="I167" s="174"/>
      <c r="J167" s="32"/>
      <c r="K167" s="32"/>
      <c r="L167" s="32"/>
      <c r="M167" s="29"/>
      <c r="R167" s="207">
        <f ca="1" t="shared" si="14"/>
        <v>0.485714285714286</v>
      </c>
      <c r="S167" s="194">
        <f ca="1">VLOOKUP(INDIRECT("A"&amp;ROW()),收益表!$A$16:$U$10014,20,0)</f>
        <v>70</v>
      </c>
      <c r="T167" s="194">
        <f ca="1">VLOOKUP(INDIRECT("A"&amp;ROW()),收益表!$A$16:$U$10014,21,0)</f>
        <v>34</v>
      </c>
      <c r="U167" s="245"/>
      <c r="V167" s="246"/>
      <c r="W167" s="246"/>
      <c r="X167" s="247"/>
    </row>
    <row r="168" spans="1:24">
      <c r="A168" s="101">
        <v>45720</v>
      </c>
      <c r="B168" s="213" t="s">
        <v>233</v>
      </c>
      <c r="C168" s="170" t="s">
        <v>92</v>
      </c>
      <c r="D168" s="171" t="s">
        <v>93</v>
      </c>
      <c r="E168" s="172">
        <v>-0.0781</v>
      </c>
      <c r="F168" s="173">
        <v>0.0367</v>
      </c>
      <c r="G168" s="174">
        <v>0.0374</v>
      </c>
      <c r="H168" s="174">
        <v>-0.0323</v>
      </c>
      <c r="I168" s="228"/>
      <c r="J168" s="51"/>
      <c r="K168" s="51"/>
      <c r="L168" s="51"/>
      <c r="M168" s="52"/>
      <c r="R168" s="195">
        <f ca="1" t="shared" si="14"/>
        <v>0.147727272727273</v>
      </c>
      <c r="S168" s="194">
        <f ca="1">VLOOKUP(INDIRECT("A"&amp;ROW()),收益表!$A$16:$U$10014,20,0)</f>
        <v>88</v>
      </c>
      <c r="T168" s="194">
        <f ca="1">VLOOKUP(INDIRECT("A"&amp;ROW()),收益表!$A$16:$U$10014,21,0)</f>
        <v>13</v>
      </c>
      <c r="U168" s="245"/>
      <c r="V168" s="246"/>
      <c r="W168" s="246"/>
      <c r="X168" s="247"/>
    </row>
    <row r="169" spans="1:24">
      <c r="A169" s="101">
        <v>45721</v>
      </c>
      <c r="B169" s="213" t="s">
        <v>234</v>
      </c>
      <c r="C169" s="170" t="s">
        <v>102</v>
      </c>
      <c r="D169" s="171">
        <v>-0.0653</v>
      </c>
      <c r="E169" s="172">
        <v>0.0127</v>
      </c>
      <c r="F169" s="173" t="s">
        <v>96</v>
      </c>
      <c r="G169" s="174">
        <v>-0.067</v>
      </c>
      <c r="H169" s="174">
        <v>0.0153</v>
      </c>
      <c r="I169" s="228"/>
      <c r="J169" s="120">
        <v>-0.0166</v>
      </c>
      <c r="K169" s="120">
        <f>(1+J169)*K165</f>
        <v>2.15643280070193</v>
      </c>
      <c r="L169" s="120">
        <v>-0.0166</v>
      </c>
      <c r="M169" s="235">
        <f>(1+L169)*M165</f>
        <v>3.44914261420374</v>
      </c>
      <c r="R169" s="199">
        <f ca="1" t="shared" si="14"/>
        <v>0.0857142857142857</v>
      </c>
      <c r="S169" s="200">
        <f ca="1">VLOOKUP(INDIRECT("A"&amp;ROW()),收益表!$A$16:$U$10014,20,0)</f>
        <v>70</v>
      </c>
      <c r="T169" s="200">
        <f ca="1">VLOOKUP(INDIRECT("A"&amp;ROW()),收益表!$A$16:$U$10014,21,0)</f>
        <v>6</v>
      </c>
      <c r="U169" s="245"/>
      <c r="V169" s="246"/>
      <c r="W169" s="246"/>
      <c r="X169" s="247"/>
    </row>
    <row r="170" spans="1:24">
      <c r="A170" s="104"/>
      <c r="B170" s="170" t="s">
        <v>235</v>
      </c>
      <c r="C170" s="170" t="s">
        <v>102</v>
      </c>
      <c r="D170" s="171">
        <v>-0.061</v>
      </c>
      <c r="E170" s="172">
        <v>-0.0459</v>
      </c>
      <c r="F170" s="173">
        <v>0.0124</v>
      </c>
      <c r="G170" s="174">
        <v>-0.05</v>
      </c>
      <c r="H170" s="174">
        <v>0.0147</v>
      </c>
      <c r="I170" s="227"/>
      <c r="J170" s="121"/>
      <c r="K170" s="121"/>
      <c r="L170" s="121"/>
      <c r="M170" s="236"/>
      <c r="R170" s="201"/>
      <c r="S170" s="189"/>
      <c r="T170" s="189"/>
      <c r="U170" s="245"/>
      <c r="V170" s="246"/>
      <c r="W170" s="246"/>
      <c r="X170" s="247"/>
    </row>
    <row r="171" spans="1:24">
      <c r="A171" s="77">
        <v>45722</v>
      </c>
      <c r="B171" s="170"/>
      <c r="C171" s="170"/>
      <c r="D171" s="171"/>
      <c r="E171" s="172"/>
      <c r="F171" s="173"/>
      <c r="G171" s="174"/>
      <c r="H171" s="174"/>
      <c r="I171" s="174"/>
      <c r="J171" s="100"/>
      <c r="K171" s="100"/>
      <c r="L171" s="100"/>
      <c r="M171" s="68"/>
      <c r="R171" s="195">
        <f ca="1" t="shared" si="14"/>
        <v>0.0423728813559322</v>
      </c>
      <c r="S171" s="194">
        <f ca="1">VLOOKUP(INDIRECT("A"&amp;ROW()),收益表!$A$16:$U$10014,20,0)</f>
        <v>118</v>
      </c>
      <c r="T171" s="194">
        <f ca="1">VLOOKUP(INDIRECT("A"&amp;ROW()),收益表!$A$16:$U$10014,21,0)</f>
        <v>5</v>
      </c>
      <c r="U171" s="245"/>
      <c r="V171" s="246"/>
      <c r="W171" s="246"/>
      <c r="X171" s="247"/>
    </row>
    <row r="172" spans="1:24">
      <c r="A172" s="117">
        <v>45723</v>
      </c>
      <c r="B172" s="170" t="s">
        <v>236</v>
      </c>
      <c r="C172" s="170" t="s">
        <v>90</v>
      </c>
      <c r="D172" s="171">
        <v>-0.0565</v>
      </c>
      <c r="E172" s="172">
        <v>-0.0785</v>
      </c>
      <c r="F172" s="173">
        <v>-0.003</v>
      </c>
      <c r="G172" s="174">
        <v>-0.0195</v>
      </c>
      <c r="H172" s="174">
        <v>0.0084</v>
      </c>
      <c r="I172" s="174"/>
      <c r="J172" s="100">
        <v>-0.0785</v>
      </c>
      <c r="K172" s="100">
        <f>(1+J172)*K169</f>
        <v>1.98715282584683</v>
      </c>
      <c r="L172" s="100"/>
      <c r="M172" s="68"/>
      <c r="R172" s="207">
        <f ca="1" t="shared" si="14"/>
        <v>0.193548387096774</v>
      </c>
      <c r="S172" s="194">
        <f ca="1">VLOOKUP(INDIRECT("A"&amp;ROW()),收益表!$A$16:$U$10014,20,0)</f>
        <v>62</v>
      </c>
      <c r="T172" s="194">
        <f ca="1">VLOOKUP(INDIRECT("A"&amp;ROW()),收益表!$A$16:$U$10014,21,0)</f>
        <v>12</v>
      </c>
      <c r="U172" s="245"/>
      <c r="V172" s="246"/>
      <c r="W172" s="246"/>
      <c r="X172" s="247"/>
    </row>
    <row r="173" spans="1:24">
      <c r="A173" s="224">
        <v>45726</v>
      </c>
      <c r="B173" s="170" t="s">
        <v>237</v>
      </c>
      <c r="C173" s="170" t="s">
        <v>100</v>
      </c>
      <c r="D173" s="171">
        <v>0.0819</v>
      </c>
      <c r="E173" s="172">
        <v>-0.037</v>
      </c>
      <c r="F173" s="173">
        <v>-0.0089</v>
      </c>
      <c r="G173" s="174">
        <v>0.0351</v>
      </c>
      <c r="H173" s="174">
        <v>-0.0601</v>
      </c>
      <c r="I173" s="228"/>
      <c r="J173" s="120">
        <v>-0.015</v>
      </c>
      <c r="K173" s="120">
        <f>(1+J173)*K172</f>
        <v>1.95734553345913</v>
      </c>
      <c r="L173" s="120"/>
      <c r="M173" s="52"/>
      <c r="R173" s="199">
        <f ca="1" t="shared" si="14"/>
        <v>0.0860215053763441</v>
      </c>
      <c r="S173" s="200">
        <f ca="1">VLOOKUP(INDIRECT("A"&amp;ROW()),收益表!$A$16:$U$10014,20,0)</f>
        <v>93</v>
      </c>
      <c r="T173" s="200">
        <f ca="1">VLOOKUP(INDIRECT("A"&amp;ROW()),收益表!$A$16:$U$10014,21,0)</f>
        <v>8</v>
      </c>
      <c r="U173" s="245"/>
      <c r="V173" s="246"/>
      <c r="W173" s="246"/>
      <c r="X173" s="247"/>
    </row>
    <row r="174" spans="1:24">
      <c r="A174" s="225"/>
      <c r="B174" s="170" t="s">
        <v>238</v>
      </c>
      <c r="C174" s="170" t="s">
        <v>92</v>
      </c>
      <c r="D174" s="171">
        <v>-0.0288</v>
      </c>
      <c r="E174" s="172" t="s">
        <v>96</v>
      </c>
      <c r="F174" s="173" t="s">
        <v>96</v>
      </c>
      <c r="G174" s="174">
        <v>-0.03145</v>
      </c>
      <c r="H174" s="174">
        <v>-0.006</v>
      </c>
      <c r="I174" s="232"/>
      <c r="J174" s="239"/>
      <c r="K174" s="239"/>
      <c r="L174" s="239"/>
      <c r="M174" s="234"/>
      <c r="R174" s="206"/>
      <c r="S174" s="204"/>
      <c r="T174" s="204"/>
      <c r="U174" s="245"/>
      <c r="V174" s="246"/>
      <c r="W174" s="246"/>
      <c r="X174" s="247"/>
    </row>
    <row r="175" spans="1:24">
      <c r="A175" s="226"/>
      <c r="B175" s="170" t="s">
        <v>239</v>
      </c>
      <c r="C175" s="170" t="s">
        <v>100</v>
      </c>
      <c r="D175" s="171">
        <v>-0.0453</v>
      </c>
      <c r="E175" s="172">
        <v>0.0071</v>
      </c>
      <c r="F175" s="173">
        <v>0.0188</v>
      </c>
      <c r="G175" s="174">
        <v>0.03822</v>
      </c>
      <c r="H175" s="174">
        <v>0.0145</v>
      </c>
      <c r="I175" s="227"/>
      <c r="J175" s="121"/>
      <c r="K175" s="121"/>
      <c r="L175" s="121"/>
      <c r="M175" s="74"/>
      <c r="R175" s="201"/>
      <c r="S175" s="189"/>
      <c r="T175" s="189"/>
      <c r="U175" s="245"/>
      <c r="V175" s="246"/>
      <c r="W175" s="246"/>
      <c r="X175" s="247"/>
    </row>
    <row r="176" spans="1:24">
      <c r="A176" s="225">
        <v>45727</v>
      </c>
      <c r="B176" s="170" t="s">
        <v>240</v>
      </c>
      <c r="C176" s="170" t="s">
        <v>102</v>
      </c>
      <c r="D176" s="171">
        <v>-0.0981</v>
      </c>
      <c r="E176" s="172">
        <v>-0.0069</v>
      </c>
      <c r="F176" s="173">
        <v>0.0713</v>
      </c>
      <c r="G176" s="174">
        <v>-0.0406</v>
      </c>
      <c r="H176" s="174">
        <v>-0.0203</v>
      </c>
      <c r="I176" s="228"/>
      <c r="J176" s="60">
        <v>0.0125</v>
      </c>
      <c r="K176" s="60">
        <f>(1+J176)*K173</f>
        <v>1.98181235262737</v>
      </c>
      <c r="L176" s="60"/>
      <c r="M176" s="61"/>
      <c r="R176" s="199">
        <f ca="1">T176/S176</f>
        <v>0.0757575757575758</v>
      </c>
      <c r="S176" s="200">
        <f ca="1">VLOOKUP(INDIRECT("A"&amp;ROW()),收益表!$A$16:$U$10014,20,0)</f>
        <v>66</v>
      </c>
      <c r="T176" s="200">
        <f ca="1">VLOOKUP(INDIRECT("A"&amp;ROW()),收益表!$A$16:$U$10014,21,0)</f>
        <v>5</v>
      </c>
      <c r="U176" s="245"/>
      <c r="V176" s="246"/>
      <c r="W176" s="246"/>
      <c r="X176" s="247"/>
    </row>
    <row r="177" spans="1:24">
      <c r="A177" s="226"/>
      <c r="B177" s="170" t="s">
        <v>241</v>
      </c>
      <c r="C177" s="170" t="s">
        <v>90</v>
      </c>
      <c r="D177" s="171">
        <v>0.0225</v>
      </c>
      <c r="E177" s="172">
        <v>0.0328</v>
      </c>
      <c r="F177" s="173">
        <v>0</v>
      </c>
      <c r="G177" s="174" t="s">
        <v>93</v>
      </c>
      <c r="H177" s="174">
        <v>-0.0413</v>
      </c>
      <c r="I177" s="227"/>
      <c r="J177" s="65"/>
      <c r="K177" s="65"/>
      <c r="L177" s="65"/>
      <c r="M177" s="66"/>
      <c r="R177" s="201"/>
      <c r="S177" s="189"/>
      <c r="T177" s="189"/>
      <c r="U177" s="245"/>
      <c r="V177" s="246"/>
      <c r="W177" s="246"/>
      <c r="X177" s="247"/>
    </row>
    <row r="178" spans="1:24">
      <c r="A178" s="119">
        <v>45728</v>
      </c>
      <c r="B178" s="170" t="s">
        <v>242</v>
      </c>
      <c r="C178" s="170" t="s">
        <v>100</v>
      </c>
      <c r="D178" s="171">
        <v>-0.048</v>
      </c>
      <c r="E178" s="172">
        <v>-0.0132</v>
      </c>
      <c r="F178" s="173">
        <v>0.0267</v>
      </c>
      <c r="G178" s="174" t="s">
        <v>96</v>
      </c>
      <c r="H178" s="174" t="s">
        <v>96</v>
      </c>
      <c r="I178" s="174"/>
      <c r="J178" s="100">
        <v>-0.0132</v>
      </c>
      <c r="K178" s="100">
        <f>(1+J178)*K176</f>
        <v>1.95565242957269</v>
      </c>
      <c r="L178" s="100">
        <v>-0.0132</v>
      </c>
      <c r="M178" s="68">
        <f>(1+L178)*M169</f>
        <v>3.40361393169625</v>
      </c>
      <c r="R178" s="195">
        <f ca="1" t="shared" ref="R178:R183" si="15">T178/S178</f>
        <v>0.0212765957446809</v>
      </c>
      <c r="S178" s="194">
        <f ca="1">VLOOKUP(INDIRECT("A"&amp;ROW()),收益表!$A$16:$U$10014,20,0)</f>
        <v>94</v>
      </c>
      <c r="T178" s="194">
        <f ca="1">VLOOKUP(INDIRECT("A"&amp;ROW()),收益表!$A$16:$U$10014,21,0)</f>
        <v>2</v>
      </c>
      <c r="U178" s="245"/>
      <c r="V178" s="246"/>
      <c r="W178" s="246"/>
      <c r="X178" s="247"/>
    </row>
    <row r="179" spans="1:24">
      <c r="A179" s="75">
        <v>45729</v>
      </c>
      <c r="B179" s="170"/>
      <c r="C179" s="170"/>
      <c r="D179" s="171"/>
      <c r="E179" s="172"/>
      <c r="F179" s="173"/>
      <c r="G179" s="174"/>
      <c r="H179" s="174"/>
      <c r="I179" s="174"/>
      <c r="J179" s="100"/>
      <c r="K179" s="100"/>
      <c r="L179" s="32"/>
      <c r="M179" s="29"/>
      <c r="R179" s="207">
        <f ca="1" t="shared" si="15"/>
        <v>0.245614035087719</v>
      </c>
      <c r="S179" s="194">
        <f ca="1">VLOOKUP(INDIRECT("A"&amp;ROW()),收益表!$A$16:$U$10014,20,0)</f>
        <v>57</v>
      </c>
      <c r="T179" s="194">
        <f ca="1">VLOOKUP(INDIRECT("A"&amp;ROW()),收益表!$A$16:$U$10014,21,0)</f>
        <v>14</v>
      </c>
      <c r="U179" s="245"/>
      <c r="V179" s="246"/>
      <c r="W179" s="246"/>
      <c r="X179" s="247"/>
    </row>
    <row r="180" spans="1:24">
      <c r="A180" s="117">
        <v>45730</v>
      </c>
      <c r="B180" s="170" t="s">
        <v>243</v>
      </c>
      <c r="C180" s="170" t="s">
        <v>92</v>
      </c>
      <c r="D180" s="171" t="s">
        <v>93</v>
      </c>
      <c r="E180" s="172">
        <v>0.0341</v>
      </c>
      <c r="F180" s="173">
        <v>-0.0447</v>
      </c>
      <c r="G180" s="174">
        <v>-0.0081</v>
      </c>
      <c r="H180" s="174">
        <v>0.0154</v>
      </c>
      <c r="I180" s="174"/>
      <c r="J180" s="100"/>
      <c r="K180" s="100"/>
      <c r="L180" s="32"/>
      <c r="M180" s="29"/>
      <c r="R180" s="195">
        <f ca="1" t="shared" si="15"/>
        <v>0.0625</v>
      </c>
      <c r="S180" s="194">
        <f ca="1">VLOOKUP(INDIRECT("A"&amp;ROW()),收益表!$A$16:$U$10014,20,0)</f>
        <v>96</v>
      </c>
      <c r="T180" s="194">
        <f ca="1">VLOOKUP(INDIRECT("A"&amp;ROW()),收益表!$A$16:$U$10014,21,0)</f>
        <v>6</v>
      </c>
      <c r="U180" s="245"/>
      <c r="V180" s="246"/>
      <c r="W180" s="246"/>
      <c r="X180" s="247"/>
    </row>
    <row r="181" spans="1:24">
      <c r="A181" s="75">
        <v>45733</v>
      </c>
      <c r="B181" s="170"/>
      <c r="C181" s="170"/>
      <c r="D181" s="171"/>
      <c r="E181" s="172"/>
      <c r="F181" s="173"/>
      <c r="G181" s="174"/>
      <c r="H181" s="174"/>
      <c r="I181" s="174"/>
      <c r="J181" s="100"/>
      <c r="K181" s="100"/>
      <c r="L181" s="32"/>
      <c r="M181" s="29"/>
      <c r="R181" s="195">
        <f ca="1" t="shared" si="15"/>
        <v>0.130952380952381</v>
      </c>
      <c r="S181" s="194">
        <f ca="1">VLOOKUP(INDIRECT("A"&amp;ROW()),收益表!$A$16:$U$10014,20,0)</f>
        <v>84</v>
      </c>
      <c r="T181" s="194">
        <f ca="1">VLOOKUP(INDIRECT("A"&amp;ROW()),收益表!$A$16:$U$10014,21,0)</f>
        <v>11</v>
      </c>
      <c r="U181" s="245"/>
      <c r="V181" s="246"/>
      <c r="W181" s="246"/>
      <c r="X181" s="247"/>
    </row>
    <row r="182" spans="1:24">
      <c r="A182" s="75">
        <v>45734</v>
      </c>
      <c r="B182" s="170"/>
      <c r="C182" s="170"/>
      <c r="D182" s="171"/>
      <c r="E182" s="172"/>
      <c r="F182" s="173"/>
      <c r="G182" s="174"/>
      <c r="H182" s="174"/>
      <c r="I182" s="174"/>
      <c r="J182" s="100"/>
      <c r="K182" s="100"/>
      <c r="L182" s="32"/>
      <c r="M182" s="29"/>
      <c r="R182" s="207">
        <f ca="1" t="shared" si="15"/>
        <v>0.141025641025641</v>
      </c>
      <c r="S182" s="194">
        <f ca="1">VLOOKUP(INDIRECT("A"&amp;ROW()),收益表!$A$16:$U$10014,20,0)</f>
        <v>78</v>
      </c>
      <c r="T182" s="194">
        <f ca="1">VLOOKUP(INDIRECT("A"&amp;ROW()),收益表!$A$16:$U$10014,21,0)</f>
        <v>11</v>
      </c>
      <c r="U182" s="245"/>
      <c r="V182" s="246"/>
      <c r="W182" s="246"/>
      <c r="X182" s="247"/>
    </row>
    <row r="183" spans="1:24">
      <c r="A183" s="101">
        <v>45735</v>
      </c>
      <c r="B183" s="170" t="s">
        <v>244</v>
      </c>
      <c r="C183" s="170" t="s">
        <v>102</v>
      </c>
      <c r="D183" s="171">
        <v>0.005</v>
      </c>
      <c r="E183" s="172">
        <v>-0.0401</v>
      </c>
      <c r="F183" s="173">
        <v>0.0078</v>
      </c>
      <c r="G183" s="174">
        <v>-0.0544</v>
      </c>
      <c r="H183" s="174">
        <v>-0.0438</v>
      </c>
      <c r="I183" s="228"/>
      <c r="J183" s="120">
        <v>-0.026</v>
      </c>
      <c r="K183" s="120">
        <f>(1+J183)*K178</f>
        <v>1.9048054664038</v>
      </c>
      <c r="L183" s="51"/>
      <c r="M183" s="52"/>
      <c r="R183" s="202">
        <f ca="1" t="shared" si="15"/>
        <v>0.142857142857143</v>
      </c>
      <c r="S183" s="200">
        <f ca="1">VLOOKUP(INDIRECT("A"&amp;ROW()),收益表!$A$16:$U$10014,20,0)</f>
        <v>56</v>
      </c>
      <c r="T183" s="200">
        <f ca="1">VLOOKUP(INDIRECT("A"&amp;ROW()),收益表!$A$16:$U$10014,21,0)</f>
        <v>8</v>
      </c>
      <c r="U183" s="245"/>
      <c r="V183" s="246"/>
      <c r="W183" s="246"/>
      <c r="X183" s="247"/>
    </row>
    <row r="184" spans="1:24">
      <c r="A184" s="102"/>
      <c r="B184" s="213" t="s">
        <v>242</v>
      </c>
      <c r="C184" s="170" t="s">
        <v>92</v>
      </c>
      <c r="D184" s="171">
        <v>-0.0698</v>
      </c>
      <c r="E184" s="172">
        <v>-0.0885</v>
      </c>
      <c r="F184" s="173">
        <v>0.0084</v>
      </c>
      <c r="G184" s="174">
        <v>-0.0816</v>
      </c>
      <c r="H184" s="174">
        <v>0.0205</v>
      </c>
      <c r="I184" s="232"/>
      <c r="J184" s="239"/>
      <c r="K184" s="239"/>
      <c r="L184" s="233"/>
      <c r="M184" s="234"/>
      <c r="R184" s="203"/>
      <c r="S184" s="204"/>
      <c r="T184" s="204"/>
      <c r="U184" s="245"/>
      <c r="V184" s="246"/>
      <c r="W184" s="246"/>
      <c r="X184" s="247"/>
    </row>
    <row r="185" spans="1:24">
      <c r="A185" s="104"/>
      <c r="B185" s="170" t="s">
        <v>245</v>
      </c>
      <c r="C185" s="170" t="s">
        <v>102</v>
      </c>
      <c r="D185" s="171">
        <v>-0.0577</v>
      </c>
      <c r="E185" s="172">
        <v>-0.0122</v>
      </c>
      <c r="F185" s="173">
        <v>-0.0088</v>
      </c>
      <c r="G185" s="174">
        <v>-0.0339</v>
      </c>
      <c r="H185" s="174">
        <v>-0.0018</v>
      </c>
      <c r="I185" s="227"/>
      <c r="J185" s="121"/>
      <c r="K185" s="121"/>
      <c r="L185" s="73"/>
      <c r="M185" s="74"/>
      <c r="R185" s="205"/>
      <c r="S185" s="189"/>
      <c r="T185" s="189"/>
      <c r="U185" s="245"/>
      <c r="V185" s="246"/>
      <c r="W185" s="246"/>
      <c r="X185" s="247"/>
    </row>
    <row r="186" spans="1:24">
      <c r="A186" s="77">
        <v>45736</v>
      </c>
      <c r="B186" s="170" t="s">
        <v>246</v>
      </c>
      <c r="C186" s="170" t="s">
        <v>100</v>
      </c>
      <c r="D186" s="171">
        <v>0.0898</v>
      </c>
      <c r="E186" s="172">
        <v>0.0223</v>
      </c>
      <c r="F186" s="173">
        <v>0.0874</v>
      </c>
      <c r="G186" s="174" t="s">
        <v>96</v>
      </c>
      <c r="H186" s="174" t="s">
        <v>96</v>
      </c>
      <c r="I186" s="174"/>
      <c r="J186" s="100">
        <v>0.0223</v>
      </c>
      <c r="K186" s="100">
        <f>(1+J186)*K183</f>
        <v>1.9472826283046</v>
      </c>
      <c r="L186" s="32"/>
      <c r="M186" s="29"/>
      <c r="R186" s="195">
        <f ca="1" t="shared" ref="R186:R189" si="16">T186/S186</f>
        <v>0.0958904109589041</v>
      </c>
      <c r="S186" s="194">
        <f ca="1">VLOOKUP(INDIRECT("A"&amp;ROW()),收益表!$A$16:$U$10014,20,0)</f>
        <v>73</v>
      </c>
      <c r="T186" s="194">
        <f ca="1">VLOOKUP(INDIRECT("A"&amp;ROW()),收益表!$A$16:$U$10014,21,0)</f>
        <v>7</v>
      </c>
      <c r="U186" s="245"/>
      <c r="V186" s="246"/>
      <c r="W186" s="246"/>
      <c r="X186" s="247"/>
    </row>
    <row r="187" spans="1:24">
      <c r="A187" s="75">
        <v>45737</v>
      </c>
      <c r="B187" s="170"/>
      <c r="C187" s="170"/>
      <c r="D187" s="171"/>
      <c r="E187" s="172"/>
      <c r="F187" s="173"/>
      <c r="G187" s="174"/>
      <c r="H187" s="174"/>
      <c r="I187" s="174"/>
      <c r="J187" s="100"/>
      <c r="K187" s="100"/>
      <c r="L187" s="32"/>
      <c r="M187" s="29"/>
      <c r="R187" s="207">
        <f ca="1" t="shared" si="16"/>
        <v>0.553571428571429</v>
      </c>
      <c r="S187" s="194">
        <f ca="1">VLOOKUP(INDIRECT("A"&amp;ROW()),收益表!$A$16:$U$10014,20,0)</f>
        <v>56</v>
      </c>
      <c r="T187" s="194">
        <f ca="1">VLOOKUP(INDIRECT("A"&amp;ROW()),收益表!$A$16:$U$10014,21,0)</f>
        <v>31</v>
      </c>
      <c r="U187" s="245"/>
      <c r="V187" s="246"/>
      <c r="W187" s="246"/>
      <c r="X187" s="247"/>
    </row>
    <row r="188" spans="1:24">
      <c r="A188" s="75">
        <v>45740</v>
      </c>
      <c r="B188" s="170"/>
      <c r="C188" s="170"/>
      <c r="D188" s="171"/>
      <c r="E188" s="172"/>
      <c r="F188" s="173"/>
      <c r="G188" s="174"/>
      <c r="H188" s="174"/>
      <c r="I188" s="174"/>
      <c r="J188" s="100"/>
      <c r="K188" s="100"/>
      <c r="L188" s="32"/>
      <c r="M188" s="29"/>
      <c r="R188" s="207">
        <f ca="1" t="shared" si="16"/>
        <v>0.87037037037037</v>
      </c>
      <c r="S188" s="194">
        <f ca="1">VLOOKUP(INDIRECT("A"&amp;ROW()),收益表!$A$16:$U$10014,20,0)</f>
        <v>54</v>
      </c>
      <c r="T188" s="194">
        <f ca="1">VLOOKUP(INDIRECT("A"&amp;ROW()),收益表!$A$16:$U$10014,21,0)</f>
        <v>47</v>
      </c>
      <c r="U188" s="245"/>
      <c r="V188" s="246"/>
      <c r="W188" s="246"/>
      <c r="X188" s="247"/>
    </row>
    <row r="189" spans="1:24">
      <c r="A189" s="77">
        <v>45741</v>
      </c>
      <c r="B189" s="170" t="s">
        <v>247</v>
      </c>
      <c r="C189" s="170" t="s">
        <v>102</v>
      </c>
      <c r="D189" s="171">
        <v>0.065</v>
      </c>
      <c r="E189" s="172" t="s">
        <v>93</v>
      </c>
      <c r="F189" s="173">
        <v>-0.0866</v>
      </c>
      <c r="G189" s="174">
        <v>-0.092</v>
      </c>
      <c r="H189" s="174">
        <v>-0.0227</v>
      </c>
      <c r="I189" s="174"/>
      <c r="J189" s="100">
        <v>-0.1</v>
      </c>
      <c r="K189" s="100">
        <f>(1+J189)*K186</f>
        <v>1.75255436547414</v>
      </c>
      <c r="L189" s="32"/>
      <c r="M189" s="29"/>
      <c r="R189" s="207">
        <f ca="1" t="shared" si="16"/>
        <v>0.807017543859649</v>
      </c>
      <c r="S189" s="194">
        <f ca="1">VLOOKUP(INDIRECT("A"&amp;ROW()),收益表!$A$16:$U$10014,20,0)</f>
        <v>57</v>
      </c>
      <c r="T189" s="194">
        <f ca="1">VLOOKUP(INDIRECT("A"&amp;ROW()),收益表!$A$16:$U$10014,21,0)</f>
        <v>46</v>
      </c>
      <c r="U189" s="245"/>
      <c r="V189" s="246"/>
      <c r="W189" s="246"/>
      <c r="X189" s="247"/>
    </row>
    <row r="190" spans="1:24">
      <c r="A190" s="77">
        <v>45742</v>
      </c>
      <c r="B190" s="170" t="s">
        <v>248</v>
      </c>
      <c r="C190" s="170" t="s">
        <v>102</v>
      </c>
      <c r="D190" s="171">
        <v>-0.0044</v>
      </c>
      <c r="E190" s="172" t="s">
        <v>93</v>
      </c>
      <c r="F190" s="173" t="s">
        <v>93</v>
      </c>
      <c r="G190" s="174">
        <v>-0.0409</v>
      </c>
      <c r="H190" s="174">
        <v>-0.0121</v>
      </c>
      <c r="I190" s="174"/>
      <c r="J190" s="100">
        <v>-0.1</v>
      </c>
      <c r="K190" s="100">
        <f>(1+J190)*K189</f>
        <v>1.57729892892673</v>
      </c>
      <c r="L190" s="32"/>
      <c r="M190" s="29"/>
      <c r="R190" s="195">
        <f ca="1" t="shared" ref="R190:R201" si="17">T190/S190</f>
        <v>0.133333333333333</v>
      </c>
      <c r="S190" s="194">
        <f ca="1">VLOOKUP(INDIRECT("A"&amp;ROW()),收益表!$A$16:$U$10014,20,0)</f>
        <v>90</v>
      </c>
      <c r="T190" s="194">
        <f ca="1">VLOOKUP(INDIRECT("A"&amp;ROW()),收益表!$A$16:$U$10014,21,0)</f>
        <v>12</v>
      </c>
      <c r="U190" s="245"/>
      <c r="V190" s="246"/>
      <c r="W190" s="246"/>
      <c r="X190" s="247"/>
    </row>
    <row r="191" spans="1:24">
      <c r="A191" s="75">
        <v>45743</v>
      </c>
      <c r="B191" s="170"/>
      <c r="C191" s="170"/>
      <c r="D191" s="171"/>
      <c r="E191" s="172"/>
      <c r="F191" s="173"/>
      <c r="G191" s="174"/>
      <c r="H191" s="174"/>
      <c r="I191" s="174"/>
      <c r="J191" s="100"/>
      <c r="K191" s="100"/>
      <c r="L191" s="32"/>
      <c r="M191" s="29"/>
      <c r="R191" s="207">
        <f ca="1" t="shared" si="17"/>
        <v>0.527272727272727</v>
      </c>
      <c r="S191" s="194">
        <f ca="1">VLOOKUP(INDIRECT("A"&amp;ROW()),收益表!$A$16:$U$10014,20,0)</f>
        <v>55</v>
      </c>
      <c r="T191" s="194">
        <f ca="1">VLOOKUP(INDIRECT("A"&amp;ROW()),收益表!$A$16:$U$10014,21,0)</f>
        <v>29</v>
      </c>
      <c r="U191" s="245"/>
      <c r="V191" s="246"/>
      <c r="W191" s="246"/>
      <c r="X191" s="247"/>
    </row>
    <row r="192" spans="1:24">
      <c r="A192" s="75">
        <v>45744</v>
      </c>
      <c r="B192" s="170"/>
      <c r="C192" s="170"/>
      <c r="D192" s="171"/>
      <c r="E192" s="172"/>
      <c r="F192" s="173"/>
      <c r="G192" s="174"/>
      <c r="H192" s="174"/>
      <c r="I192" s="174"/>
      <c r="J192" s="100"/>
      <c r="K192" s="100"/>
      <c r="L192" s="32"/>
      <c r="M192" s="29"/>
      <c r="R192" s="207">
        <f ca="1" t="shared" si="17"/>
        <v>0.942857142857143</v>
      </c>
      <c r="S192" s="194">
        <f ca="1">VLOOKUP(INDIRECT("A"&amp;ROW()),收益表!$A$16:$U$10014,20,0)</f>
        <v>35</v>
      </c>
      <c r="T192" s="194">
        <f ca="1">VLOOKUP(INDIRECT("A"&amp;ROW()),收益表!$A$16:$U$10014,21,0)</f>
        <v>33</v>
      </c>
      <c r="U192" s="245"/>
      <c r="V192" s="246"/>
      <c r="W192" s="246"/>
      <c r="X192" s="247"/>
    </row>
    <row r="193" spans="1:24">
      <c r="A193" s="101">
        <v>45747</v>
      </c>
      <c r="B193" s="170" t="s">
        <v>249</v>
      </c>
      <c r="C193" s="170" t="s">
        <v>102</v>
      </c>
      <c r="D193" s="171">
        <v>-0.0964</v>
      </c>
      <c r="E193" s="172">
        <v>-0.0983</v>
      </c>
      <c r="F193" s="173">
        <v>0.0185</v>
      </c>
      <c r="G193" s="174">
        <v>-0.0272</v>
      </c>
      <c r="H193" s="174">
        <v>-0.0205</v>
      </c>
      <c r="I193" s="228"/>
      <c r="J193" s="120">
        <v>-0.1</v>
      </c>
      <c r="K193" s="120">
        <f>(1+J193)*K190</f>
        <v>1.41956903603406</v>
      </c>
      <c r="L193" s="51"/>
      <c r="M193" s="52"/>
      <c r="R193" s="202">
        <f ca="1" t="shared" si="17"/>
        <v>1.04878048780488</v>
      </c>
      <c r="S193" s="200">
        <f ca="1">VLOOKUP(INDIRECT("A"&amp;ROW()),收益表!$A$16:$U$10014,20,0)</f>
        <v>41</v>
      </c>
      <c r="T193" s="200">
        <f ca="1">VLOOKUP(INDIRECT("A"&amp;ROW()),收益表!$A$16:$U$10014,21,0)</f>
        <v>43</v>
      </c>
      <c r="U193" s="245"/>
      <c r="V193" s="246"/>
      <c r="W193" s="246"/>
      <c r="X193" s="247"/>
    </row>
    <row r="194" spans="1:24">
      <c r="A194" s="104"/>
      <c r="B194" s="170" t="s">
        <v>250</v>
      </c>
      <c r="C194" s="170" t="s">
        <v>102</v>
      </c>
      <c r="D194" s="171" t="s">
        <v>93</v>
      </c>
      <c r="E194" s="172" t="s">
        <v>93</v>
      </c>
      <c r="F194" s="173">
        <v>-0.0681</v>
      </c>
      <c r="G194" s="174">
        <v>0.0187</v>
      </c>
      <c r="H194" s="174">
        <v>-0.0167</v>
      </c>
      <c r="I194" s="227"/>
      <c r="J194" s="121"/>
      <c r="K194" s="121"/>
      <c r="L194" s="73"/>
      <c r="M194" s="74"/>
      <c r="R194" s="205"/>
      <c r="S194" s="189"/>
      <c r="T194" s="189"/>
      <c r="U194" s="245"/>
      <c r="V194" s="246"/>
      <c r="W194" s="246"/>
      <c r="X194" s="247"/>
    </row>
    <row r="195" spans="1:24">
      <c r="A195" s="75">
        <v>45748</v>
      </c>
      <c r="B195" s="170"/>
      <c r="C195" s="170"/>
      <c r="D195" s="171"/>
      <c r="E195" s="172"/>
      <c r="F195" s="173"/>
      <c r="G195" s="174"/>
      <c r="H195" s="174"/>
      <c r="I195" s="174"/>
      <c r="J195" s="32"/>
      <c r="K195" s="32"/>
      <c r="L195" s="32"/>
      <c r="M195" s="29"/>
      <c r="R195" s="195">
        <f ca="1" t="shared" si="17"/>
        <v>0.292307692307692</v>
      </c>
      <c r="S195" s="194">
        <f ca="1">VLOOKUP(INDIRECT("A"&amp;ROW()),收益表!$A$16:$U$10014,20,0)</f>
        <v>65</v>
      </c>
      <c r="T195" s="194">
        <f ca="1">VLOOKUP(INDIRECT("A"&amp;ROW()),收益表!$A$16:$U$10014,21,0)</f>
        <v>19</v>
      </c>
      <c r="U195" s="245"/>
      <c r="V195" s="246"/>
      <c r="W195" s="246"/>
      <c r="X195" s="247"/>
    </row>
    <row r="196" spans="1:24">
      <c r="A196" s="75">
        <v>45749</v>
      </c>
      <c r="B196" s="170"/>
      <c r="C196" s="170"/>
      <c r="D196" s="171"/>
      <c r="E196" s="172"/>
      <c r="F196" s="173"/>
      <c r="G196" s="174"/>
      <c r="H196" s="174"/>
      <c r="I196" s="174"/>
      <c r="J196" s="32"/>
      <c r="K196" s="32"/>
      <c r="L196" s="32"/>
      <c r="M196" s="29"/>
      <c r="R196" s="207">
        <f ca="1" t="shared" si="17"/>
        <v>0.395833333333333</v>
      </c>
      <c r="S196" s="194">
        <f ca="1">VLOOKUP(INDIRECT("A"&amp;ROW()),收益表!$A$16:$U$10014,20,0)</f>
        <v>48</v>
      </c>
      <c r="T196" s="194">
        <f ca="1">VLOOKUP(INDIRECT("A"&amp;ROW()),收益表!$A$16:$U$10014,21,0)</f>
        <v>19</v>
      </c>
      <c r="U196" s="245"/>
      <c r="V196" s="246"/>
      <c r="W196" s="246"/>
      <c r="X196" s="247"/>
    </row>
    <row r="197" spans="1:24">
      <c r="A197" s="75">
        <v>45750</v>
      </c>
      <c r="B197" s="170"/>
      <c r="C197" s="170"/>
      <c r="D197" s="171"/>
      <c r="E197" s="172"/>
      <c r="F197" s="173"/>
      <c r="G197" s="174"/>
      <c r="H197" s="174"/>
      <c r="I197" s="174"/>
      <c r="J197" s="32"/>
      <c r="K197" s="32"/>
      <c r="L197" s="32"/>
      <c r="M197" s="29"/>
      <c r="R197" s="207">
        <f ca="1" t="shared" si="17"/>
        <v>0.508474576271186</v>
      </c>
      <c r="S197" s="194">
        <f ca="1">VLOOKUP(INDIRECT("A"&amp;ROW()),收益表!$A$16:$U$10014,20,0)</f>
        <v>59</v>
      </c>
      <c r="T197" s="194">
        <f ca="1">VLOOKUP(INDIRECT("A"&amp;ROW()),收益表!$A$16:$U$10014,21,0)</f>
        <v>30</v>
      </c>
      <c r="U197" s="261"/>
      <c r="V197" s="262"/>
      <c r="W197" s="262"/>
      <c r="X197" s="263"/>
    </row>
    <row r="198" spans="1:24">
      <c r="A198" s="75">
        <v>45754</v>
      </c>
      <c r="B198" s="170"/>
      <c r="C198" s="170"/>
      <c r="D198" s="171"/>
      <c r="E198" s="172"/>
      <c r="F198" s="173"/>
      <c r="G198" s="174"/>
      <c r="H198" s="174"/>
      <c r="I198" s="174"/>
      <c r="J198" s="32"/>
      <c r="K198" s="32"/>
      <c r="L198" s="32"/>
      <c r="M198" s="29"/>
      <c r="R198" s="207">
        <f ca="1" t="shared" si="17"/>
        <v>116.08</v>
      </c>
      <c r="S198" s="194">
        <f ca="1">VLOOKUP(INDIRECT("A"&amp;ROW()),收益表!$A$16:$U$10014,20,0)</f>
        <v>25</v>
      </c>
      <c r="T198" s="194">
        <f ca="1">VLOOKUP(INDIRECT("A"&amp;ROW()),收益表!$A$16:$U$10014,21,0)</f>
        <v>2902</v>
      </c>
      <c r="U198" s="261"/>
      <c r="V198" s="262"/>
      <c r="W198" s="262"/>
      <c r="X198" s="263"/>
    </row>
    <row r="199" spans="1:24">
      <c r="A199" s="75">
        <v>45755</v>
      </c>
      <c r="B199" s="170"/>
      <c r="C199" s="170"/>
      <c r="D199" s="171"/>
      <c r="E199" s="172"/>
      <c r="F199" s="173"/>
      <c r="G199" s="174"/>
      <c r="H199" s="174"/>
      <c r="I199" s="174"/>
      <c r="J199" s="32"/>
      <c r="K199" s="32"/>
      <c r="L199" s="32"/>
      <c r="M199" s="29"/>
      <c r="R199" s="195">
        <f ca="1" t="shared" si="17"/>
        <v>1.32283464566929</v>
      </c>
      <c r="S199" s="194">
        <f ca="1">VLOOKUP(INDIRECT("A"&amp;ROW()),收益表!$A$16:$U$10014,20,0)</f>
        <v>127</v>
      </c>
      <c r="T199" s="194">
        <f ca="1">VLOOKUP(INDIRECT("A"&amp;ROW()),收益表!$A$16:$U$10014,21,0)</f>
        <v>168</v>
      </c>
      <c r="U199" s="261"/>
      <c r="V199" s="262"/>
      <c r="W199" s="262"/>
      <c r="X199" s="263"/>
    </row>
    <row r="200" spans="1:24">
      <c r="A200" s="75">
        <v>45756</v>
      </c>
      <c r="B200" s="170"/>
      <c r="C200" s="170"/>
      <c r="D200" s="171"/>
      <c r="E200" s="172"/>
      <c r="F200" s="173"/>
      <c r="G200" s="174"/>
      <c r="H200" s="174"/>
      <c r="I200" s="174"/>
      <c r="J200" s="32"/>
      <c r="K200" s="32"/>
      <c r="L200" s="32"/>
      <c r="M200" s="29"/>
      <c r="R200" s="195">
        <f ca="1" t="shared" si="17"/>
        <v>0.1015625</v>
      </c>
      <c r="S200" s="194">
        <f ca="1">VLOOKUP(INDIRECT("A"&amp;ROW()),收益表!$A$16:$U$10014,20,0)</f>
        <v>128</v>
      </c>
      <c r="T200" s="194">
        <f ca="1">VLOOKUP(INDIRECT("A"&amp;ROW()),收益表!$A$16:$U$10014,21,0)</f>
        <v>13</v>
      </c>
      <c r="U200" s="261"/>
      <c r="V200" s="262"/>
      <c r="W200" s="262"/>
      <c r="X200" s="263"/>
    </row>
    <row r="201" spans="1:24">
      <c r="A201" s="77">
        <v>45757</v>
      </c>
      <c r="B201" s="170" t="s">
        <v>251</v>
      </c>
      <c r="C201" s="170" t="s">
        <v>90</v>
      </c>
      <c r="D201" s="171" t="s">
        <v>252</v>
      </c>
      <c r="E201" s="172">
        <v>-0.0918</v>
      </c>
      <c r="F201" s="255">
        <v>-0.0009</v>
      </c>
      <c r="G201" s="174">
        <v>0.0407</v>
      </c>
      <c r="H201" s="174">
        <v>-0.0408</v>
      </c>
      <c r="I201" s="174"/>
      <c r="J201" s="32"/>
      <c r="K201" s="32"/>
      <c r="L201" s="32"/>
      <c r="M201" s="29"/>
      <c r="R201" s="195">
        <f ca="1" t="shared" si="17"/>
        <v>0.0114942528735632</v>
      </c>
      <c r="S201" s="194">
        <f ca="1">VLOOKUP(INDIRECT("A"&amp;ROW()),收益表!$A$16:$U$10014,20,0)</f>
        <v>174</v>
      </c>
      <c r="T201" s="194">
        <f ca="1">VLOOKUP(INDIRECT("A"&amp;ROW()),收益表!$A$16:$U$10014,21,0)</f>
        <v>2</v>
      </c>
      <c r="U201" s="261"/>
      <c r="V201" s="262"/>
      <c r="W201" s="262"/>
      <c r="X201" s="263"/>
    </row>
    <row r="202" spans="1:24">
      <c r="A202" s="75">
        <v>45758</v>
      </c>
      <c r="B202" s="170"/>
      <c r="C202" s="170"/>
      <c r="D202" s="171"/>
      <c r="E202" s="172"/>
      <c r="F202" s="173"/>
      <c r="G202" s="174"/>
      <c r="H202" s="174"/>
      <c r="I202" s="174"/>
      <c r="J202" s="34"/>
      <c r="K202" s="34"/>
      <c r="L202" s="34"/>
      <c r="M202" s="41"/>
      <c r="R202" s="195">
        <f ca="1" t="shared" ref="R202:R219" si="18">T202/S202</f>
        <v>0.105769230769231</v>
      </c>
      <c r="S202" s="194">
        <f ca="1">VLOOKUP(INDIRECT("A"&amp;ROW()),收益表!$A$16:$U$10014,20,0)</f>
        <v>104</v>
      </c>
      <c r="T202" s="194">
        <f ca="1">VLOOKUP(INDIRECT("A"&amp;ROW()),收益表!$A$16:$U$10014,21,0)</f>
        <v>11</v>
      </c>
      <c r="U202" s="261"/>
      <c r="V202" s="262"/>
      <c r="W202" s="262"/>
      <c r="X202" s="263"/>
    </row>
    <row r="203" spans="1:24">
      <c r="A203" s="75">
        <v>45761</v>
      </c>
      <c r="B203" s="170"/>
      <c r="C203" s="170"/>
      <c r="D203" s="171"/>
      <c r="E203" s="172"/>
      <c r="F203" s="173"/>
      <c r="G203" s="174"/>
      <c r="H203" s="174"/>
      <c r="I203" s="174"/>
      <c r="J203" s="32"/>
      <c r="K203" s="32"/>
      <c r="L203" s="32"/>
      <c r="M203" s="29"/>
      <c r="R203" s="195">
        <f ca="1" t="shared" si="18"/>
        <v>0.0310077519379845</v>
      </c>
      <c r="S203" s="194">
        <f ca="1">VLOOKUP(INDIRECT("A"&amp;ROW()),收益表!$A$16:$U$10014,20,0)</f>
        <v>129</v>
      </c>
      <c r="T203" s="194">
        <f ca="1">VLOOKUP(INDIRECT("A"&amp;ROW()),收益表!$A$16:$U$10014,21,0)</f>
        <v>4</v>
      </c>
      <c r="U203" s="261"/>
      <c r="V203" s="262"/>
      <c r="W203" s="262"/>
      <c r="X203" s="263"/>
    </row>
    <row r="204" spans="1:24">
      <c r="A204" s="102">
        <v>45762</v>
      </c>
      <c r="B204" s="170" t="s">
        <v>253</v>
      </c>
      <c r="C204" s="170" t="s">
        <v>90</v>
      </c>
      <c r="D204" s="171">
        <v>-0.0831</v>
      </c>
      <c r="E204" s="172">
        <v>0.0077</v>
      </c>
      <c r="F204" s="173">
        <v>-0.064</v>
      </c>
      <c r="G204" s="174">
        <v>-0.0521</v>
      </c>
      <c r="H204" s="174">
        <v>-0.0069</v>
      </c>
      <c r="I204" s="228"/>
      <c r="J204" s="51"/>
      <c r="K204" s="51"/>
      <c r="L204" s="51"/>
      <c r="M204" s="52"/>
      <c r="R204" s="202">
        <f ca="1" t="shared" si="18"/>
        <v>0.135802469135802</v>
      </c>
      <c r="S204" s="200">
        <f ca="1">VLOOKUP(INDIRECT("A"&amp;ROW()),收益表!$A$16:$U$10014,20,0)</f>
        <v>81</v>
      </c>
      <c r="T204" s="200">
        <f ca="1">VLOOKUP(INDIRECT("A"&amp;ROW()),收益表!$A$16:$U$10014,21,0)</f>
        <v>11</v>
      </c>
      <c r="U204" s="261"/>
      <c r="V204" s="262"/>
      <c r="W204" s="262"/>
      <c r="X204" s="263"/>
    </row>
    <row r="205" spans="1:24">
      <c r="A205" s="102"/>
      <c r="B205" s="170" t="s">
        <v>254</v>
      </c>
      <c r="C205" s="170" t="s">
        <v>90</v>
      </c>
      <c r="D205" s="171" t="s">
        <v>255</v>
      </c>
      <c r="E205" s="256">
        <v>-0.0601</v>
      </c>
      <c r="F205" s="173">
        <v>0.003</v>
      </c>
      <c r="G205" s="174">
        <v>-0.0592</v>
      </c>
      <c r="H205" s="174">
        <v>0.0258</v>
      </c>
      <c r="I205" s="232"/>
      <c r="J205" s="233"/>
      <c r="K205" s="233"/>
      <c r="L205" s="233"/>
      <c r="M205" s="234"/>
      <c r="R205" s="203"/>
      <c r="S205" s="204"/>
      <c r="T205" s="204"/>
      <c r="U205" s="261"/>
      <c r="V205" s="262"/>
      <c r="W205" s="262"/>
      <c r="X205" s="263"/>
    </row>
    <row r="206" spans="1:24">
      <c r="A206" s="104"/>
      <c r="B206" s="170" t="s">
        <v>256</v>
      </c>
      <c r="C206" s="170" t="s">
        <v>90</v>
      </c>
      <c r="D206" s="171">
        <v>-0.0994</v>
      </c>
      <c r="E206" s="172">
        <v>-0.0287</v>
      </c>
      <c r="F206" s="173" t="s">
        <v>96</v>
      </c>
      <c r="G206" s="174">
        <v>0.0197</v>
      </c>
      <c r="H206" s="174">
        <v>-0.0382</v>
      </c>
      <c r="I206" s="227"/>
      <c r="J206" s="73"/>
      <c r="K206" s="73"/>
      <c r="L206" s="73"/>
      <c r="M206" s="74"/>
      <c r="R206" s="205"/>
      <c r="S206" s="189"/>
      <c r="T206" s="189"/>
      <c r="U206" s="261"/>
      <c r="V206" s="262"/>
      <c r="W206" s="262"/>
      <c r="X206" s="263"/>
    </row>
    <row r="207" spans="1:24">
      <c r="A207" s="77">
        <v>45763</v>
      </c>
      <c r="B207" s="170"/>
      <c r="C207" s="170"/>
      <c r="D207" s="171"/>
      <c r="E207" s="172"/>
      <c r="F207" s="173"/>
      <c r="G207" s="174"/>
      <c r="H207" s="174"/>
      <c r="I207" s="174"/>
      <c r="J207" s="32"/>
      <c r="K207" s="32"/>
      <c r="L207" s="32"/>
      <c r="M207" s="29"/>
      <c r="R207" s="207">
        <f ca="1" t="shared" si="18"/>
        <v>0.259259259259259</v>
      </c>
      <c r="S207" s="194">
        <f ca="1">VLOOKUP(INDIRECT("A"&amp;ROW()),收益表!$A$16:$U$10014,20,0)</f>
        <v>54</v>
      </c>
      <c r="T207" s="194">
        <f ca="1">VLOOKUP(INDIRECT("A"&amp;ROW()),收益表!$A$16:$U$10014,21,0)</f>
        <v>14</v>
      </c>
      <c r="U207" s="261"/>
      <c r="V207" s="262"/>
      <c r="W207" s="262"/>
      <c r="X207" s="263"/>
    </row>
    <row r="208" spans="1:24">
      <c r="A208" s="101">
        <v>45764</v>
      </c>
      <c r="B208" s="170" t="s">
        <v>257</v>
      </c>
      <c r="C208" s="170" t="s">
        <v>90</v>
      </c>
      <c r="D208" s="171">
        <v>-0.0124</v>
      </c>
      <c r="E208" s="172" t="s">
        <v>96</v>
      </c>
      <c r="F208" s="173">
        <v>-0.0305</v>
      </c>
      <c r="G208" s="174" t="s">
        <v>96</v>
      </c>
      <c r="H208" s="257">
        <v>-0.0821</v>
      </c>
      <c r="I208" s="257"/>
      <c r="J208" s="32"/>
      <c r="K208" s="32"/>
      <c r="L208" s="32"/>
      <c r="M208" s="29"/>
      <c r="R208" s="195">
        <f ca="1" t="shared" si="18"/>
        <v>0.121212121212121</v>
      </c>
      <c r="S208" s="194">
        <f ca="1">VLOOKUP(INDIRECT("A"&amp;ROW()),收益表!$A$16:$U$10014,20,0)</f>
        <v>99</v>
      </c>
      <c r="T208" s="194">
        <f ca="1">VLOOKUP(INDIRECT("A"&amp;ROW()),收益表!$A$16:$U$10014,21,0)</f>
        <v>12</v>
      </c>
      <c r="U208" s="261"/>
      <c r="V208" s="262"/>
      <c r="W208" s="262"/>
      <c r="X208" s="263"/>
    </row>
    <row r="209" spans="1:24">
      <c r="A209" s="117">
        <v>45765</v>
      </c>
      <c r="B209" s="170"/>
      <c r="C209" s="170"/>
      <c r="D209" s="171"/>
      <c r="E209" s="172"/>
      <c r="F209" s="173"/>
      <c r="G209" s="174"/>
      <c r="H209" s="174"/>
      <c r="I209" s="174"/>
      <c r="J209" s="32"/>
      <c r="K209" s="32"/>
      <c r="L209" s="32"/>
      <c r="M209" s="29"/>
      <c r="R209" s="207">
        <f ca="1" t="shared" si="18"/>
        <v>0.298507462686567</v>
      </c>
      <c r="S209" s="194">
        <f ca="1">VLOOKUP(INDIRECT("A"&amp;ROW()),收益表!$A$16:$U$10014,20,0)</f>
        <v>67</v>
      </c>
      <c r="T209" s="194">
        <f ca="1">VLOOKUP(INDIRECT("A"&amp;ROW()),收益表!$A$16:$U$10014,21,0)</f>
        <v>20</v>
      </c>
      <c r="U209" s="261"/>
      <c r="V209" s="262"/>
      <c r="W209" s="262"/>
      <c r="X209" s="263"/>
    </row>
    <row r="210" spans="1:24">
      <c r="A210" s="101">
        <v>45768</v>
      </c>
      <c r="B210" s="170" t="s">
        <v>258</v>
      </c>
      <c r="C210" s="170" t="s">
        <v>90</v>
      </c>
      <c r="D210" s="171">
        <v>0.0279</v>
      </c>
      <c r="E210" s="172">
        <v>-0.0761</v>
      </c>
      <c r="F210" s="173">
        <v>0.0088</v>
      </c>
      <c r="G210" s="174">
        <v>0.0248</v>
      </c>
      <c r="H210" s="174">
        <v>-0.0213</v>
      </c>
      <c r="I210" s="228"/>
      <c r="J210" s="51"/>
      <c r="K210" s="51"/>
      <c r="L210" s="51"/>
      <c r="M210" s="52"/>
      <c r="R210" s="202">
        <f ca="1" t="shared" si="18"/>
        <v>0.201754385964912</v>
      </c>
      <c r="S210" s="200">
        <f ca="1">VLOOKUP(INDIRECT("A"&amp;ROW()),收益表!$A$16:$U$10014,20,0)</f>
        <v>114</v>
      </c>
      <c r="T210" s="200">
        <f ca="1">VLOOKUP(INDIRECT("A"&amp;ROW()),收益表!$A$16:$U$10014,21,0)</f>
        <v>23</v>
      </c>
      <c r="U210" s="261"/>
      <c r="V210" s="262"/>
      <c r="W210" s="262"/>
      <c r="X210" s="263"/>
    </row>
    <row r="211" spans="1:24">
      <c r="A211" s="104"/>
      <c r="B211" s="170" t="s">
        <v>259</v>
      </c>
      <c r="C211" s="170" t="s">
        <v>90</v>
      </c>
      <c r="D211" s="347" t="s">
        <v>260</v>
      </c>
      <c r="E211" s="172">
        <v>-0.0989</v>
      </c>
      <c r="F211" s="173">
        <v>-0.0201</v>
      </c>
      <c r="G211" s="174">
        <v>0.0181</v>
      </c>
      <c r="H211" s="174">
        <v>-0.0154</v>
      </c>
      <c r="I211" s="227"/>
      <c r="J211" s="73"/>
      <c r="K211" s="73"/>
      <c r="L211" s="73"/>
      <c r="M211" s="74"/>
      <c r="R211" s="205"/>
      <c r="S211" s="189"/>
      <c r="T211" s="189"/>
      <c r="U211" s="261"/>
      <c r="V211" s="262"/>
      <c r="W211" s="262"/>
      <c r="X211" s="263"/>
    </row>
    <row r="212" spans="1:24">
      <c r="A212" s="104">
        <v>45769</v>
      </c>
      <c r="B212" s="170" t="s">
        <v>143</v>
      </c>
      <c r="C212" s="170" t="s">
        <v>102</v>
      </c>
      <c r="D212" s="171">
        <v>0.0403</v>
      </c>
      <c r="E212" s="172">
        <v>0.0403</v>
      </c>
      <c r="F212" s="173">
        <v>0.0497</v>
      </c>
      <c r="G212" s="174" t="s">
        <v>261</v>
      </c>
      <c r="H212" s="174" t="s">
        <v>93</v>
      </c>
      <c r="I212" s="174"/>
      <c r="J212" s="34">
        <v>0.0403</v>
      </c>
      <c r="K212" s="34">
        <f>(1+J212)*K193</f>
        <v>1.47677766818623</v>
      </c>
      <c r="L212" s="32"/>
      <c r="M212" s="29"/>
      <c r="R212" s="207">
        <f ca="1" t="shared" si="18"/>
        <v>0.258064516129032</v>
      </c>
      <c r="S212" s="194">
        <f ca="1">VLOOKUP(INDIRECT("A"&amp;ROW()),收益表!$A$16:$U$10014,20,0)</f>
        <v>93</v>
      </c>
      <c r="T212" s="194">
        <f ca="1">VLOOKUP(INDIRECT("A"&amp;ROW()),收益表!$A$16:$U$10014,21,0)</f>
        <v>24</v>
      </c>
      <c r="U212" s="261"/>
      <c r="V212" s="262"/>
      <c r="W212" s="262"/>
      <c r="X212" s="263"/>
    </row>
    <row r="213" spans="1:24">
      <c r="A213" s="102">
        <v>45770</v>
      </c>
      <c r="B213" s="170" t="s">
        <v>262</v>
      </c>
      <c r="C213" s="170" t="s">
        <v>102</v>
      </c>
      <c r="D213" s="171">
        <v>0.0215</v>
      </c>
      <c r="E213" s="172">
        <v>-0.0701</v>
      </c>
      <c r="F213" s="173">
        <v>-0.0075</v>
      </c>
      <c r="G213" s="174" t="s">
        <v>263</v>
      </c>
      <c r="H213" s="258">
        <v>-0.0911</v>
      </c>
      <c r="I213" s="258"/>
      <c r="J213" s="100">
        <v>-0.0701</v>
      </c>
      <c r="K213" s="100">
        <f>(1+J213)*K212</f>
        <v>1.37325555364637</v>
      </c>
      <c r="L213" s="32"/>
      <c r="M213" s="29"/>
      <c r="R213" s="202">
        <f ca="1" t="shared" si="18"/>
        <v>0.472222222222222</v>
      </c>
      <c r="S213" s="200">
        <f ca="1">VLOOKUP(INDIRECT("A"&amp;ROW()),收益表!$A$16:$U$10014,20,0)</f>
        <v>72</v>
      </c>
      <c r="T213" s="200">
        <f ca="1">VLOOKUP(INDIRECT("A"&amp;ROW()),收益表!$A$16:$U$10014,21,0)</f>
        <v>34</v>
      </c>
      <c r="U213" s="261"/>
      <c r="V213" s="262"/>
      <c r="W213" s="262"/>
      <c r="X213" s="263"/>
    </row>
    <row r="214" spans="1:24">
      <c r="A214" s="104"/>
      <c r="B214" s="170" t="s">
        <v>264</v>
      </c>
      <c r="C214" s="170" t="s">
        <v>92</v>
      </c>
      <c r="D214" s="171">
        <v>-0.0485</v>
      </c>
      <c r="E214" s="172">
        <v>-0.0089</v>
      </c>
      <c r="F214" s="173">
        <v>-0.0244</v>
      </c>
      <c r="G214" s="174">
        <v>-0.0009</v>
      </c>
      <c r="H214" s="174" t="s">
        <v>96</v>
      </c>
      <c r="I214" s="174"/>
      <c r="J214" s="100"/>
      <c r="K214" s="100"/>
      <c r="L214" s="32"/>
      <c r="M214" s="29"/>
      <c r="R214" s="205"/>
      <c r="S214" s="189"/>
      <c r="T214" s="189"/>
      <c r="U214" s="261"/>
      <c r="V214" s="262"/>
      <c r="W214" s="262"/>
      <c r="X214" s="263"/>
    </row>
    <row r="215" spans="1:24">
      <c r="A215" s="77">
        <v>45771</v>
      </c>
      <c r="B215" s="170"/>
      <c r="C215" s="170"/>
      <c r="D215" s="171"/>
      <c r="E215" s="172"/>
      <c r="F215" s="173"/>
      <c r="G215" s="174"/>
      <c r="H215" s="174"/>
      <c r="I215" s="174"/>
      <c r="J215" s="100"/>
      <c r="K215" s="100"/>
      <c r="L215" s="32"/>
      <c r="M215" s="29"/>
      <c r="R215" s="207">
        <f ca="1" t="shared" si="18"/>
        <v>0.546875</v>
      </c>
      <c r="S215" s="194">
        <f ca="1">VLOOKUP(INDIRECT("A"&amp;ROW()),收益表!$A$16:$U$10014,20,0)</f>
        <v>64</v>
      </c>
      <c r="T215" s="194">
        <f ca="1">VLOOKUP(INDIRECT("A"&amp;ROW()),收益表!$A$16:$U$10014,21,0)</f>
        <v>35</v>
      </c>
      <c r="U215" s="261"/>
      <c r="V215" s="262"/>
      <c r="W215" s="262"/>
      <c r="X215" s="263"/>
    </row>
    <row r="216" spans="1:24">
      <c r="A216" s="117">
        <v>45772</v>
      </c>
      <c r="B216" s="170" t="s">
        <v>265</v>
      </c>
      <c r="C216" s="170" t="s">
        <v>102</v>
      </c>
      <c r="D216" s="171">
        <v>0.0216</v>
      </c>
      <c r="E216" s="172">
        <v>-0.0515</v>
      </c>
      <c r="F216" s="173" t="s">
        <v>96</v>
      </c>
      <c r="G216" s="174">
        <v>0.0164</v>
      </c>
      <c r="H216" s="174">
        <v>0.0219</v>
      </c>
      <c r="I216" s="174"/>
      <c r="J216" s="100">
        <v>-0.0515</v>
      </c>
      <c r="K216" s="100">
        <f>(1+J216)*K213</f>
        <v>1.30253289263359</v>
      </c>
      <c r="L216" s="32"/>
      <c r="M216" s="29"/>
      <c r="R216" s="207">
        <f ca="1" t="shared" si="18"/>
        <v>0.447368421052632</v>
      </c>
      <c r="S216" s="194">
        <f ca="1">VLOOKUP(INDIRECT("A"&amp;ROW()),收益表!$A$16:$U$10014,20,0)</f>
        <v>76</v>
      </c>
      <c r="T216" s="194">
        <f ca="1">VLOOKUP(INDIRECT("A"&amp;ROW()),收益表!$A$16:$U$10014,21,0)</f>
        <v>34</v>
      </c>
      <c r="U216" s="261"/>
      <c r="V216" s="262"/>
      <c r="W216" s="262"/>
      <c r="X216" s="263"/>
    </row>
    <row r="217" spans="1:24">
      <c r="A217" s="104">
        <v>45775</v>
      </c>
      <c r="B217" s="170" t="s">
        <v>266</v>
      </c>
      <c r="C217" s="170" t="s">
        <v>92</v>
      </c>
      <c r="D217" s="171" t="s">
        <v>267</v>
      </c>
      <c r="E217" s="172" t="s">
        <v>93</v>
      </c>
      <c r="F217" s="173">
        <v>-0.0894</v>
      </c>
      <c r="G217" s="174">
        <v>0.0398</v>
      </c>
      <c r="H217" s="174">
        <v>-0.0364</v>
      </c>
      <c r="I217" s="227"/>
      <c r="J217" s="121"/>
      <c r="K217" s="121"/>
      <c r="L217" s="73"/>
      <c r="M217" s="74"/>
      <c r="R217" s="207">
        <f t="shared" ref="R217:R222" si="19">T217/S217</f>
        <v>1.58333333333333</v>
      </c>
      <c r="S217" s="189">
        <v>48</v>
      </c>
      <c r="T217" s="189">
        <v>76</v>
      </c>
      <c r="U217" s="261"/>
      <c r="V217" s="262"/>
      <c r="W217" s="262"/>
      <c r="X217" s="263"/>
    </row>
    <row r="218" spans="1:24">
      <c r="A218" s="127">
        <v>45776</v>
      </c>
      <c r="B218" s="170"/>
      <c r="C218" s="170"/>
      <c r="D218" s="171"/>
      <c r="E218" s="172"/>
      <c r="F218" s="173"/>
      <c r="G218" s="174"/>
      <c r="H218" s="174"/>
      <c r="I218" s="174"/>
      <c r="J218" s="100"/>
      <c r="K218" s="100"/>
      <c r="L218" s="32"/>
      <c r="M218" s="29"/>
      <c r="R218" s="207">
        <f t="shared" si="19"/>
        <v>0.780821917808219</v>
      </c>
      <c r="S218" s="18">
        <v>73</v>
      </c>
      <c r="T218" s="18">
        <v>57</v>
      </c>
      <c r="U218" s="261"/>
      <c r="V218" s="262"/>
      <c r="W218" s="262"/>
      <c r="X218" s="263"/>
    </row>
    <row r="219" spans="1:24">
      <c r="A219" s="127">
        <v>45777</v>
      </c>
      <c r="B219" s="170"/>
      <c r="C219" s="170"/>
      <c r="D219" s="171"/>
      <c r="E219" s="172"/>
      <c r="F219" s="173"/>
      <c r="G219" s="174"/>
      <c r="H219" s="174"/>
      <c r="I219" s="174"/>
      <c r="J219" s="100"/>
      <c r="K219" s="100"/>
      <c r="L219" s="32"/>
      <c r="M219" s="29"/>
      <c r="R219" s="207">
        <f t="shared" si="19"/>
        <v>0.402061855670103</v>
      </c>
      <c r="S219" s="18">
        <v>97</v>
      </c>
      <c r="T219" s="18">
        <v>39</v>
      </c>
      <c r="U219" s="261"/>
      <c r="V219" s="262"/>
      <c r="W219" s="262"/>
      <c r="X219" s="263"/>
    </row>
    <row r="220" spans="1:24">
      <c r="A220" s="101">
        <v>45783</v>
      </c>
      <c r="B220" s="170" t="s">
        <v>268</v>
      </c>
      <c r="C220" s="170" t="s">
        <v>92</v>
      </c>
      <c r="D220" s="347" t="s">
        <v>269</v>
      </c>
      <c r="E220" s="172">
        <v>-0.0685</v>
      </c>
      <c r="F220" s="255">
        <v>-0.0676</v>
      </c>
      <c r="G220" s="174">
        <v>0.0081</v>
      </c>
      <c r="H220" s="174">
        <v>-0.0112</v>
      </c>
      <c r="I220" s="174"/>
      <c r="J220" s="100"/>
      <c r="K220" s="100"/>
      <c r="L220" s="32"/>
      <c r="M220" s="29"/>
      <c r="R220" s="202">
        <f t="shared" si="19"/>
        <v>0.191489361702128</v>
      </c>
      <c r="S220" s="24">
        <v>141</v>
      </c>
      <c r="T220" s="24">
        <v>27</v>
      </c>
      <c r="U220" s="261"/>
      <c r="V220" s="262"/>
      <c r="W220" s="262"/>
      <c r="X220" s="263"/>
    </row>
    <row r="221" spans="1:24">
      <c r="A221" s="104"/>
      <c r="B221" s="170" t="s">
        <v>126</v>
      </c>
      <c r="C221" s="170" t="s">
        <v>92</v>
      </c>
      <c r="D221" s="171">
        <v>0.0005</v>
      </c>
      <c r="E221" s="172">
        <v>-0.0271</v>
      </c>
      <c r="F221" s="173">
        <v>0.0011</v>
      </c>
      <c r="G221" s="174">
        <v>-0.0326</v>
      </c>
      <c r="H221" s="174">
        <v>-0.0116</v>
      </c>
      <c r="I221" s="174"/>
      <c r="J221" s="100"/>
      <c r="K221" s="100"/>
      <c r="L221" s="32"/>
      <c r="M221" s="29"/>
      <c r="R221" s="205"/>
      <c r="S221" s="264"/>
      <c r="T221" s="264"/>
      <c r="U221" s="261"/>
      <c r="V221" s="262"/>
      <c r="W221" s="262"/>
      <c r="X221" s="263"/>
    </row>
    <row r="222" spans="1:24">
      <c r="A222" s="77">
        <v>45784</v>
      </c>
      <c r="B222" s="170" t="s">
        <v>270</v>
      </c>
      <c r="C222" s="170" t="s">
        <v>92</v>
      </c>
      <c r="D222" s="347" t="s">
        <v>271</v>
      </c>
      <c r="E222" s="172">
        <v>-0.0215</v>
      </c>
      <c r="F222" s="173">
        <v>0.044</v>
      </c>
      <c r="G222" s="174">
        <v>0.0194</v>
      </c>
      <c r="H222" s="174">
        <v>0.0493</v>
      </c>
      <c r="I222" s="174"/>
      <c r="J222" s="100"/>
      <c r="K222" s="100"/>
      <c r="L222" s="32"/>
      <c r="M222" s="29"/>
      <c r="R222" s="207">
        <f t="shared" si="19"/>
        <v>0.142857142857143</v>
      </c>
      <c r="S222" s="18">
        <v>98</v>
      </c>
      <c r="T222" s="18">
        <v>14</v>
      </c>
      <c r="U222" s="261"/>
      <c r="V222" s="262"/>
      <c r="W222" s="262"/>
      <c r="X222" s="263"/>
    </row>
    <row r="223" spans="1:24">
      <c r="A223" s="101">
        <v>45785</v>
      </c>
      <c r="B223" s="259" t="s">
        <v>272</v>
      </c>
      <c r="C223" s="170" t="s">
        <v>102</v>
      </c>
      <c r="D223" s="171">
        <v>0.0568</v>
      </c>
      <c r="E223" s="172">
        <v>-0.0797</v>
      </c>
      <c r="F223" s="173" t="s">
        <v>96</v>
      </c>
      <c r="G223" s="174" t="s">
        <v>96</v>
      </c>
      <c r="H223" s="174">
        <v>0.014</v>
      </c>
      <c r="I223" s="228"/>
      <c r="J223" s="120">
        <v>-0.0797</v>
      </c>
      <c r="K223" s="120">
        <f>(1+J223)*K216</f>
        <v>1.19872102109069</v>
      </c>
      <c r="L223" s="51"/>
      <c r="M223" s="52"/>
      <c r="R223" s="199">
        <f t="shared" ref="R223:R254" si="20">T223/S223</f>
        <v>0.087378640776699</v>
      </c>
      <c r="S223" s="24">
        <v>103</v>
      </c>
      <c r="T223" s="24">
        <v>9</v>
      </c>
      <c r="U223" s="261"/>
      <c r="V223" s="262"/>
      <c r="W223" s="262"/>
      <c r="X223" s="263"/>
    </row>
    <row r="224" spans="1:24">
      <c r="A224" s="102"/>
      <c r="B224" s="259" t="s">
        <v>273</v>
      </c>
      <c r="C224" s="170" t="s">
        <v>90</v>
      </c>
      <c r="D224" s="171" t="s">
        <v>93</v>
      </c>
      <c r="E224" s="172">
        <v>-0.0656</v>
      </c>
      <c r="F224" s="173">
        <v>0.068</v>
      </c>
      <c r="G224" s="174">
        <v>-0.0329</v>
      </c>
      <c r="H224" s="174">
        <v>-0.0085</v>
      </c>
      <c r="I224" s="232"/>
      <c r="J224" s="239"/>
      <c r="K224" s="239"/>
      <c r="L224" s="233"/>
      <c r="M224" s="234"/>
      <c r="R224" s="206"/>
      <c r="S224" s="265"/>
      <c r="T224" s="265"/>
      <c r="U224" s="261"/>
      <c r="V224" s="262"/>
      <c r="W224" s="262"/>
      <c r="X224" s="263"/>
    </row>
    <row r="225" spans="1:24">
      <c r="A225" s="104"/>
      <c r="B225" s="259" t="s">
        <v>274</v>
      </c>
      <c r="C225" s="170" t="s">
        <v>74</v>
      </c>
      <c r="D225" s="222">
        <v>-0.0653</v>
      </c>
      <c r="E225" s="172">
        <v>-0.0096</v>
      </c>
      <c r="F225" s="173" t="s">
        <v>96</v>
      </c>
      <c r="G225" s="174">
        <v>0.0393</v>
      </c>
      <c r="H225" s="174">
        <v>-0.0145</v>
      </c>
      <c r="I225" s="227"/>
      <c r="J225" s="121"/>
      <c r="K225" s="121"/>
      <c r="L225" s="73"/>
      <c r="M225" s="74"/>
      <c r="R225" s="201"/>
      <c r="S225" s="264"/>
      <c r="T225" s="264"/>
      <c r="U225" s="261"/>
      <c r="V225" s="262"/>
      <c r="W225" s="262"/>
      <c r="X225" s="263"/>
    </row>
    <row r="226" spans="1:24">
      <c r="A226" s="127">
        <v>45786</v>
      </c>
      <c r="B226" s="259"/>
      <c r="C226" s="170"/>
      <c r="D226" s="171"/>
      <c r="E226" s="172"/>
      <c r="F226" s="173"/>
      <c r="G226" s="174"/>
      <c r="H226" s="174"/>
      <c r="I226" s="174"/>
      <c r="J226" s="32"/>
      <c r="K226" s="32"/>
      <c r="L226" s="32"/>
      <c r="M226" s="29"/>
      <c r="R226" s="195">
        <f t="shared" si="20"/>
        <v>0.137931034482759</v>
      </c>
      <c r="S226" s="18">
        <v>58</v>
      </c>
      <c r="T226" s="18">
        <v>8</v>
      </c>
      <c r="U226" s="261"/>
      <c r="V226" s="262"/>
      <c r="W226" s="262"/>
      <c r="X226" s="263"/>
    </row>
    <row r="227" spans="1:24">
      <c r="A227" s="77">
        <v>45789</v>
      </c>
      <c r="B227" s="259" t="s">
        <v>275</v>
      </c>
      <c r="C227" s="170" t="s">
        <v>102</v>
      </c>
      <c r="D227" s="171">
        <v>-0.0521</v>
      </c>
      <c r="E227" s="172">
        <v>0.0498</v>
      </c>
      <c r="F227" s="173">
        <v>-0.0563</v>
      </c>
      <c r="G227" s="174">
        <v>-0.0555</v>
      </c>
      <c r="H227" s="174">
        <v>0.0089</v>
      </c>
      <c r="I227" s="174"/>
      <c r="J227" s="34">
        <v>0.0498</v>
      </c>
      <c r="K227" s="34">
        <f>(1+J227)*K223</f>
        <v>1.25841732794101</v>
      </c>
      <c r="L227" s="34">
        <v>0.0498</v>
      </c>
      <c r="M227" s="41">
        <f>(1+L227)*M178</f>
        <v>3.57311390549472</v>
      </c>
      <c r="R227" s="195">
        <f t="shared" si="20"/>
        <v>0.0340909090909091</v>
      </c>
      <c r="S227" s="18">
        <v>88</v>
      </c>
      <c r="T227" s="18">
        <v>3</v>
      </c>
      <c r="U227" s="261"/>
      <c r="V227" s="262"/>
      <c r="W227" s="262"/>
      <c r="X227" s="263"/>
    </row>
    <row r="228" spans="1:24">
      <c r="A228" s="127">
        <v>45790</v>
      </c>
      <c r="B228" s="170"/>
      <c r="C228" s="170"/>
      <c r="D228" s="171"/>
      <c r="E228" s="172"/>
      <c r="F228" s="173"/>
      <c r="G228" s="174"/>
      <c r="H228" s="174"/>
      <c r="I228" s="174"/>
      <c r="J228" s="32"/>
      <c r="K228" s="32"/>
      <c r="L228" s="32"/>
      <c r="M228" s="29"/>
      <c r="R228" s="207">
        <f t="shared" si="20"/>
        <v>0.2</v>
      </c>
      <c r="S228" s="18">
        <v>70</v>
      </c>
      <c r="T228" s="18">
        <v>14</v>
      </c>
      <c r="U228" s="261"/>
      <c r="V228" s="262"/>
      <c r="W228" s="262"/>
      <c r="X228" s="263"/>
    </row>
    <row r="229" spans="1:24">
      <c r="A229" s="127">
        <v>45791</v>
      </c>
      <c r="B229" s="170"/>
      <c r="C229" s="170"/>
      <c r="D229" s="171"/>
      <c r="E229" s="172"/>
      <c r="F229" s="173"/>
      <c r="G229" s="174"/>
      <c r="H229" s="174"/>
      <c r="I229" s="174"/>
      <c r="J229" s="32"/>
      <c r="K229" s="32"/>
      <c r="L229" s="32"/>
      <c r="M229" s="29"/>
      <c r="R229" s="195">
        <f t="shared" si="20"/>
        <v>0.102272727272727</v>
      </c>
      <c r="S229" s="18">
        <v>88</v>
      </c>
      <c r="T229" s="18">
        <v>9</v>
      </c>
      <c r="U229" s="261"/>
      <c r="V229" s="262"/>
      <c r="W229" s="262"/>
      <c r="X229" s="263"/>
    </row>
    <row r="230" spans="1:24">
      <c r="A230" s="101">
        <v>45792</v>
      </c>
      <c r="B230" s="170" t="s">
        <v>276</v>
      </c>
      <c r="C230" s="170" t="s">
        <v>92</v>
      </c>
      <c r="D230" s="222">
        <v>-0.0066</v>
      </c>
      <c r="E230" s="172">
        <v>-0.0332</v>
      </c>
      <c r="F230" s="260">
        <v>-0.34</v>
      </c>
      <c r="G230" s="174">
        <v>-0.0414</v>
      </c>
      <c r="H230" s="174">
        <v>0.0216</v>
      </c>
      <c r="I230" s="174"/>
      <c r="J230" s="100"/>
      <c r="K230" s="100"/>
      <c r="L230" s="32"/>
      <c r="M230" s="29"/>
      <c r="R230" s="199">
        <f t="shared" si="20"/>
        <v>0.0133333333333333</v>
      </c>
      <c r="S230" s="24">
        <v>75</v>
      </c>
      <c r="T230" s="24">
        <v>1</v>
      </c>
      <c r="U230" s="261"/>
      <c r="V230" s="262"/>
      <c r="W230" s="262"/>
      <c r="X230" s="263"/>
    </row>
    <row r="231" spans="1:24">
      <c r="A231" s="104"/>
      <c r="B231" s="170" t="s">
        <v>246</v>
      </c>
      <c r="C231" s="170" t="s">
        <v>92</v>
      </c>
      <c r="D231" s="171">
        <v>-0.0759</v>
      </c>
      <c r="E231" s="172" t="s">
        <v>96</v>
      </c>
      <c r="F231" s="173" t="s">
        <v>96</v>
      </c>
      <c r="G231" s="174">
        <v>0.0355</v>
      </c>
      <c r="H231" s="348" t="s">
        <v>277</v>
      </c>
      <c r="I231" s="174"/>
      <c r="J231" s="100"/>
      <c r="K231" s="100"/>
      <c r="L231" s="32"/>
      <c r="M231" s="29"/>
      <c r="R231" s="201"/>
      <c r="S231" s="264"/>
      <c r="T231" s="264"/>
      <c r="U231" s="261"/>
      <c r="V231" s="262"/>
      <c r="W231" s="262"/>
      <c r="X231" s="263"/>
    </row>
    <row r="232" spans="1:24">
      <c r="A232" s="117">
        <v>45793</v>
      </c>
      <c r="B232" s="170" t="s">
        <v>278</v>
      </c>
      <c r="C232" s="170" t="s">
        <v>102</v>
      </c>
      <c r="D232" s="171">
        <v>-0.0647</v>
      </c>
      <c r="E232" s="172">
        <v>-0.0315</v>
      </c>
      <c r="F232" s="173">
        <v>-0.0163</v>
      </c>
      <c r="G232" s="174">
        <v>-0.0165</v>
      </c>
      <c r="H232" s="174">
        <v>-0.0058</v>
      </c>
      <c r="I232" s="174"/>
      <c r="J232" s="100">
        <v>-0.0315</v>
      </c>
      <c r="K232" s="100">
        <f>(1+J232)*K227</f>
        <v>1.21877718211086</v>
      </c>
      <c r="L232" s="32"/>
      <c r="M232" s="29"/>
      <c r="R232" s="207">
        <f t="shared" si="20"/>
        <v>0.161764705882353</v>
      </c>
      <c r="S232" s="18">
        <v>68</v>
      </c>
      <c r="T232" s="18">
        <v>11</v>
      </c>
      <c r="U232" s="261"/>
      <c r="V232" s="262"/>
      <c r="W232" s="262"/>
      <c r="X232" s="263"/>
    </row>
    <row r="233" spans="1:24">
      <c r="A233" s="127">
        <v>45796</v>
      </c>
      <c r="B233" s="170"/>
      <c r="C233" s="170"/>
      <c r="D233" s="171"/>
      <c r="E233" s="172"/>
      <c r="F233" s="173"/>
      <c r="G233" s="174"/>
      <c r="H233" s="174"/>
      <c r="I233" s="174"/>
      <c r="J233" s="100"/>
      <c r="K233" s="100"/>
      <c r="L233" s="32"/>
      <c r="M233" s="29"/>
      <c r="R233" s="195">
        <f t="shared" si="20"/>
        <v>0</v>
      </c>
      <c r="S233" s="18">
        <v>120</v>
      </c>
      <c r="T233" s="18">
        <v>0</v>
      </c>
      <c r="U233" s="261"/>
      <c r="V233" s="262"/>
      <c r="W233" s="262"/>
      <c r="X233" s="263"/>
    </row>
    <row r="234" spans="1:24">
      <c r="A234" s="101">
        <v>45797</v>
      </c>
      <c r="B234" s="170" t="s">
        <v>279</v>
      </c>
      <c r="C234" s="170" t="s">
        <v>95</v>
      </c>
      <c r="D234" s="171">
        <v>-0.0482</v>
      </c>
      <c r="E234" s="172" t="s">
        <v>93</v>
      </c>
      <c r="F234" s="173">
        <v>-0.0639</v>
      </c>
      <c r="G234" s="257">
        <v>-0.0321</v>
      </c>
      <c r="H234" s="174">
        <v>-0.029</v>
      </c>
      <c r="I234" s="174"/>
      <c r="J234" s="100">
        <v>-0.1</v>
      </c>
      <c r="K234" s="100">
        <f>(1+J234)*K232</f>
        <v>1.09689946389978</v>
      </c>
      <c r="L234" s="100">
        <v>-0.1</v>
      </c>
      <c r="M234" s="68">
        <f>(1+L234)*M227</f>
        <v>3.21580251494525</v>
      </c>
      <c r="R234" s="199">
        <f t="shared" si="20"/>
        <v>0.0909090909090909</v>
      </c>
      <c r="S234" s="24">
        <v>99</v>
      </c>
      <c r="T234" s="24">
        <v>9</v>
      </c>
      <c r="U234" s="261"/>
      <c r="V234" s="262"/>
      <c r="W234" s="262"/>
      <c r="X234" s="263"/>
    </row>
    <row r="235" spans="1:24">
      <c r="A235" s="104"/>
      <c r="B235" s="170" t="s">
        <v>246</v>
      </c>
      <c r="C235" s="170" t="s">
        <v>92</v>
      </c>
      <c r="D235" s="171">
        <v>-0.0355</v>
      </c>
      <c r="E235" s="349" t="s">
        <v>277</v>
      </c>
      <c r="F235" s="173" t="s">
        <v>93</v>
      </c>
      <c r="G235" s="174">
        <v>0.0303</v>
      </c>
      <c r="H235" s="174">
        <v>0.099</v>
      </c>
      <c r="I235" s="174"/>
      <c r="J235" s="100"/>
      <c r="K235" s="100"/>
      <c r="L235" s="32"/>
      <c r="M235" s="29"/>
      <c r="R235" s="201"/>
      <c r="S235" s="264"/>
      <c r="T235" s="264"/>
      <c r="U235" s="261"/>
      <c r="V235" s="262"/>
      <c r="W235" s="262"/>
      <c r="X235" s="263"/>
    </row>
    <row r="236" spans="1:24">
      <c r="A236" s="77">
        <v>45798</v>
      </c>
      <c r="B236" s="170" t="s">
        <v>280</v>
      </c>
      <c r="C236" s="170" t="s">
        <v>90</v>
      </c>
      <c r="D236" s="171">
        <v>0.0119</v>
      </c>
      <c r="E236" s="172" t="s">
        <v>93</v>
      </c>
      <c r="F236" s="173">
        <v>-0.0758</v>
      </c>
      <c r="G236" s="174">
        <v>0.0304</v>
      </c>
      <c r="H236" s="174">
        <v>0.0068</v>
      </c>
      <c r="I236" s="174"/>
      <c r="J236" s="100"/>
      <c r="K236" s="100"/>
      <c r="L236" s="32"/>
      <c r="M236" s="29"/>
      <c r="R236" s="195">
        <f t="shared" si="20"/>
        <v>0.036144578313253</v>
      </c>
      <c r="S236" s="18">
        <v>83</v>
      </c>
      <c r="T236" s="18">
        <v>3</v>
      </c>
      <c r="U236" s="261"/>
      <c r="V236" s="262"/>
      <c r="W236" s="262"/>
      <c r="X236" s="263"/>
    </row>
    <row r="237" spans="1:24">
      <c r="A237" s="127">
        <v>45799</v>
      </c>
      <c r="B237" s="170"/>
      <c r="C237" s="170"/>
      <c r="D237" s="171"/>
      <c r="E237" s="172"/>
      <c r="F237" s="173"/>
      <c r="G237" s="174"/>
      <c r="H237" s="174"/>
      <c r="I237" s="174"/>
      <c r="J237" s="100"/>
      <c r="K237" s="100"/>
      <c r="L237" s="32"/>
      <c r="M237" s="29"/>
      <c r="R237" s="207">
        <f t="shared" si="20"/>
        <v>0.34</v>
      </c>
      <c r="S237" s="18">
        <v>50</v>
      </c>
      <c r="T237" s="18">
        <v>17</v>
      </c>
      <c r="U237" s="261"/>
      <c r="V237" s="262"/>
      <c r="W237" s="262"/>
      <c r="X237" s="263"/>
    </row>
    <row r="238" spans="1:24">
      <c r="A238" s="117">
        <v>45800</v>
      </c>
      <c r="B238" s="170" t="s">
        <v>281</v>
      </c>
      <c r="C238" s="170" t="s">
        <v>74</v>
      </c>
      <c r="D238" s="171">
        <v>-0.0129</v>
      </c>
      <c r="E238" s="172">
        <v>-0.0521</v>
      </c>
      <c r="F238" s="173">
        <v>-0.0292</v>
      </c>
      <c r="G238" s="174">
        <v>-0.0602</v>
      </c>
      <c r="H238" s="174">
        <v>-0.0075</v>
      </c>
      <c r="I238" s="174"/>
      <c r="J238" s="100">
        <v>-0.0521</v>
      </c>
      <c r="K238" s="100">
        <f>(1+J238)*K234</f>
        <v>1.0397510018306</v>
      </c>
      <c r="L238" s="32"/>
      <c r="M238" s="29"/>
      <c r="R238" s="207">
        <f t="shared" si="20"/>
        <v>0.392156862745098</v>
      </c>
      <c r="S238" s="18">
        <v>51</v>
      </c>
      <c r="T238" s="18">
        <v>20</v>
      </c>
      <c r="U238" s="261"/>
      <c r="V238" s="262"/>
      <c r="W238" s="262"/>
      <c r="X238" s="263"/>
    </row>
    <row r="239" spans="1:24">
      <c r="A239" s="77">
        <v>45803</v>
      </c>
      <c r="B239" s="170" t="s">
        <v>282</v>
      </c>
      <c r="C239" s="170" t="s">
        <v>102</v>
      </c>
      <c r="D239" s="171" t="s">
        <v>283</v>
      </c>
      <c r="E239" s="172">
        <v>-0.0721</v>
      </c>
      <c r="F239" s="173">
        <v>-0.0748</v>
      </c>
      <c r="G239" s="174">
        <v>0.0181</v>
      </c>
      <c r="H239" s="174">
        <v>-0.0208</v>
      </c>
      <c r="I239" s="174"/>
      <c r="J239" s="100">
        <v>-0.0721</v>
      </c>
      <c r="K239" s="100">
        <f>(1+J239)*K238</f>
        <v>0.964784954598613</v>
      </c>
      <c r="L239" s="32"/>
      <c r="M239" s="29"/>
      <c r="R239" s="195">
        <f t="shared" si="20"/>
        <v>0.0476190476190476</v>
      </c>
      <c r="S239" s="18">
        <v>84</v>
      </c>
      <c r="T239" s="18">
        <v>4</v>
      </c>
      <c r="U239" s="261"/>
      <c r="V239" s="262"/>
      <c r="W239" s="262"/>
      <c r="X239" s="263"/>
    </row>
    <row r="240" spans="1:24">
      <c r="A240" s="77">
        <v>45804</v>
      </c>
      <c r="B240" s="170" t="s">
        <v>284</v>
      </c>
      <c r="C240" s="170" t="s">
        <v>92</v>
      </c>
      <c r="D240" s="222">
        <v>0.0609</v>
      </c>
      <c r="E240" s="256">
        <v>-0.075</v>
      </c>
      <c r="F240" s="173">
        <v>-0.0155</v>
      </c>
      <c r="G240" s="174">
        <v>-0.0403</v>
      </c>
      <c r="H240" s="174" t="s">
        <v>96</v>
      </c>
      <c r="I240" s="174"/>
      <c r="J240" s="100"/>
      <c r="K240" s="100"/>
      <c r="L240" s="32"/>
      <c r="M240" s="29"/>
      <c r="R240" s="195">
        <f t="shared" si="20"/>
        <v>0.0526315789473684</v>
      </c>
      <c r="S240" s="18">
        <v>95</v>
      </c>
      <c r="T240" s="18">
        <v>5</v>
      </c>
      <c r="U240" s="261"/>
      <c r="V240" s="262"/>
      <c r="W240" s="262"/>
      <c r="X240" s="263"/>
    </row>
    <row r="241" spans="1:24">
      <c r="A241" s="127">
        <v>45805</v>
      </c>
      <c r="B241" s="170"/>
      <c r="C241" s="170"/>
      <c r="D241" s="171"/>
      <c r="E241" s="172"/>
      <c r="F241" s="173"/>
      <c r="G241" s="174"/>
      <c r="H241" s="174"/>
      <c r="I241" s="174"/>
      <c r="J241" s="100"/>
      <c r="K241" s="100"/>
      <c r="L241" s="32"/>
      <c r="M241" s="29"/>
      <c r="R241" s="195">
        <f t="shared" si="20"/>
        <v>0.12</v>
      </c>
      <c r="S241" s="18">
        <v>75</v>
      </c>
      <c r="T241" s="18">
        <v>9</v>
      </c>
      <c r="U241" s="261"/>
      <c r="V241" s="262"/>
      <c r="W241" s="262"/>
      <c r="X241" s="263"/>
    </row>
    <row r="242" spans="1:24">
      <c r="A242" s="127">
        <v>45806</v>
      </c>
      <c r="B242" s="170"/>
      <c r="C242" s="170"/>
      <c r="D242" s="171"/>
      <c r="E242" s="172"/>
      <c r="F242" s="173"/>
      <c r="G242" s="174"/>
      <c r="H242" s="174"/>
      <c r="I242" s="174"/>
      <c r="J242" s="100"/>
      <c r="K242" s="100"/>
      <c r="L242" s="32"/>
      <c r="M242" s="29"/>
      <c r="R242" s="195">
        <f t="shared" si="20"/>
        <v>0.127118644067797</v>
      </c>
      <c r="S242" s="18">
        <v>118</v>
      </c>
      <c r="T242" s="18">
        <v>15</v>
      </c>
      <c r="U242" s="261"/>
      <c r="V242" s="262"/>
      <c r="W242" s="262"/>
      <c r="X242" s="263"/>
    </row>
    <row r="243" spans="1:24">
      <c r="A243" s="105">
        <v>45807</v>
      </c>
      <c r="B243" s="170" t="s">
        <v>285</v>
      </c>
      <c r="C243" s="170" t="s">
        <v>102</v>
      </c>
      <c r="D243" s="171" t="s">
        <v>286</v>
      </c>
      <c r="E243" s="172" t="s">
        <v>93</v>
      </c>
      <c r="F243" s="173" t="s">
        <v>96</v>
      </c>
      <c r="G243" s="174">
        <v>-0.095</v>
      </c>
      <c r="H243" s="174">
        <v>-0.0137</v>
      </c>
      <c r="I243" s="228"/>
      <c r="J243" s="120">
        <v>-0.1</v>
      </c>
      <c r="K243" s="120">
        <f>(1+J243)*K239</f>
        <v>0.868306459138752</v>
      </c>
      <c r="L243" s="32"/>
      <c r="M243" s="29"/>
      <c r="R243" s="202">
        <f t="shared" si="20"/>
        <v>0.365384615384615</v>
      </c>
      <c r="S243" s="24">
        <v>52</v>
      </c>
      <c r="T243" s="24">
        <v>19</v>
      </c>
      <c r="U243" s="261"/>
      <c r="V243" s="262"/>
      <c r="W243" s="262"/>
      <c r="X243" s="263"/>
    </row>
    <row r="244" spans="1:24">
      <c r="A244" s="118"/>
      <c r="B244" s="170" t="s">
        <v>287</v>
      </c>
      <c r="C244" s="170" t="s">
        <v>92</v>
      </c>
      <c r="D244" s="171">
        <v>0.0413</v>
      </c>
      <c r="E244" s="172">
        <v>-0.0578</v>
      </c>
      <c r="F244" s="173">
        <v>-0.0604</v>
      </c>
      <c r="G244" s="174">
        <v>0.005</v>
      </c>
      <c r="H244" s="174">
        <v>-0.0634</v>
      </c>
      <c r="I244" s="227"/>
      <c r="J244" s="121"/>
      <c r="K244" s="121"/>
      <c r="L244" s="32"/>
      <c r="M244" s="29"/>
      <c r="R244" s="205"/>
      <c r="S244" s="264"/>
      <c r="T244" s="264"/>
      <c r="U244" s="261"/>
      <c r="V244" s="262"/>
      <c r="W244" s="262"/>
      <c r="X244" s="263"/>
    </row>
    <row r="245" spans="1:24">
      <c r="A245" s="127">
        <v>45811</v>
      </c>
      <c r="B245" s="170"/>
      <c r="C245" s="170"/>
      <c r="D245" s="171"/>
      <c r="E245" s="172"/>
      <c r="F245" s="173"/>
      <c r="G245" s="174"/>
      <c r="H245" s="174"/>
      <c r="I245" s="174"/>
      <c r="J245" s="100"/>
      <c r="K245" s="100"/>
      <c r="L245" s="32"/>
      <c r="M245" s="29"/>
      <c r="R245" s="207">
        <f t="shared" si="20"/>
        <v>0.148148148148148</v>
      </c>
      <c r="S245" s="18">
        <v>81</v>
      </c>
      <c r="T245" s="18">
        <v>12</v>
      </c>
      <c r="U245" s="261"/>
      <c r="V245" s="262"/>
      <c r="W245" s="262"/>
      <c r="X245" s="263"/>
    </row>
    <row r="246" spans="1:24">
      <c r="A246" s="101">
        <v>45812</v>
      </c>
      <c r="B246" s="170" t="s">
        <v>288</v>
      </c>
      <c r="C246" s="170" t="s">
        <v>92</v>
      </c>
      <c r="D246" s="171" t="s">
        <v>289</v>
      </c>
      <c r="E246" s="172">
        <v>-0.0885</v>
      </c>
      <c r="F246" s="173">
        <v>0.0324</v>
      </c>
      <c r="G246" s="174">
        <v>0.0209</v>
      </c>
      <c r="H246" s="174">
        <v>-0.0219</v>
      </c>
      <c r="I246" s="174"/>
      <c r="J246" s="100"/>
      <c r="K246" s="100"/>
      <c r="L246" s="32"/>
      <c r="M246" s="29"/>
      <c r="R246" s="199">
        <f t="shared" si="20"/>
        <v>0.0232558139534884</v>
      </c>
      <c r="S246" s="24">
        <v>86</v>
      </c>
      <c r="T246" s="24">
        <v>2</v>
      </c>
      <c r="U246" s="261"/>
      <c r="V246" s="262"/>
      <c r="W246" s="262"/>
      <c r="X246" s="263"/>
    </row>
    <row r="247" spans="1:24">
      <c r="A247" s="104"/>
      <c r="B247" s="170" t="s">
        <v>290</v>
      </c>
      <c r="C247" s="170" t="s">
        <v>95</v>
      </c>
      <c r="D247" s="171" t="s">
        <v>93</v>
      </c>
      <c r="E247" s="172">
        <v>-0.0812</v>
      </c>
      <c r="F247" s="173">
        <v>-0.01</v>
      </c>
      <c r="G247" s="174">
        <v>-0.0029</v>
      </c>
      <c r="H247" s="174">
        <v>-0.0209</v>
      </c>
      <c r="I247" s="174"/>
      <c r="J247" s="100"/>
      <c r="K247" s="100"/>
      <c r="L247" s="32"/>
      <c r="M247" s="29"/>
      <c r="R247" s="201"/>
      <c r="S247" s="264"/>
      <c r="T247" s="264"/>
      <c r="U247" s="261"/>
      <c r="V247" s="262"/>
      <c r="W247" s="262"/>
      <c r="X247" s="263"/>
    </row>
    <row r="248" spans="1:24">
      <c r="A248" s="101">
        <v>45813</v>
      </c>
      <c r="B248" s="170" t="s">
        <v>291</v>
      </c>
      <c r="C248" s="170" t="s">
        <v>74</v>
      </c>
      <c r="D248" s="171">
        <v>0.0344</v>
      </c>
      <c r="E248" s="172">
        <v>-0.0107</v>
      </c>
      <c r="F248" s="173" t="s">
        <v>292</v>
      </c>
      <c r="G248" s="174">
        <v>-0.0881</v>
      </c>
      <c r="H248" s="174">
        <v>-0.0389</v>
      </c>
      <c r="I248" s="228"/>
      <c r="J248" s="120">
        <v>-0.1</v>
      </c>
      <c r="K248" s="120">
        <f>(1+J248)*K243</f>
        <v>0.781475813224877</v>
      </c>
      <c r="L248" s="51"/>
      <c r="M248" s="52"/>
      <c r="R248" s="202">
        <f t="shared" si="20"/>
        <v>0.16</v>
      </c>
      <c r="S248" s="24">
        <v>75</v>
      </c>
      <c r="T248" s="24">
        <v>12</v>
      </c>
      <c r="U248" s="261"/>
      <c r="V248" s="262"/>
      <c r="W248" s="262"/>
      <c r="X248" s="263"/>
    </row>
    <row r="249" spans="1:24">
      <c r="A249" s="104"/>
      <c r="B249" s="170" t="s">
        <v>293</v>
      </c>
      <c r="C249" s="170" t="s">
        <v>102</v>
      </c>
      <c r="D249" s="347" t="s">
        <v>294</v>
      </c>
      <c r="E249" s="172" t="s">
        <v>93</v>
      </c>
      <c r="F249" s="173">
        <v>-0.0379</v>
      </c>
      <c r="G249" s="174">
        <v>-0.0404</v>
      </c>
      <c r="H249" s="174">
        <v>0.0128</v>
      </c>
      <c r="I249" s="227"/>
      <c r="J249" s="121"/>
      <c r="K249" s="121"/>
      <c r="L249" s="73"/>
      <c r="M249" s="74"/>
      <c r="R249" s="205"/>
      <c r="S249" s="264"/>
      <c r="T249" s="264"/>
      <c r="U249" s="261"/>
      <c r="V249" s="262"/>
      <c r="W249" s="262"/>
      <c r="X249" s="263"/>
    </row>
    <row r="250" spans="1:24">
      <c r="A250" s="127">
        <v>45814</v>
      </c>
      <c r="B250" s="170"/>
      <c r="C250" s="170"/>
      <c r="D250" s="171"/>
      <c r="E250" s="172"/>
      <c r="F250" s="173"/>
      <c r="G250" s="174"/>
      <c r="H250" s="174"/>
      <c r="I250" s="174"/>
      <c r="J250" s="100"/>
      <c r="K250" s="100"/>
      <c r="L250" s="32"/>
      <c r="M250" s="29"/>
      <c r="R250" s="195">
        <f t="shared" si="20"/>
        <v>0.0769230769230769</v>
      </c>
      <c r="S250" s="18">
        <v>65</v>
      </c>
      <c r="T250" s="18">
        <v>5</v>
      </c>
      <c r="U250" s="261"/>
      <c r="V250" s="262"/>
      <c r="W250" s="262"/>
      <c r="X250" s="263"/>
    </row>
    <row r="251" spans="1:24">
      <c r="A251" s="127">
        <v>45817</v>
      </c>
      <c r="B251" s="170"/>
      <c r="C251" s="170"/>
      <c r="D251" s="171"/>
      <c r="E251" s="172"/>
      <c r="F251" s="173"/>
      <c r="G251" s="174"/>
      <c r="H251" s="174"/>
      <c r="I251" s="174"/>
      <c r="J251" s="32"/>
      <c r="K251" s="32"/>
      <c r="L251" s="32"/>
      <c r="M251" s="29"/>
      <c r="R251" s="195">
        <f t="shared" si="20"/>
        <v>0.0348837209302326</v>
      </c>
      <c r="S251" s="18">
        <v>86</v>
      </c>
      <c r="T251" s="18">
        <v>3</v>
      </c>
      <c r="U251" s="261"/>
      <c r="V251" s="262"/>
      <c r="W251" s="262"/>
      <c r="X251" s="263"/>
    </row>
    <row r="252" spans="1:24">
      <c r="A252" s="77">
        <v>45818</v>
      </c>
      <c r="B252" s="170" t="s">
        <v>295</v>
      </c>
      <c r="C252" s="170" t="s">
        <v>102</v>
      </c>
      <c r="D252" s="171">
        <v>0.0181</v>
      </c>
      <c r="E252" s="172" t="s">
        <v>96</v>
      </c>
      <c r="F252" s="173">
        <v>-0.0146</v>
      </c>
      <c r="G252" s="174">
        <v>-0.0973</v>
      </c>
      <c r="H252" s="174">
        <v>0.048</v>
      </c>
      <c r="I252" s="174"/>
      <c r="J252" s="34">
        <v>0.1</v>
      </c>
      <c r="K252" s="34">
        <f>(1+J252)*K248</f>
        <v>0.859623394547365</v>
      </c>
      <c r="L252" s="34">
        <v>0.1</v>
      </c>
      <c r="M252" s="41">
        <f>(1+L252)*M234</f>
        <v>3.53738276643978</v>
      </c>
      <c r="R252" s="195">
        <f t="shared" si="20"/>
        <v>0.0338983050847458</v>
      </c>
      <c r="S252" s="18">
        <v>59</v>
      </c>
      <c r="T252" s="18">
        <v>2</v>
      </c>
      <c r="U252" s="261"/>
      <c r="V252" s="262"/>
      <c r="W252" s="262"/>
      <c r="X252" s="263"/>
    </row>
    <row r="253" spans="1:24">
      <c r="A253" s="77">
        <v>45819</v>
      </c>
      <c r="B253" s="170" t="s">
        <v>296</v>
      </c>
      <c r="C253" s="170" t="s">
        <v>102</v>
      </c>
      <c r="D253" s="171">
        <v>-0.0133</v>
      </c>
      <c r="E253" s="172">
        <v>-0.071</v>
      </c>
      <c r="F253" s="173">
        <v>-0.0424</v>
      </c>
      <c r="G253" s="174">
        <v>-0.0052</v>
      </c>
      <c r="H253" s="174">
        <v>0.0105</v>
      </c>
      <c r="I253" s="174"/>
      <c r="J253" s="100">
        <v>-0.071</v>
      </c>
      <c r="K253" s="100">
        <f>(1+J253)*K252</f>
        <v>0.798590133534502</v>
      </c>
      <c r="L253" s="100">
        <v>-0.071</v>
      </c>
      <c r="M253" s="68">
        <f>(1+L253)*M252</f>
        <v>3.28622859002255</v>
      </c>
      <c r="R253" s="195">
        <f t="shared" si="20"/>
        <v>0.0845070422535211</v>
      </c>
      <c r="S253" s="18">
        <v>71</v>
      </c>
      <c r="T253" s="18">
        <v>6</v>
      </c>
      <c r="U253" s="261"/>
      <c r="V253" s="262"/>
      <c r="W253" s="262"/>
      <c r="X253" s="263"/>
    </row>
    <row r="254" spans="1:24">
      <c r="A254" s="77">
        <v>45820</v>
      </c>
      <c r="B254" s="170" t="s">
        <v>297</v>
      </c>
      <c r="C254" s="170" t="s">
        <v>102</v>
      </c>
      <c r="D254" s="171">
        <v>-0.0671</v>
      </c>
      <c r="E254" s="172">
        <v>-0.08</v>
      </c>
      <c r="F254" s="173">
        <v>-0.0401</v>
      </c>
      <c r="G254" s="174">
        <v>-0.0163</v>
      </c>
      <c r="H254" s="174">
        <v>-0.0135</v>
      </c>
      <c r="I254" s="174"/>
      <c r="J254" s="100">
        <v>-0.08</v>
      </c>
      <c r="K254" s="100">
        <f>(1+J254)*K253</f>
        <v>0.734702922851742</v>
      </c>
      <c r="L254" s="100">
        <v>-0.08</v>
      </c>
      <c r="M254" s="68">
        <f>(1+L254)*M253</f>
        <v>3.02333030282075</v>
      </c>
      <c r="R254" s="195">
        <f t="shared" si="20"/>
        <v>0.0684931506849315</v>
      </c>
      <c r="S254" s="18">
        <v>73</v>
      </c>
      <c r="T254" s="18">
        <v>5</v>
      </c>
      <c r="U254" s="261"/>
      <c r="V254" s="262"/>
      <c r="W254" s="262"/>
      <c r="X254" s="263"/>
    </row>
    <row r="255" spans="1:24">
      <c r="A255" s="117">
        <v>45821</v>
      </c>
      <c r="B255" s="170" t="s">
        <v>298</v>
      </c>
      <c r="C255" s="170" t="s">
        <v>102</v>
      </c>
      <c r="D255" s="171">
        <v>-0.0557</v>
      </c>
      <c r="E255" s="172">
        <v>0.027</v>
      </c>
      <c r="F255" s="173">
        <v>-0.0478</v>
      </c>
      <c r="G255" s="174">
        <v>-0.0314</v>
      </c>
      <c r="H255" s="174">
        <v>-0.0311</v>
      </c>
      <c r="I255" s="174"/>
      <c r="J255" s="34">
        <v>0.027</v>
      </c>
      <c r="K255" s="34">
        <f>(1+J255)*K254</f>
        <v>0.754539901768739</v>
      </c>
      <c r="L255" s="32"/>
      <c r="M255" s="29"/>
      <c r="R255" s="207">
        <f t="shared" ref="R255:R274" si="21">T255/S255</f>
        <v>0.241935483870968</v>
      </c>
      <c r="S255" s="18">
        <v>62</v>
      </c>
      <c r="T255" s="18">
        <v>15</v>
      </c>
      <c r="U255" s="261"/>
      <c r="V255" s="262"/>
      <c r="W255" s="262"/>
      <c r="X255" s="263"/>
    </row>
    <row r="256" spans="1:24">
      <c r="A256" s="101">
        <v>45824</v>
      </c>
      <c r="B256" s="170" t="s">
        <v>299</v>
      </c>
      <c r="C256" s="170" t="s">
        <v>102</v>
      </c>
      <c r="D256" s="171">
        <v>0.0319</v>
      </c>
      <c r="E256" s="172">
        <v>0.0295</v>
      </c>
      <c r="F256" s="173" t="s">
        <v>300</v>
      </c>
      <c r="G256" s="174">
        <v>0.0186</v>
      </c>
      <c r="H256" s="174" t="s">
        <v>96</v>
      </c>
      <c r="I256" s="228"/>
      <c r="J256" s="60">
        <v>0.0295</v>
      </c>
      <c r="K256" s="60">
        <f>(1+J256)*K255</f>
        <v>0.776798828870916</v>
      </c>
      <c r="L256" s="60">
        <v>0.0295</v>
      </c>
      <c r="M256" s="61">
        <f>(1+L256)*M254</f>
        <v>3.11251854675396</v>
      </c>
      <c r="R256" s="199">
        <f t="shared" si="21"/>
        <v>0.0821917808219178</v>
      </c>
      <c r="S256" s="24">
        <v>73</v>
      </c>
      <c r="T256" s="24">
        <v>6</v>
      </c>
      <c r="U256" s="261"/>
      <c r="V256" s="262"/>
      <c r="W256" s="262"/>
      <c r="X256" s="263"/>
    </row>
    <row r="257" spans="1:24">
      <c r="A257" s="104"/>
      <c r="B257" s="170" t="s">
        <v>301</v>
      </c>
      <c r="C257" s="170" t="s">
        <v>92</v>
      </c>
      <c r="D257" s="347" t="s">
        <v>302</v>
      </c>
      <c r="E257" s="172">
        <v>-0.0499</v>
      </c>
      <c r="F257" s="173" t="s">
        <v>96</v>
      </c>
      <c r="G257" s="174" t="s">
        <v>93</v>
      </c>
      <c r="H257" s="174">
        <v>0.0574</v>
      </c>
      <c r="I257" s="227"/>
      <c r="J257" s="65"/>
      <c r="K257" s="65"/>
      <c r="L257" s="65"/>
      <c r="M257" s="66"/>
      <c r="R257" s="201"/>
      <c r="S257" s="264"/>
      <c r="T257" s="264"/>
      <c r="U257" s="261"/>
      <c r="V257" s="262"/>
      <c r="W257" s="262"/>
      <c r="X257" s="263"/>
    </row>
    <row r="258" spans="1:24">
      <c r="A258" s="77">
        <v>45825</v>
      </c>
      <c r="B258" s="170" t="s">
        <v>303</v>
      </c>
      <c r="C258" s="170" t="s">
        <v>92</v>
      </c>
      <c r="D258" s="171">
        <v>-0.0862</v>
      </c>
      <c r="E258" s="172">
        <v>-0.0095</v>
      </c>
      <c r="F258" s="173">
        <v>-0.0473</v>
      </c>
      <c r="G258" s="174">
        <v>-0.0336</v>
      </c>
      <c r="H258" s="174">
        <v>0.0507</v>
      </c>
      <c r="I258" s="174"/>
      <c r="J258" s="100"/>
      <c r="K258" s="100"/>
      <c r="L258" s="32"/>
      <c r="M258" s="29"/>
      <c r="R258" s="195">
        <f t="shared" si="21"/>
        <v>0.133333333333333</v>
      </c>
      <c r="S258" s="18">
        <v>60</v>
      </c>
      <c r="T258" s="18">
        <v>8</v>
      </c>
      <c r="U258" s="261"/>
      <c r="V258" s="262"/>
      <c r="W258" s="262"/>
      <c r="X258" s="263"/>
    </row>
    <row r="259" spans="1:24">
      <c r="A259" s="127">
        <v>45826</v>
      </c>
      <c r="B259" s="170"/>
      <c r="C259" s="170"/>
      <c r="D259" s="171"/>
      <c r="E259" s="172"/>
      <c r="F259" s="173"/>
      <c r="G259" s="174"/>
      <c r="H259" s="174"/>
      <c r="I259" s="174"/>
      <c r="J259" s="100"/>
      <c r="K259" s="100"/>
      <c r="L259" s="32"/>
      <c r="M259" s="29"/>
      <c r="R259" s="207">
        <f t="shared" si="21"/>
        <v>0.26530612244898</v>
      </c>
      <c r="S259" s="18">
        <v>49</v>
      </c>
      <c r="T259" s="18">
        <v>13</v>
      </c>
      <c r="U259" s="261"/>
      <c r="V259" s="262"/>
      <c r="W259" s="262"/>
      <c r="X259" s="263"/>
    </row>
    <row r="260" spans="1:24">
      <c r="A260" s="101">
        <v>45827</v>
      </c>
      <c r="B260" s="170" t="s">
        <v>304</v>
      </c>
      <c r="C260" s="170" t="s">
        <v>102</v>
      </c>
      <c r="D260" s="171">
        <v>-0.0972</v>
      </c>
      <c r="E260" s="172">
        <v>-0.0799</v>
      </c>
      <c r="F260" s="173">
        <v>0.023</v>
      </c>
      <c r="G260" s="174">
        <v>0.0069</v>
      </c>
      <c r="H260" s="174">
        <v>0.0069</v>
      </c>
      <c r="I260" s="174"/>
      <c r="J260" s="100">
        <v>-0.0799</v>
      </c>
      <c r="K260" s="100">
        <f>(1+J260)*K256</f>
        <v>0.71473260244413</v>
      </c>
      <c r="L260" s="32"/>
      <c r="M260" s="29"/>
      <c r="R260" s="207">
        <f t="shared" si="21"/>
        <v>0.512820512820513</v>
      </c>
      <c r="S260" s="18">
        <v>39</v>
      </c>
      <c r="T260" s="18">
        <v>20</v>
      </c>
      <c r="U260" s="261"/>
      <c r="V260" s="262"/>
      <c r="W260" s="262"/>
      <c r="X260" s="263"/>
    </row>
    <row r="261" spans="1:24">
      <c r="A261" s="127">
        <v>45828</v>
      </c>
      <c r="B261" s="170"/>
      <c r="C261" s="170"/>
      <c r="D261" s="171"/>
      <c r="E261" s="172"/>
      <c r="F261" s="173"/>
      <c r="G261" s="174"/>
      <c r="H261" s="174"/>
      <c r="I261" s="174"/>
      <c r="J261" s="100"/>
      <c r="K261" s="100"/>
      <c r="L261" s="32"/>
      <c r="M261" s="29"/>
      <c r="R261" s="207">
        <f t="shared" si="21"/>
        <v>0.365384615384615</v>
      </c>
      <c r="S261" s="18">
        <v>52</v>
      </c>
      <c r="T261" s="18">
        <v>19</v>
      </c>
      <c r="U261" s="261"/>
      <c r="V261" s="262"/>
      <c r="W261" s="262"/>
      <c r="X261" s="263"/>
    </row>
    <row r="262" spans="1:24">
      <c r="A262" s="127">
        <v>45831</v>
      </c>
      <c r="B262" s="170"/>
      <c r="C262" s="170"/>
      <c r="D262" s="171"/>
      <c r="E262" s="172"/>
      <c r="F262" s="173"/>
      <c r="G262" s="174"/>
      <c r="H262" s="174"/>
      <c r="I262" s="174"/>
      <c r="J262" s="100"/>
      <c r="K262" s="100"/>
      <c r="L262" s="32"/>
      <c r="M262" s="29"/>
      <c r="R262" s="195">
        <f t="shared" si="21"/>
        <v>0.0119047619047619</v>
      </c>
      <c r="S262" s="18">
        <v>84</v>
      </c>
      <c r="T262" s="18">
        <v>1</v>
      </c>
      <c r="U262" s="261"/>
      <c r="V262" s="262"/>
      <c r="W262" s="262"/>
      <c r="X262" s="263"/>
    </row>
    <row r="263" spans="1:24">
      <c r="A263" s="101">
        <v>45832</v>
      </c>
      <c r="B263" s="213" t="s">
        <v>305</v>
      </c>
      <c r="C263" s="170" t="s">
        <v>102</v>
      </c>
      <c r="D263" s="171">
        <v>0.0229</v>
      </c>
      <c r="E263" s="172">
        <v>-0.0978</v>
      </c>
      <c r="F263" s="173">
        <v>0.0474</v>
      </c>
      <c r="G263" s="174">
        <v>-0.0345</v>
      </c>
      <c r="H263" s="174">
        <v>0.0179</v>
      </c>
      <c r="I263" s="228"/>
      <c r="J263" s="120">
        <v>-0.034</v>
      </c>
      <c r="K263" s="120">
        <f>(1+J263)*K260</f>
        <v>0.69043169396103</v>
      </c>
      <c r="L263" s="51"/>
      <c r="M263" s="52"/>
      <c r="R263" s="202">
        <f t="shared" si="21"/>
        <v>0.226190476190476</v>
      </c>
      <c r="S263" s="24">
        <v>84</v>
      </c>
      <c r="T263" s="24">
        <v>19</v>
      </c>
      <c r="U263" s="261"/>
      <c r="V263" s="262"/>
      <c r="W263" s="262"/>
      <c r="X263" s="263"/>
    </row>
    <row r="264" spans="1:24">
      <c r="A264" s="104"/>
      <c r="B264" s="170" t="s">
        <v>306</v>
      </c>
      <c r="C264" s="170" t="s">
        <v>102</v>
      </c>
      <c r="D264" s="171">
        <v>-0.0985</v>
      </c>
      <c r="E264" s="172">
        <v>0.0301</v>
      </c>
      <c r="F264" s="173">
        <v>-0.0313</v>
      </c>
      <c r="G264" s="174">
        <v>-0.0098</v>
      </c>
      <c r="H264" s="174">
        <v>0</v>
      </c>
      <c r="I264" s="227"/>
      <c r="J264" s="121"/>
      <c r="K264" s="121"/>
      <c r="L264" s="73"/>
      <c r="M264" s="74"/>
      <c r="R264" s="205"/>
      <c r="S264" s="264"/>
      <c r="T264" s="264"/>
      <c r="U264" s="261"/>
      <c r="V264" s="262"/>
      <c r="W264" s="262"/>
      <c r="X264" s="263"/>
    </row>
    <row r="265" spans="1:24">
      <c r="A265" s="127">
        <v>45833</v>
      </c>
      <c r="B265" s="170"/>
      <c r="C265" s="170"/>
      <c r="D265" s="171"/>
      <c r="E265" s="172"/>
      <c r="F265" s="173"/>
      <c r="G265" s="174"/>
      <c r="H265" s="174"/>
      <c r="I265" s="174"/>
      <c r="J265" s="34"/>
      <c r="K265" s="34"/>
      <c r="L265" s="32"/>
      <c r="M265" s="29"/>
      <c r="R265" s="195">
        <f t="shared" si="21"/>
        <v>0.0779220779220779</v>
      </c>
      <c r="S265" s="18">
        <v>77</v>
      </c>
      <c r="T265" s="18">
        <v>6</v>
      </c>
      <c r="U265" s="261"/>
      <c r="V265" s="262"/>
      <c r="W265" s="262"/>
      <c r="X265" s="263"/>
    </row>
    <row r="266" spans="1:24">
      <c r="A266" s="77">
        <v>45834</v>
      </c>
      <c r="B266" s="170" t="s">
        <v>307</v>
      </c>
      <c r="C266" s="170" t="s">
        <v>90</v>
      </c>
      <c r="D266" s="171">
        <v>-0.0972</v>
      </c>
      <c r="E266" s="172">
        <v>-0.0136</v>
      </c>
      <c r="F266" s="173">
        <v>0.0281</v>
      </c>
      <c r="G266" s="174">
        <v>0.0154</v>
      </c>
      <c r="H266" s="174">
        <v>-0.0455</v>
      </c>
      <c r="I266" s="174"/>
      <c r="J266" s="34"/>
      <c r="K266" s="34"/>
      <c r="L266" s="32"/>
      <c r="M266" s="29"/>
      <c r="R266" s="195">
        <f t="shared" si="21"/>
        <v>0.0428571428571429</v>
      </c>
      <c r="S266" s="18">
        <v>70</v>
      </c>
      <c r="T266" s="18">
        <v>3</v>
      </c>
      <c r="U266" s="261"/>
      <c r="V266" s="262"/>
      <c r="W266" s="262"/>
      <c r="X266" s="263"/>
    </row>
    <row r="267" spans="1:24">
      <c r="A267" s="105">
        <v>45835</v>
      </c>
      <c r="B267" s="170" t="s">
        <v>308</v>
      </c>
      <c r="C267" s="170" t="s">
        <v>95</v>
      </c>
      <c r="D267" s="171">
        <v>0.0484</v>
      </c>
      <c r="E267" s="172">
        <v>-0.0305</v>
      </c>
      <c r="F267" s="173">
        <v>-0.0371</v>
      </c>
      <c r="G267" s="174">
        <v>-0.0237</v>
      </c>
      <c r="H267" s="174">
        <v>0.001</v>
      </c>
      <c r="I267" s="228"/>
      <c r="J267" s="60">
        <v>0.035</v>
      </c>
      <c r="K267" s="60">
        <f>(1+J267)*K263</f>
        <v>0.714596803249666</v>
      </c>
      <c r="L267" s="51"/>
      <c r="M267" s="52"/>
      <c r="R267" s="199">
        <f t="shared" si="21"/>
        <v>0.0833333333333333</v>
      </c>
      <c r="S267" s="24">
        <v>60</v>
      </c>
      <c r="T267" s="24">
        <v>5</v>
      </c>
      <c r="U267" s="261"/>
      <c r="V267" s="262"/>
      <c r="W267" s="262"/>
      <c r="X267" s="263"/>
    </row>
    <row r="268" spans="1:24">
      <c r="A268" s="118"/>
      <c r="B268" s="170" t="s">
        <v>309</v>
      </c>
      <c r="C268" s="170" t="s">
        <v>102</v>
      </c>
      <c r="D268" s="347" t="s">
        <v>310</v>
      </c>
      <c r="E268" s="172" t="s">
        <v>96</v>
      </c>
      <c r="F268" s="173">
        <v>0.0234</v>
      </c>
      <c r="G268" s="174">
        <v>-0.0958</v>
      </c>
      <c r="H268" s="174">
        <v>-0.0439</v>
      </c>
      <c r="I268" s="227"/>
      <c r="J268" s="65"/>
      <c r="K268" s="65"/>
      <c r="L268" s="73"/>
      <c r="M268" s="74"/>
      <c r="R268" s="201"/>
      <c r="S268" s="264"/>
      <c r="T268" s="264"/>
      <c r="U268" s="261"/>
      <c r="V268" s="262"/>
      <c r="W268" s="262"/>
      <c r="X268" s="263"/>
    </row>
    <row r="269" spans="1:24">
      <c r="A269" s="77">
        <v>45838</v>
      </c>
      <c r="B269" s="170" t="s">
        <v>311</v>
      </c>
      <c r="C269" s="170" t="s">
        <v>102</v>
      </c>
      <c r="D269" s="171">
        <v>0.0609</v>
      </c>
      <c r="E269" s="172">
        <v>-0.0204</v>
      </c>
      <c r="F269" s="173">
        <v>-0.0548</v>
      </c>
      <c r="G269" s="174">
        <v>0.004</v>
      </c>
      <c r="H269" s="174">
        <v>-0.0181</v>
      </c>
      <c r="I269" s="174"/>
      <c r="J269" s="100">
        <v>-0.0204</v>
      </c>
      <c r="K269" s="100">
        <f>(1+J269)*K267</f>
        <v>0.700019028463373</v>
      </c>
      <c r="L269" s="100">
        <v>-0.0204</v>
      </c>
      <c r="M269" s="68">
        <f>(1+L269)*M256</f>
        <v>3.04902316840018</v>
      </c>
      <c r="R269" s="195">
        <f t="shared" si="21"/>
        <v>0.0543478260869565</v>
      </c>
      <c r="S269" s="18">
        <v>92</v>
      </c>
      <c r="T269" s="18">
        <v>5</v>
      </c>
      <c r="U269" s="261"/>
      <c r="V269" s="262"/>
      <c r="W269" s="262"/>
      <c r="X269" s="263"/>
    </row>
    <row r="270" spans="1:24">
      <c r="A270" s="127">
        <v>45839</v>
      </c>
      <c r="B270" s="170"/>
      <c r="C270" s="170"/>
      <c r="D270" s="171"/>
      <c r="E270" s="172"/>
      <c r="F270" s="173"/>
      <c r="G270" s="174"/>
      <c r="H270" s="174"/>
      <c r="I270" s="174"/>
      <c r="J270" s="32"/>
      <c r="K270" s="32"/>
      <c r="L270" s="32"/>
      <c r="M270" s="29"/>
      <c r="R270" s="195">
        <f t="shared" si="21"/>
        <v>0.0821917808219178</v>
      </c>
      <c r="S270" s="18">
        <v>73</v>
      </c>
      <c r="T270" s="18">
        <v>6</v>
      </c>
      <c r="U270" s="261"/>
      <c r="V270" s="262"/>
      <c r="W270" s="262"/>
      <c r="X270" s="263"/>
    </row>
    <row r="271" spans="1:24">
      <c r="A271" s="101">
        <v>45840</v>
      </c>
      <c r="B271" s="170" t="s">
        <v>312</v>
      </c>
      <c r="C271" s="170" t="s">
        <v>92</v>
      </c>
      <c r="D271" s="171">
        <v>-0.0434</v>
      </c>
      <c r="E271" s="172">
        <v>0.0213</v>
      </c>
      <c r="F271" s="350" t="s">
        <v>313</v>
      </c>
      <c r="G271" s="174">
        <v>-0.0477</v>
      </c>
      <c r="H271" s="174">
        <v>0.0026</v>
      </c>
      <c r="I271" s="174"/>
      <c r="J271" s="32"/>
      <c r="K271" s="32"/>
      <c r="L271" s="32"/>
      <c r="M271" s="29"/>
      <c r="R271" s="202">
        <f t="shared" si="21"/>
        <v>0.145161290322581</v>
      </c>
      <c r="S271" s="24">
        <v>62</v>
      </c>
      <c r="T271" s="24">
        <v>9</v>
      </c>
      <c r="U271" s="261"/>
      <c r="V271" s="262"/>
      <c r="W271" s="262"/>
      <c r="X271" s="263"/>
    </row>
    <row r="272" spans="1:24">
      <c r="A272" s="104"/>
      <c r="B272" s="170" t="s">
        <v>314</v>
      </c>
      <c r="C272" s="170" t="s">
        <v>92</v>
      </c>
      <c r="D272" s="171">
        <v>-0.0671</v>
      </c>
      <c r="E272" s="172">
        <v>0.0059</v>
      </c>
      <c r="F272" s="173">
        <v>-0.0435</v>
      </c>
      <c r="G272" s="174">
        <v>0.0043</v>
      </c>
      <c r="H272" s="174">
        <v>-0.0094</v>
      </c>
      <c r="I272" s="174"/>
      <c r="J272" s="32"/>
      <c r="K272" s="32"/>
      <c r="L272" s="32"/>
      <c r="M272" s="29"/>
      <c r="R272" s="205"/>
      <c r="S272" s="264"/>
      <c r="T272" s="264"/>
      <c r="U272" s="261"/>
      <c r="V272" s="262"/>
      <c r="W272" s="262"/>
      <c r="X272" s="263"/>
    </row>
    <row r="273" spans="1:24">
      <c r="A273" s="77">
        <v>45841</v>
      </c>
      <c r="B273" s="170" t="s">
        <v>315</v>
      </c>
      <c r="C273" s="170" t="s">
        <v>92</v>
      </c>
      <c r="D273" s="171">
        <v>0.0004</v>
      </c>
      <c r="E273" s="172">
        <v>-0.0784</v>
      </c>
      <c r="F273" s="173">
        <v>0.004</v>
      </c>
      <c r="G273" s="174">
        <v>-0.0391</v>
      </c>
      <c r="H273" s="174">
        <v>-0.0048</v>
      </c>
      <c r="I273" s="174"/>
      <c r="J273" s="32"/>
      <c r="K273" s="32"/>
      <c r="L273" s="32"/>
      <c r="M273" s="29"/>
      <c r="R273" s="195">
        <f t="shared" si="21"/>
        <v>0.106060606060606</v>
      </c>
      <c r="S273" s="18">
        <v>66</v>
      </c>
      <c r="T273" s="18">
        <v>7</v>
      </c>
      <c r="U273" s="261"/>
      <c r="V273" s="262"/>
      <c r="W273" s="262"/>
      <c r="X273" s="263"/>
    </row>
    <row r="274" spans="1:24">
      <c r="A274" s="117">
        <v>45842</v>
      </c>
      <c r="B274" s="170" t="s">
        <v>316</v>
      </c>
      <c r="C274" s="170" t="s">
        <v>102</v>
      </c>
      <c r="D274" s="171" t="s">
        <v>93</v>
      </c>
      <c r="E274" s="172">
        <v>-0.0204</v>
      </c>
      <c r="F274" s="173" t="s">
        <v>96</v>
      </c>
      <c r="G274" s="174" t="s">
        <v>96</v>
      </c>
      <c r="H274" s="174">
        <v>-0.0625</v>
      </c>
      <c r="I274" s="174"/>
      <c r="J274" s="32"/>
      <c r="K274" s="32"/>
      <c r="L274" s="32"/>
      <c r="M274" s="29"/>
      <c r="R274" s="207">
        <f t="shared" si="21"/>
        <v>0.292682926829268</v>
      </c>
      <c r="S274" s="18">
        <v>41</v>
      </c>
      <c r="T274" s="18">
        <v>12</v>
      </c>
      <c r="U274" s="261"/>
      <c r="V274" s="262"/>
      <c r="W274" s="262"/>
      <c r="X274" s="263"/>
    </row>
    <row r="275" spans="1:24">
      <c r="A275" s="127">
        <v>45845</v>
      </c>
      <c r="B275" s="170"/>
      <c r="C275" s="170"/>
      <c r="D275" s="171"/>
      <c r="E275" s="172"/>
      <c r="F275" s="173"/>
      <c r="G275" s="174"/>
      <c r="H275" s="174"/>
      <c r="I275" s="174"/>
      <c r="J275" s="32"/>
      <c r="K275" s="32"/>
      <c r="L275" s="32"/>
      <c r="M275" s="29"/>
      <c r="R275" s="40"/>
      <c r="S275" s="122"/>
      <c r="T275" s="122"/>
      <c r="U275" s="261"/>
      <c r="V275" s="262"/>
      <c r="W275" s="262"/>
      <c r="X275" s="263"/>
    </row>
    <row r="276" spans="1:24">
      <c r="A276" s="77">
        <v>45846</v>
      </c>
      <c r="B276" s="170" t="s">
        <v>317</v>
      </c>
      <c r="C276" s="170" t="s">
        <v>102</v>
      </c>
      <c r="D276" s="171" t="s">
        <v>318</v>
      </c>
      <c r="E276" s="172">
        <v>0.0271</v>
      </c>
      <c r="F276" s="173">
        <v>-0.0806</v>
      </c>
      <c r="G276" s="174">
        <v>0.0067</v>
      </c>
      <c r="H276" s="174">
        <v>-0.0641</v>
      </c>
      <c r="I276" s="174"/>
      <c r="J276" s="32"/>
      <c r="K276" s="32"/>
      <c r="L276" s="32"/>
      <c r="M276" s="29"/>
      <c r="R276" s="40"/>
      <c r="S276" s="122"/>
      <c r="T276" s="122"/>
      <c r="U276" s="261"/>
      <c r="V276" s="262"/>
      <c r="W276" s="262"/>
      <c r="X276" s="263"/>
    </row>
    <row r="277" spans="1:24">
      <c r="A277" s="77">
        <v>45847</v>
      </c>
      <c r="B277" s="170" t="s">
        <v>319</v>
      </c>
      <c r="C277" s="170" t="s">
        <v>90</v>
      </c>
      <c r="D277" s="171">
        <v>-0.0308</v>
      </c>
      <c r="E277" s="172">
        <v>-0.0141</v>
      </c>
      <c r="F277" s="173">
        <v>-0.0623</v>
      </c>
      <c r="G277" s="174">
        <v>0.0272</v>
      </c>
      <c r="H277" s="174">
        <v>-0.0366</v>
      </c>
      <c r="I277" s="174"/>
      <c r="J277" s="32"/>
      <c r="K277" s="32"/>
      <c r="L277" s="32"/>
      <c r="M277" s="29"/>
      <c r="R277" s="40"/>
      <c r="S277" s="122"/>
      <c r="T277" s="122"/>
      <c r="U277" s="261"/>
      <c r="V277" s="262"/>
      <c r="W277" s="262"/>
      <c r="X277" s="263"/>
    </row>
    <row r="278" spans="1:24">
      <c r="A278" s="77">
        <v>45848</v>
      </c>
      <c r="B278" s="170" t="s">
        <v>320</v>
      </c>
      <c r="C278" s="170" t="s">
        <v>92</v>
      </c>
      <c r="D278" s="171">
        <v>0.0351</v>
      </c>
      <c r="E278" s="172">
        <v>0.0725</v>
      </c>
      <c r="F278" s="173" t="s">
        <v>93</v>
      </c>
      <c r="G278" s="174">
        <v>-0.073</v>
      </c>
      <c r="H278" s="174">
        <v>0.0038</v>
      </c>
      <c r="I278" s="174"/>
      <c r="J278" s="32"/>
      <c r="K278" s="32"/>
      <c r="L278" s="32"/>
      <c r="M278" s="29"/>
      <c r="R278" s="40"/>
      <c r="S278" s="122"/>
      <c r="T278" s="122"/>
      <c r="U278" s="261"/>
      <c r="V278" s="262"/>
      <c r="W278" s="262"/>
      <c r="X278" s="263"/>
    </row>
    <row r="279" spans="1:24">
      <c r="A279" s="117">
        <v>45849</v>
      </c>
      <c r="B279" s="170"/>
      <c r="C279" s="170"/>
      <c r="D279" s="171"/>
      <c r="E279" s="172"/>
      <c r="F279" s="173"/>
      <c r="G279" s="174"/>
      <c r="H279" s="174"/>
      <c r="I279" s="174"/>
      <c r="J279" s="32"/>
      <c r="K279" s="32"/>
      <c r="L279" s="32"/>
      <c r="M279" s="29"/>
      <c r="R279" s="40"/>
      <c r="S279" s="122"/>
      <c r="T279" s="122"/>
      <c r="U279" s="261"/>
      <c r="V279" s="262"/>
      <c r="W279" s="262"/>
      <c r="X279" s="263"/>
    </row>
    <row r="280" spans="1:24">
      <c r="A280" s="77">
        <v>45852</v>
      </c>
      <c r="B280" s="170"/>
      <c r="C280" s="170"/>
      <c r="D280" s="171"/>
      <c r="E280" s="172"/>
      <c r="F280" s="173"/>
      <c r="G280" s="174"/>
      <c r="H280" s="174"/>
      <c r="I280" s="174"/>
      <c r="J280" s="32"/>
      <c r="K280" s="32"/>
      <c r="L280" s="32"/>
      <c r="M280" s="29"/>
      <c r="R280" s="40"/>
      <c r="S280" s="122"/>
      <c r="T280" s="122"/>
      <c r="U280" s="261"/>
      <c r="V280" s="262"/>
      <c r="W280" s="262"/>
      <c r="X280" s="263"/>
    </row>
    <row r="281" spans="1:24">
      <c r="A281" s="77">
        <v>45853</v>
      </c>
      <c r="B281" s="170"/>
      <c r="C281" s="170"/>
      <c r="D281" s="171"/>
      <c r="E281" s="172"/>
      <c r="F281" s="173"/>
      <c r="G281" s="174"/>
      <c r="H281" s="174"/>
      <c r="I281" s="174"/>
      <c r="J281" s="32"/>
      <c r="K281" s="32"/>
      <c r="L281" s="32"/>
      <c r="M281" s="29"/>
      <c r="R281" s="40"/>
      <c r="S281" s="122"/>
      <c r="T281" s="122"/>
      <c r="U281" s="261"/>
      <c r="V281" s="262"/>
      <c r="W281" s="262"/>
      <c r="X281" s="263"/>
    </row>
    <row r="282" spans="1:24">
      <c r="A282" s="101">
        <v>45854</v>
      </c>
      <c r="B282" s="170" t="s">
        <v>321</v>
      </c>
      <c r="C282" s="170" t="s">
        <v>90</v>
      </c>
      <c r="D282" s="171" t="s">
        <v>322</v>
      </c>
      <c r="E282" s="172">
        <v>0.0572</v>
      </c>
      <c r="F282" s="173">
        <v>-0.0291</v>
      </c>
      <c r="G282" s="174">
        <v>-0.0829</v>
      </c>
      <c r="H282" s="174">
        <v>-0.0343</v>
      </c>
      <c r="I282" s="174"/>
      <c r="J282" s="32"/>
      <c r="K282" s="32"/>
      <c r="L282" s="32"/>
      <c r="M282" s="29"/>
      <c r="R282" s="40"/>
      <c r="S282" s="122"/>
      <c r="T282" s="122"/>
      <c r="U282" s="261"/>
      <c r="V282" s="262"/>
      <c r="W282" s="262"/>
      <c r="X282" s="263"/>
    </row>
    <row r="283" spans="1:24">
      <c r="A283" s="102"/>
      <c r="B283" s="170" t="s">
        <v>323</v>
      </c>
      <c r="C283" s="170" t="s">
        <v>92</v>
      </c>
      <c r="D283" s="347" t="s">
        <v>324</v>
      </c>
      <c r="E283" s="172" t="s">
        <v>96</v>
      </c>
      <c r="F283" s="173">
        <v>-0.0434</v>
      </c>
      <c r="G283" s="174">
        <v>-0.0378</v>
      </c>
      <c r="H283" s="174">
        <v>-0.0644</v>
      </c>
      <c r="I283" s="174"/>
      <c r="J283" s="32"/>
      <c r="K283" s="32"/>
      <c r="L283" s="32"/>
      <c r="M283" s="29"/>
      <c r="R283" s="40"/>
      <c r="S283" s="122"/>
      <c r="T283" s="122"/>
      <c r="U283" s="261"/>
      <c r="V283" s="262"/>
      <c r="W283" s="262"/>
      <c r="X283" s="263"/>
    </row>
    <row r="284" spans="1:24">
      <c r="A284" s="104"/>
      <c r="B284" s="170" t="s">
        <v>325</v>
      </c>
      <c r="C284" s="170" t="s">
        <v>102</v>
      </c>
      <c r="D284" s="171" t="s">
        <v>326</v>
      </c>
      <c r="E284" s="172">
        <v>-0.071</v>
      </c>
      <c r="F284" s="173" t="s">
        <v>96</v>
      </c>
      <c r="G284" s="174">
        <v>0.013</v>
      </c>
      <c r="H284" s="174">
        <v>-0.0357</v>
      </c>
      <c r="I284" s="174"/>
      <c r="J284" s="32"/>
      <c r="K284" s="32"/>
      <c r="L284" s="32"/>
      <c r="M284" s="29"/>
      <c r="R284" s="40"/>
      <c r="S284" s="122"/>
      <c r="T284" s="122"/>
      <c r="U284" s="261"/>
      <c r="V284" s="262"/>
      <c r="W284" s="262"/>
      <c r="X284" s="263"/>
    </row>
    <row r="285" spans="1:24">
      <c r="A285" s="77">
        <v>45855</v>
      </c>
      <c r="B285" s="170"/>
      <c r="C285" s="170"/>
      <c r="D285" s="171"/>
      <c r="E285" s="172"/>
      <c r="F285" s="173"/>
      <c r="G285" s="174"/>
      <c r="H285" s="174"/>
      <c r="I285" s="174"/>
      <c r="J285" s="32"/>
      <c r="K285" s="32"/>
      <c r="L285" s="32"/>
      <c r="M285" s="29"/>
      <c r="R285" s="40"/>
      <c r="S285" s="122"/>
      <c r="T285" s="122"/>
      <c r="U285" s="261"/>
      <c r="V285" s="262"/>
      <c r="W285" s="262"/>
      <c r="X285" s="263"/>
    </row>
    <row r="286" spans="1:24">
      <c r="A286" s="117">
        <v>45856</v>
      </c>
      <c r="B286" s="170"/>
      <c r="C286" s="170"/>
      <c r="D286" s="171"/>
      <c r="E286" s="172"/>
      <c r="F286" s="173"/>
      <c r="G286" s="174"/>
      <c r="H286" s="174"/>
      <c r="I286" s="174"/>
      <c r="J286" s="32"/>
      <c r="K286" s="32"/>
      <c r="L286" s="32"/>
      <c r="M286" s="29"/>
      <c r="R286" s="40"/>
      <c r="S286" s="122"/>
      <c r="T286" s="122"/>
      <c r="U286" s="261"/>
      <c r="V286" s="262"/>
      <c r="W286" s="262"/>
      <c r="X286" s="263"/>
    </row>
    <row r="287" spans="1:24">
      <c r="A287" s="77">
        <v>45859</v>
      </c>
      <c r="B287" s="170"/>
      <c r="C287" s="170"/>
      <c r="D287" s="171"/>
      <c r="E287" s="172"/>
      <c r="F287" s="173"/>
      <c r="G287" s="174"/>
      <c r="H287" s="174"/>
      <c r="I287" s="174"/>
      <c r="J287" s="32"/>
      <c r="K287" s="32"/>
      <c r="L287" s="32"/>
      <c r="M287" s="29"/>
      <c r="R287" s="40"/>
      <c r="S287" s="122"/>
      <c r="T287" s="122"/>
      <c r="U287" s="261"/>
      <c r="V287" s="262"/>
      <c r="W287" s="262"/>
      <c r="X287" s="263"/>
    </row>
    <row r="288" spans="1:24">
      <c r="A288" s="77">
        <v>45860</v>
      </c>
      <c r="B288" s="170" t="s">
        <v>327</v>
      </c>
      <c r="C288" s="170" t="s">
        <v>102</v>
      </c>
      <c r="D288" s="171">
        <v>0.0101</v>
      </c>
      <c r="E288" s="172" t="s">
        <v>93</v>
      </c>
      <c r="F288" s="173" t="s">
        <v>96</v>
      </c>
      <c r="G288" s="174">
        <v>0</v>
      </c>
      <c r="H288" s="174">
        <v>-0.0284</v>
      </c>
      <c r="I288" s="174"/>
      <c r="J288" s="32"/>
      <c r="K288" s="32"/>
      <c r="L288" s="32"/>
      <c r="M288" s="29"/>
      <c r="R288" s="40"/>
      <c r="S288" s="122"/>
      <c r="T288" s="122"/>
      <c r="U288" s="261"/>
      <c r="V288" s="262"/>
      <c r="W288" s="262"/>
      <c r="X288" s="263"/>
    </row>
    <row r="289" spans="1:24">
      <c r="A289" s="77">
        <v>45861</v>
      </c>
      <c r="B289" s="170" t="s">
        <v>315</v>
      </c>
      <c r="C289" s="170" t="s">
        <v>92</v>
      </c>
      <c r="D289" s="171">
        <v>0.0147</v>
      </c>
      <c r="E289" s="172">
        <v>0.062</v>
      </c>
      <c r="F289" s="173">
        <v>0.0885</v>
      </c>
      <c r="G289" s="174" t="s">
        <v>93</v>
      </c>
      <c r="H289" s="174">
        <v>0.0431</v>
      </c>
      <c r="I289" s="174"/>
      <c r="J289" s="32"/>
      <c r="K289" s="32"/>
      <c r="L289" s="32"/>
      <c r="M289" s="29"/>
      <c r="R289" s="40"/>
      <c r="S289" s="122"/>
      <c r="T289" s="122"/>
      <c r="U289" s="261"/>
      <c r="V289" s="262"/>
      <c r="W289" s="262"/>
      <c r="X289" s="263"/>
    </row>
    <row r="290" spans="1:24">
      <c r="A290" s="101">
        <v>45862</v>
      </c>
      <c r="B290" s="170" t="s">
        <v>328</v>
      </c>
      <c r="C290" s="170" t="s">
        <v>102</v>
      </c>
      <c r="D290" s="347" t="s">
        <v>329</v>
      </c>
      <c r="E290" s="172" t="s">
        <v>96</v>
      </c>
      <c r="F290" s="173" t="s">
        <v>93</v>
      </c>
      <c r="G290" s="174">
        <v>-0.0931</v>
      </c>
      <c r="H290" s="174">
        <v>-0.0073</v>
      </c>
      <c r="I290" s="174"/>
      <c r="J290" s="32"/>
      <c r="K290" s="32"/>
      <c r="L290" s="32"/>
      <c r="M290" s="29"/>
      <c r="R290" s="40"/>
      <c r="S290" s="122"/>
      <c r="T290" s="122"/>
      <c r="U290" s="261"/>
      <c r="V290" s="262"/>
      <c r="W290" s="262"/>
      <c r="X290" s="263"/>
    </row>
    <row r="291" spans="1:24">
      <c r="A291" s="102"/>
      <c r="B291" s="170" t="s">
        <v>330</v>
      </c>
      <c r="C291" s="170" t="s">
        <v>102</v>
      </c>
      <c r="D291" s="171" t="s">
        <v>331</v>
      </c>
      <c r="E291" s="172">
        <v>-0.0507</v>
      </c>
      <c r="F291" s="173">
        <v>-0.0633</v>
      </c>
      <c r="G291" s="174">
        <v>-0.012</v>
      </c>
      <c r="H291" s="174">
        <v>0.0258</v>
      </c>
      <c r="I291" s="174"/>
      <c r="J291" s="32"/>
      <c r="K291" s="32"/>
      <c r="L291" s="32"/>
      <c r="M291" s="29"/>
      <c r="R291" s="40"/>
      <c r="S291" s="122"/>
      <c r="T291" s="122"/>
      <c r="U291" s="261"/>
      <c r="V291" s="262"/>
      <c r="W291" s="262"/>
      <c r="X291" s="263"/>
    </row>
    <row r="292" spans="1:24">
      <c r="A292" s="102"/>
      <c r="B292" s="170" t="s">
        <v>332</v>
      </c>
      <c r="C292" s="170" t="s">
        <v>102</v>
      </c>
      <c r="D292" s="347" t="s">
        <v>333</v>
      </c>
      <c r="E292" s="172">
        <v>-0.0682</v>
      </c>
      <c r="F292" s="173">
        <v>-0.0462</v>
      </c>
      <c r="G292" s="174">
        <v>-0.0091</v>
      </c>
      <c r="H292" s="174">
        <v>-0.002</v>
      </c>
      <c r="I292" s="174"/>
      <c r="J292" s="32"/>
      <c r="K292" s="32"/>
      <c r="L292" s="32"/>
      <c r="M292" s="29"/>
      <c r="R292" s="40"/>
      <c r="S292" s="122"/>
      <c r="T292" s="122"/>
      <c r="U292" s="261"/>
      <c r="V292" s="262"/>
      <c r="W292" s="262"/>
      <c r="X292" s="263"/>
    </row>
    <row r="293" spans="1:24">
      <c r="A293" s="104"/>
      <c r="B293" s="170" t="s">
        <v>334</v>
      </c>
      <c r="C293" s="170" t="s">
        <v>100</v>
      </c>
      <c r="D293" s="171" t="s">
        <v>335</v>
      </c>
      <c r="E293" s="172">
        <v>0.025</v>
      </c>
      <c r="F293" s="173">
        <v>0.059</v>
      </c>
      <c r="G293" s="174">
        <v>0.059</v>
      </c>
      <c r="H293" s="174" t="s">
        <v>96</v>
      </c>
      <c r="I293" s="174"/>
      <c r="J293" s="32"/>
      <c r="K293" s="32"/>
      <c r="L293" s="32"/>
      <c r="M293" s="29"/>
      <c r="R293" s="40"/>
      <c r="S293" s="122"/>
      <c r="T293" s="122"/>
      <c r="U293" s="261"/>
      <c r="V293" s="262"/>
      <c r="W293" s="262"/>
      <c r="X293" s="263"/>
    </row>
    <row r="294" spans="1:24">
      <c r="A294" s="117">
        <v>45863</v>
      </c>
      <c r="B294" s="170"/>
      <c r="C294" s="170"/>
      <c r="D294" s="171"/>
      <c r="E294" s="172"/>
      <c r="F294" s="173"/>
      <c r="G294" s="174"/>
      <c r="H294" s="174"/>
      <c r="I294" s="174"/>
      <c r="J294" s="32"/>
      <c r="K294" s="32"/>
      <c r="L294" s="32"/>
      <c r="M294" s="29"/>
      <c r="R294" s="40"/>
      <c r="S294" s="122"/>
      <c r="T294" s="122"/>
      <c r="U294" s="261"/>
      <c r="V294" s="262"/>
      <c r="W294" s="262"/>
      <c r="X294" s="263"/>
    </row>
    <row r="295" spans="1:24">
      <c r="A295" s="77">
        <v>45866</v>
      </c>
      <c r="B295" s="170"/>
      <c r="C295" s="170"/>
      <c r="D295" s="171"/>
      <c r="E295" s="172"/>
      <c r="F295" s="173"/>
      <c r="G295" s="174"/>
      <c r="H295" s="174"/>
      <c r="I295" s="174"/>
      <c r="J295" s="32"/>
      <c r="K295" s="32"/>
      <c r="L295" s="32"/>
      <c r="M295" s="29"/>
      <c r="R295" s="40"/>
      <c r="S295" s="122"/>
      <c r="T295" s="122"/>
      <c r="U295" s="261"/>
      <c r="V295" s="262"/>
      <c r="W295" s="262"/>
      <c r="X295" s="263"/>
    </row>
    <row r="296" spans="1:24">
      <c r="A296" s="77">
        <v>45867</v>
      </c>
      <c r="B296" s="170"/>
      <c r="C296" s="170"/>
      <c r="D296" s="171"/>
      <c r="E296" s="172"/>
      <c r="F296" s="173"/>
      <c r="G296" s="174"/>
      <c r="H296" s="174"/>
      <c r="I296" s="174"/>
      <c r="J296" s="32"/>
      <c r="K296" s="32"/>
      <c r="L296" s="32"/>
      <c r="M296" s="29"/>
      <c r="R296" s="40"/>
      <c r="S296" s="122"/>
      <c r="T296" s="122"/>
      <c r="U296" s="261"/>
      <c r="V296" s="262"/>
      <c r="W296" s="262"/>
      <c r="X296" s="263"/>
    </row>
    <row r="297" spans="1:24">
      <c r="A297" s="77">
        <v>45868</v>
      </c>
      <c r="B297" s="170"/>
      <c r="C297" s="170"/>
      <c r="D297" s="171"/>
      <c r="E297" s="172"/>
      <c r="F297" s="173"/>
      <c r="G297" s="174"/>
      <c r="H297" s="174"/>
      <c r="I297" s="174"/>
      <c r="J297" s="32"/>
      <c r="K297" s="32"/>
      <c r="L297" s="32"/>
      <c r="M297" s="29"/>
      <c r="R297" s="40"/>
      <c r="S297" s="122"/>
      <c r="T297" s="122"/>
      <c r="U297" s="261"/>
      <c r="V297" s="262"/>
      <c r="W297" s="262"/>
      <c r="X297" s="263"/>
    </row>
    <row r="298" spans="1:24">
      <c r="A298" s="77">
        <v>45869</v>
      </c>
      <c r="B298" s="170"/>
      <c r="C298" s="170"/>
      <c r="D298" s="171"/>
      <c r="E298" s="172"/>
      <c r="F298" s="173"/>
      <c r="G298" s="174"/>
      <c r="H298" s="174"/>
      <c r="I298" s="174"/>
      <c r="J298" s="32"/>
      <c r="K298" s="32"/>
      <c r="L298" s="32"/>
      <c r="M298" s="29"/>
      <c r="R298" s="40"/>
      <c r="S298" s="122"/>
      <c r="T298" s="122"/>
      <c r="U298" s="261"/>
      <c r="V298" s="262"/>
      <c r="W298" s="262"/>
      <c r="X298" s="263"/>
    </row>
    <row r="299" spans="1:24">
      <c r="A299" s="117">
        <v>45870</v>
      </c>
      <c r="B299" s="170" t="s">
        <v>336</v>
      </c>
      <c r="C299" s="170" t="s">
        <v>102</v>
      </c>
      <c r="D299" s="171">
        <v>-0.017</v>
      </c>
      <c r="E299" s="172" t="s">
        <v>93</v>
      </c>
      <c r="F299" s="173">
        <v>-0.0577</v>
      </c>
      <c r="G299" s="174">
        <v>0.0122</v>
      </c>
      <c r="H299" s="174">
        <v>-0.004</v>
      </c>
      <c r="I299" s="174"/>
      <c r="J299" s="32"/>
      <c r="K299" s="32"/>
      <c r="L299" s="32"/>
      <c r="M299" s="29"/>
      <c r="R299" s="40"/>
      <c r="S299" s="122"/>
      <c r="T299" s="122"/>
      <c r="U299" s="261"/>
      <c r="V299" s="262"/>
      <c r="W299" s="262"/>
      <c r="X299" s="263"/>
    </row>
    <row r="300" spans="1:24">
      <c r="A300" s="77">
        <v>45873</v>
      </c>
      <c r="B300" s="170" t="s">
        <v>337</v>
      </c>
      <c r="C300" s="170" t="s">
        <v>102</v>
      </c>
      <c r="D300" s="171">
        <v>0.0204</v>
      </c>
      <c r="E300" s="172">
        <v>0.0361</v>
      </c>
      <c r="F300" s="173">
        <v>-0.0355</v>
      </c>
      <c r="G300" s="174">
        <v>0.0512</v>
      </c>
      <c r="H300" s="174">
        <v>-0.0216</v>
      </c>
      <c r="I300" s="174"/>
      <c r="J300" s="32"/>
      <c r="K300" s="32"/>
      <c r="L300" s="32"/>
      <c r="M300" s="29"/>
      <c r="R300" s="40"/>
      <c r="S300" s="122"/>
      <c r="T300" s="122"/>
      <c r="U300" s="261"/>
      <c r="V300" s="262"/>
      <c r="W300" s="262"/>
      <c r="X300" s="263"/>
    </row>
    <row r="301" spans="1:24">
      <c r="A301" s="101">
        <v>45874</v>
      </c>
      <c r="B301" s="170" t="s">
        <v>338</v>
      </c>
      <c r="C301" s="170" t="s">
        <v>92</v>
      </c>
      <c r="D301" s="171">
        <v>0.0413</v>
      </c>
      <c r="E301" s="172" t="s">
        <v>93</v>
      </c>
      <c r="F301" s="173" t="s">
        <v>96</v>
      </c>
      <c r="G301" s="174">
        <v>-0.03</v>
      </c>
      <c r="H301" s="174">
        <v>-0.0097</v>
      </c>
      <c r="I301" s="174"/>
      <c r="J301" s="32"/>
      <c r="K301" s="32"/>
      <c r="L301" s="32"/>
      <c r="M301" s="29"/>
      <c r="R301" s="40"/>
      <c r="S301" s="122"/>
      <c r="T301" s="122"/>
      <c r="U301" s="261"/>
      <c r="V301" s="262"/>
      <c r="W301" s="262"/>
      <c r="X301" s="263"/>
    </row>
    <row r="302" spans="1:24">
      <c r="A302" s="104"/>
      <c r="B302" s="170" t="s">
        <v>315</v>
      </c>
      <c r="C302" s="170" t="s">
        <v>92</v>
      </c>
      <c r="D302" s="171">
        <v>0.0283</v>
      </c>
      <c r="E302" s="172">
        <v>-0.0946</v>
      </c>
      <c r="F302" s="173">
        <v>-0.0085</v>
      </c>
      <c r="G302" s="174">
        <v>-0.0401</v>
      </c>
      <c r="H302" s="174">
        <v>-0.0063</v>
      </c>
      <c r="I302" s="174"/>
      <c r="J302" s="32"/>
      <c r="K302" s="32"/>
      <c r="L302" s="32"/>
      <c r="M302" s="29"/>
      <c r="R302" s="40"/>
      <c r="S302" s="122"/>
      <c r="T302" s="122"/>
      <c r="U302" s="261"/>
      <c r="V302" s="262"/>
      <c r="W302" s="262"/>
      <c r="X302" s="263"/>
    </row>
    <row r="303" spans="1:24">
      <c r="A303" s="77">
        <v>45875</v>
      </c>
      <c r="B303" s="170"/>
      <c r="C303" s="170"/>
      <c r="D303" s="171"/>
      <c r="E303" s="172"/>
      <c r="F303" s="173"/>
      <c r="G303" s="174"/>
      <c r="H303" s="174"/>
      <c r="I303" s="174"/>
      <c r="J303" s="32"/>
      <c r="K303" s="32"/>
      <c r="L303" s="32"/>
      <c r="M303" s="29"/>
      <c r="R303" s="40"/>
      <c r="S303" s="122"/>
      <c r="T303" s="122"/>
      <c r="U303" s="261"/>
      <c r="V303" s="262"/>
      <c r="W303" s="262"/>
      <c r="X303" s="263"/>
    </row>
    <row r="304" spans="1:24">
      <c r="A304" s="77">
        <v>45876</v>
      </c>
      <c r="B304" s="170"/>
      <c r="C304" s="170"/>
      <c r="D304" s="171"/>
      <c r="E304" s="172"/>
      <c r="F304" s="173"/>
      <c r="G304" s="174"/>
      <c r="H304" s="174"/>
      <c r="I304" s="174"/>
      <c r="J304" s="32"/>
      <c r="K304" s="32"/>
      <c r="L304" s="32"/>
      <c r="M304" s="29"/>
      <c r="R304" s="40"/>
      <c r="S304" s="122"/>
      <c r="T304" s="122"/>
      <c r="U304" s="261"/>
      <c r="V304" s="262"/>
      <c r="W304" s="262"/>
      <c r="X304" s="263"/>
    </row>
    <row r="305" spans="1:24">
      <c r="A305" s="117">
        <v>45877</v>
      </c>
      <c r="B305" s="170" t="s">
        <v>339</v>
      </c>
      <c r="C305" s="170" t="s">
        <v>92</v>
      </c>
      <c r="D305" s="171">
        <v>0.0268</v>
      </c>
      <c r="E305" s="172">
        <v>-0.041</v>
      </c>
      <c r="F305" s="173"/>
      <c r="G305" s="174"/>
      <c r="H305" s="174"/>
      <c r="I305" s="174"/>
      <c r="J305" s="32"/>
      <c r="K305" s="32"/>
      <c r="L305" s="32"/>
      <c r="M305" s="29"/>
      <c r="R305" s="40"/>
      <c r="S305" s="122"/>
      <c r="T305" s="122"/>
      <c r="U305" s="261"/>
      <c r="V305" s="262"/>
      <c r="W305" s="262"/>
      <c r="X305" s="263"/>
    </row>
    <row r="306" spans="1:24">
      <c r="A306" s="117">
        <v>45874</v>
      </c>
      <c r="B306" s="170"/>
      <c r="C306" s="170"/>
      <c r="D306" s="171"/>
      <c r="E306" s="172"/>
      <c r="F306" s="173"/>
      <c r="G306" s="174"/>
      <c r="H306" s="174"/>
      <c r="I306" s="174"/>
      <c r="J306" s="32"/>
      <c r="K306" s="32"/>
      <c r="L306" s="32"/>
      <c r="M306" s="29"/>
      <c r="R306" s="40"/>
      <c r="S306" s="122"/>
      <c r="T306" s="122"/>
      <c r="U306" s="261"/>
      <c r="V306" s="262"/>
      <c r="W306" s="262"/>
      <c r="X306" s="263"/>
    </row>
    <row r="307" spans="1:24">
      <c r="A307" s="117">
        <v>45875</v>
      </c>
      <c r="B307" s="170"/>
      <c r="C307" s="170"/>
      <c r="D307" s="171"/>
      <c r="E307" s="172"/>
      <c r="F307" s="173"/>
      <c r="G307" s="174"/>
      <c r="H307" s="174"/>
      <c r="I307" s="174"/>
      <c r="J307" s="32"/>
      <c r="K307" s="32"/>
      <c r="L307" s="32"/>
      <c r="M307" s="29"/>
      <c r="R307" s="40"/>
      <c r="S307" s="122"/>
      <c r="T307" s="122"/>
      <c r="U307" s="261"/>
      <c r="V307" s="262"/>
      <c r="W307" s="262"/>
      <c r="X307" s="263"/>
    </row>
    <row r="308" spans="1:24">
      <c r="A308" s="117">
        <v>45876</v>
      </c>
      <c r="B308" s="170"/>
      <c r="C308" s="170"/>
      <c r="D308" s="171"/>
      <c r="E308" s="172"/>
      <c r="F308" s="173"/>
      <c r="G308" s="174"/>
      <c r="H308" s="174"/>
      <c r="I308" s="174"/>
      <c r="J308" s="32"/>
      <c r="K308" s="32"/>
      <c r="L308" s="32"/>
      <c r="M308" s="29"/>
      <c r="R308" s="40"/>
      <c r="S308" s="122"/>
      <c r="T308" s="122"/>
      <c r="U308" s="261"/>
      <c r="V308" s="262"/>
      <c r="W308" s="262"/>
      <c r="X308" s="263"/>
    </row>
    <row r="309" spans="1:24">
      <c r="A309" s="117">
        <v>45877</v>
      </c>
      <c r="B309" s="170"/>
      <c r="C309" s="170"/>
      <c r="D309" s="171"/>
      <c r="E309" s="172"/>
      <c r="F309" s="173"/>
      <c r="G309" s="174"/>
      <c r="H309" s="174"/>
      <c r="I309" s="174"/>
      <c r="J309" s="32"/>
      <c r="K309" s="32"/>
      <c r="L309" s="32"/>
      <c r="M309" s="29"/>
      <c r="R309" s="40"/>
      <c r="S309" s="122"/>
      <c r="T309" s="122"/>
      <c r="U309" s="261"/>
      <c r="V309" s="262"/>
      <c r="W309" s="262"/>
      <c r="X309" s="263"/>
    </row>
  </sheetData>
  <mergeCells count="662">
    <mergeCell ref="B3:H3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N16:P16"/>
    <mergeCell ref="U16:X16"/>
    <mergeCell ref="U17:X17"/>
    <mergeCell ref="U18:X18"/>
    <mergeCell ref="U19:X19"/>
    <mergeCell ref="U20:X20"/>
    <mergeCell ref="U21:X21"/>
    <mergeCell ref="U22:X22"/>
    <mergeCell ref="U23:X23"/>
    <mergeCell ref="U24:X24"/>
    <mergeCell ref="U25:X25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U35:X35"/>
    <mergeCell ref="U36:X36"/>
    <mergeCell ref="U37:X37"/>
    <mergeCell ref="U38:X38"/>
    <mergeCell ref="U39:X39"/>
    <mergeCell ref="U40:X40"/>
    <mergeCell ref="U41:X41"/>
    <mergeCell ref="U42:X42"/>
    <mergeCell ref="U43:X43"/>
    <mergeCell ref="U44:X44"/>
    <mergeCell ref="U45:X45"/>
    <mergeCell ref="U46:X46"/>
    <mergeCell ref="U47:X47"/>
    <mergeCell ref="U48:X48"/>
    <mergeCell ref="U49:X49"/>
    <mergeCell ref="U50:X50"/>
    <mergeCell ref="U51:X51"/>
    <mergeCell ref="U52:X52"/>
    <mergeCell ref="U53:X53"/>
    <mergeCell ref="U54:X54"/>
    <mergeCell ref="U55:X55"/>
    <mergeCell ref="U56:X56"/>
    <mergeCell ref="U57:X57"/>
    <mergeCell ref="U58:X58"/>
    <mergeCell ref="U59:X59"/>
    <mergeCell ref="U60:X60"/>
    <mergeCell ref="U61:X61"/>
    <mergeCell ref="U62:X62"/>
    <mergeCell ref="U63:X63"/>
    <mergeCell ref="U64:X64"/>
    <mergeCell ref="U65:X65"/>
    <mergeCell ref="U66:X66"/>
    <mergeCell ref="U67:X67"/>
    <mergeCell ref="U68:X68"/>
    <mergeCell ref="U69:X69"/>
    <mergeCell ref="U70:X70"/>
    <mergeCell ref="U71:X71"/>
    <mergeCell ref="U72:X72"/>
    <mergeCell ref="U73:X73"/>
    <mergeCell ref="U74:X74"/>
    <mergeCell ref="U75:X75"/>
    <mergeCell ref="U76:X76"/>
    <mergeCell ref="U77:X77"/>
    <mergeCell ref="U78:X78"/>
    <mergeCell ref="U79:X79"/>
    <mergeCell ref="U80:X80"/>
    <mergeCell ref="U81:X81"/>
    <mergeCell ref="U82:X82"/>
    <mergeCell ref="U83:X83"/>
    <mergeCell ref="U84:X84"/>
    <mergeCell ref="U85:X85"/>
    <mergeCell ref="U86:X86"/>
    <mergeCell ref="U87:X87"/>
    <mergeCell ref="U88:X88"/>
    <mergeCell ref="U89:X89"/>
    <mergeCell ref="U90:X90"/>
    <mergeCell ref="U91:X91"/>
    <mergeCell ref="U92:X92"/>
    <mergeCell ref="U93:X93"/>
    <mergeCell ref="U94:X94"/>
    <mergeCell ref="U95:X95"/>
    <mergeCell ref="U96:X96"/>
    <mergeCell ref="U97:X97"/>
    <mergeCell ref="U98:X98"/>
    <mergeCell ref="U99:X99"/>
    <mergeCell ref="U100:X100"/>
    <mergeCell ref="U101:X101"/>
    <mergeCell ref="U102:X102"/>
    <mergeCell ref="U103:X103"/>
    <mergeCell ref="U104:X104"/>
    <mergeCell ref="U105:X105"/>
    <mergeCell ref="U106:X106"/>
    <mergeCell ref="U107:X107"/>
    <mergeCell ref="U108:X108"/>
    <mergeCell ref="U109:X109"/>
    <mergeCell ref="U110:X110"/>
    <mergeCell ref="U111:X111"/>
    <mergeCell ref="U112:X112"/>
    <mergeCell ref="U113:X113"/>
    <mergeCell ref="U114:X114"/>
    <mergeCell ref="U115:X115"/>
    <mergeCell ref="U116:X116"/>
    <mergeCell ref="U117:X117"/>
    <mergeCell ref="U118:X118"/>
    <mergeCell ref="U119:X119"/>
    <mergeCell ref="U120:X120"/>
    <mergeCell ref="U121:X121"/>
    <mergeCell ref="U122:X122"/>
    <mergeCell ref="U123:X123"/>
    <mergeCell ref="U124:X124"/>
    <mergeCell ref="U125:X125"/>
    <mergeCell ref="U126:X126"/>
    <mergeCell ref="U127:X127"/>
    <mergeCell ref="U128:X128"/>
    <mergeCell ref="U129:X129"/>
    <mergeCell ref="U130:X130"/>
    <mergeCell ref="U131:X131"/>
    <mergeCell ref="U132:X132"/>
    <mergeCell ref="U133:X133"/>
    <mergeCell ref="U134:X134"/>
    <mergeCell ref="U135:X135"/>
    <mergeCell ref="U136:X136"/>
    <mergeCell ref="U137:X137"/>
    <mergeCell ref="U138:X138"/>
    <mergeCell ref="U139:X139"/>
    <mergeCell ref="U140:X140"/>
    <mergeCell ref="U141:X141"/>
    <mergeCell ref="U142:X142"/>
    <mergeCell ref="U143:X143"/>
    <mergeCell ref="U144:X144"/>
    <mergeCell ref="U145:X145"/>
    <mergeCell ref="U146:X146"/>
    <mergeCell ref="U147:X147"/>
    <mergeCell ref="U148:X148"/>
    <mergeCell ref="U149:X149"/>
    <mergeCell ref="U150:X150"/>
    <mergeCell ref="U151:X151"/>
    <mergeCell ref="U152:X152"/>
    <mergeCell ref="U153:X153"/>
    <mergeCell ref="U154:X154"/>
    <mergeCell ref="U155:X155"/>
    <mergeCell ref="U156:X156"/>
    <mergeCell ref="U157:X157"/>
    <mergeCell ref="U158:X158"/>
    <mergeCell ref="U159:X159"/>
    <mergeCell ref="U160:X160"/>
    <mergeCell ref="U161:X161"/>
    <mergeCell ref="U162:X162"/>
    <mergeCell ref="U163:X163"/>
    <mergeCell ref="U164:X164"/>
    <mergeCell ref="U165:X165"/>
    <mergeCell ref="U166:X166"/>
    <mergeCell ref="U167:X167"/>
    <mergeCell ref="U168:X168"/>
    <mergeCell ref="U169:X169"/>
    <mergeCell ref="U170:X170"/>
    <mergeCell ref="U171:X171"/>
    <mergeCell ref="U172:X172"/>
    <mergeCell ref="U173:X173"/>
    <mergeCell ref="U174:X174"/>
    <mergeCell ref="U175:X175"/>
    <mergeCell ref="U176:X176"/>
    <mergeCell ref="U177:X177"/>
    <mergeCell ref="U178:X178"/>
    <mergeCell ref="U179:X179"/>
    <mergeCell ref="U180:X180"/>
    <mergeCell ref="U181:X181"/>
    <mergeCell ref="U182:X182"/>
    <mergeCell ref="U183:X183"/>
    <mergeCell ref="U184:X184"/>
    <mergeCell ref="U185:X185"/>
    <mergeCell ref="U186:X186"/>
    <mergeCell ref="U187:X187"/>
    <mergeCell ref="U188:X188"/>
    <mergeCell ref="U189:X189"/>
    <mergeCell ref="U190:X190"/>
    <mergeCell ref="U191:X191"/>
    <mergeCell ref="U192:X192"/>
    <mergeCell ref="U193:X193"/>
    <mergeCell ref="U194:X194"/>
    <mergeCell ref="U195:X195"/>
    <mergeCell ref="U196:X196"/>
    <mergeCell ref="U197:X197"/>
    <mergeCell ref="U198:X198"/>
    <mergeCell ref="U199:X199"/>
    <mergeCell ref="U200:X200"/>
    <mergeCell ref="U201:X201"/>
    <mergeCell ref="U202:X202"/>
    <mergeCell ref="U203:X203"/>
    <mergeCell ref="U206:X206"/>
    <mergeCell ref="U207:X207"/>
    <mergeCell ref="U209:X209"/>
    <mergeCell ref="U211:X211"/>
    <mergeCell ref="U212:X212"/>
    <mergeCell ref="U214:X214"/>
    <mergeCell ref="U215:X215"/>
    <mergeCell ref="U216:X216"/>
    <mergeCell ref="U217:X217"/>
    <mergeCell ref="U218:X218"/>
    <mergeCell ref="U219:X219"/>
    <mergeCell ref="U220:X220"/>
    <mergeCell ref="U222:X222"/>
    <mergeCell ref="U225:X225"/>
    <mergeCell ref="U226:X226"/>
    <mergeCell ref="U227:X227"/>
    <mergeCell ref="U228:X228"/>
    <mergeCell ref="U229:X229"/>
    <mergeCell ref="U230:X230"/>
    <mergeCell ref="U232:X232"/>
    <mergeCell ref="U233:X233"/>
    <mergeCell ref="U234:X234"/>
    <mergeCell ref="U237:X237"/>
    <mergeCell ref="U238:X238"/>
    <mergeCell ref="U239:X239"/>
    <mergeCell ref="U240:X240"/>
    <mergeCell ref="U241:X241"/>
    <mergeCell ref="U242:X242"/>
    <mergeCell ref="U243:X243"/>
    <mergeCell ref="U245:X245"/>
    <mergeCell ref="U246:X246"/>
    <mergeCell ref="U248:X248"/>
    <mergeCell ref="U250:X250"/>
    <mergeCell ref="U251:X251"/>
    <mergeCell ref="U252:X252"/>
    <mergeCell ref="U253:X253"/>
    <mergeCell ref="U254:X254"/>
    <mergeCell ref="U255:X255"/>
    <mergeCell ref="U256:X256"/>
    <mergeCell ref="U258:X258"/>
    <mergeCell ref="U259:X259"/>
    <mergeCell ref="U260:X260"/>
    <mergeCell ref="U261:X261"/>
    <mergeCell ref="U262:X262"/>
    <mergeCell ref="U263:X263"/>
    <mergeCell ref="U265:X265"/>
    <mergeCell ref="U266:X266"/>
    <mergeCell ref="U267:X267"/>
    <mergeCell ref="U269:X269"/>
    <mergeCell ref="U270:X270"/>
    <mergeCell ref="U271:X271"/>
    <mergeCell ref="U273:X273"/>
    <mergeCell ref="U274:X274"/>
    <mergeCell ref="U275:X275"/>
    <mergeCell ref="U276:X276"/>
    <mergeCell ref="U277:X277"/>
    <mergeCell ref="U278:X278"/>
    <mergeCell ref="U279:X279"/>
    <mergeCell ref="U280:X280"/>
    <mergeCell ref="U283:X283"/>
    <mergeCell ref="U284:X284"/>
    <mergeCell ref="U285:X285"/>
    <mergeCell ref="U286:X286"/>
    <mergeCell ref="U287:X287"/>
    <mergeCell ref="U288:X288"/>
    <mergeCell ref="U289:X289"/>
    <mergeCell ref="U290:X290"/>
    <mergeCell ref="U294:X294"/>
    <mergeCell ref="U295:X295"/>
    <mergeCell ref="U296:X296"/>
    <mergeCell ref="U297:X297"/>
    <mergeCell ref="U298:X298"/>
    <mergeCell ref="U299:X299"/>
    <mergeCell ref="U300:X300"/>
    <mergeCell ref="U302:X302"/>
    <mergeCell ref="U303:X303"/>
    <mergeCell ref="U304:X304"/>
    <mergeCell ref="U305:X305"/>
    <mergeCell ref="U306:X306"/>
    <mergeCell ref="U307:X307"/>
    <mergeCell ref="U308:X308"/>
    <mergeCell ref="U309:X309"/>
    <mergeCell ref="A26:A27"/>
    <mergeCell ref="A30:A31"/>
    <mergeCell ref="A34:A36"/>
    <mergeCell ref="A39:A40"/>
    <mergeCell ref="A41:A43"/>
    <mergeCell ref="A44:A47"/>
    <mergeCell ref="A48:A49"/>
    <mergeCell ref="A50:A56"/>
    <mergeCell ref="A57:A59"/>
    <mergeCell ref="A65:A67"/>
    <mergeCell ref="A68:A69"/>
    <mergeCell ref="A71:A74"/>
    <mergeCell ref="A75:A78"/>
    <mergeCell ref="A82:A85"/>
    <mergeCell ref="A86:A89"/>
    <mergeCell ref="A90:A91"/>
    <mergeCell ref="A92:A94"/>
    <mergeCell ref="A95:A100"/>
    <mergeCell ref="A102:A103"/>
    <mergeCell ref="A107:A109"/>
    <mergeCell ref="A113:A114"/>
    <mergeCell ref="A116:A117"/>
    <mergeCell ref="A123:A124"/>
    <mergeCell ref="A129:A130"/>
    <mergeCell ref="A134:A135"/>
    <mergeCell ref="A144:A145"/>
    <mergeCell ref="A153:A156"/>
    <mergeCell ref="A157:A158"/>
    <mergeCell ref="A160:A161"/>
    <mergeCell ref="A163:A164"/>
    <mergeCell ref="A169:A170"/>
    <mergeCell ref="A173:A175"/>
    <mergeCell ref="A176:A177"/>
    <mergeCell ref="A183:A185"/>
    <mergeCell ref="A193:A194"/>
    <mergeCell ref="A204:A206"/>
    <mergeCell ref="A210:A211"/>
    <mergeCell ref="A213:A214"/>
    <mergeCell ref="A220:A221"/>
    <mergeCell ref="A223:A225"/>
    <mergeCell ref="A230:A231"/>
    <mergeCell ref="A234:A235"/>
    <mergeCell ref="A243:A244"/>
    <mergeCell ref="A246:A247"/>
    <mergeCell ref="A248:A249"/>
    <mergeCell ref="A256:A257"/>
    <mergeCell ref="A263:A264"/>
    <mergeCell ref="A267:A268"/>
    <mergeCell ref="A271:A272"/>
    <mergeCell ref="A282:A284"/>
    <mergeCell ref="A290:A293"/>
    <mergeCell ref="A301:A302"/>
    <mergeCell ref="J26:J27"/>
    <mergeCell ref="J30:J31"/>
    <mergeCell ref="J34:J36"/>
    <mergeCell ref="J39:J40"/>
    <mergeCell ref="J41:J43"/>
    <mergeCell ref="J44:J47"/>
    <mergeCell ref="J48:J49"/>
    <mergeCell ref="J50:J56"/>
    <mergeCell ref="J57:J59"/>
    <mergeCell ref="J65:J67"/>
    <mergeCell ref="J68:J69"/>
    <mergeCell ref="J71:J74"/>
    <mergeCell ref="J75:J78"/>
    <mergeCell ref="J82:J85"/>
    <mergeCell ref="J86:J89"/>
    <mergeCell ref="J90:J91"/>
    <mergeCell ref="J92:J94"/>
    <mergeCell ref="J95:J100"/>
    <mergeCell ref="J102:J103"/>
    <mergeCell ref="J107:J109"/>
    <mergeCell ref="J113:J114"/>
    <mergeCell ref="J116:J117"/>
    <mergeCell ref="J123:J124"/>
    <mergeCell ref="J129:J130"/>
    <mergeCell ref="J134:J135"/>
    <mergeCell ref="J153:J156"/>
    <mergeCell ref="J157:J158"/>
    <mergeCell ref="J163:J164"/>
    <mergeCell ref="J169:J170"/>
    <mergeCell ref="J173:J175"/>
    <mergeCell ref="J176:J177"/>
    <mergeCell ref="J183:J185"/>
    <mergeCell ref="J193:J194"/>
    <mergeCell ref="J204:J206"/>
    <mergeCell ref="J210:J211"/>
    <mergeCell ref="J223:J225"/>
    <mergeCell ref="J243:J244"/>
    <mergeCell ref="J248:J249"/>
    <mergeCell ref="J256:J257"/>
    <mergeCell ref="J263:J264"/>
    <mergeCell ref="J267:J268"/>
    <mergeCell ref="K26:K27"/>
    <mergeCell ref="K30:K31"/>
    <mergeCell ref="K34:K36"/>
    <mergeCell ref="K39:K40"/>
    <mergeCell ref="K41:K43"/>
    <mergeCell ref="K44:K47"/>
    <mergeCell ref="K48:K49"/>
    <mergeCell ref="K50:K56"/>
    <mergeCell ref="K57:K59"/>
    <mergeCell ref="K65:K67"/>
    <mergeCell ref="K68:K69"/>
    <mergeCell ref="K71:K74"/>
    <mergeCell ref="K75:K78"/>
    <mergeCell ref="K82:K85"/>
    <mergeCell ref="K86:K89"/>
    <mergeCell ref="K90:K91"/>
    <mergeCell ref="K92:K94"/>
    <mergeCell ref="K95:K100"/>
    <mergeCell ref="K102:K103"/>
    <mergeCell ref="K107:K109"/>
    <mergeCell ref="K113:K114"/>
    <mergeCell ref="K116:K117"/>
    <mergeCell ref="K123:K124"/>
    <mergeCell ref="K129:K130"/>
    <mergeCell ref="K134:K135"/>
    <mergeCell ref="K153:K156"/>
    <mergeCell ref="K157:K158"/>
    <mergeCell ref="K163:K164"/>
    <mergeCell ref="K169:K170"/>
    <mergeCell ref="K173:K175"/>
    <mergeCell ref="K176:K177"/>
    <mergeCell ref="K183:K185"/>
    <mergeCell ref="K193:K194"/>
    <mergeCell ref="K204:K206"/>
    <mergeCell ref="K210:K211"/>
    <mergeCell ref="K223:K225"/>
    <mergeCell ref="K243:K244"/>
    <mergeCell ref="K248:K249"/>
    <mergeCell ref="K256:K257"/>
    <mergeCell ref="K263:K264"/>
    <mergeCell ref="K267:K268"/>
    <mergeCell ref="L26:L27"/>
    <mergeCell ref="L30:L31"/>
    <mergeCell ref="L34:L36"/>
    <mergeCell ref="L39:L40"/>
    <mergeCell ref="L41:L43"/>
    <mergeCell ref="L44:L47"/>
    <mergeCell ref="L48:L49"/>
    <mergeCell ref="L50:L56"/>
    <mergeCell ref="L57:L59"/>
    <mergeCell ref="L65:L67"/>
    <mergeCell ref="L68:L69"/>
    <mergeCell ref="L71:L74"/>
    <mergeCell ref="L75:L78"/>
    <mergeCell ref="L82:L85"/>
    <mergeCell ref="L86:L89"/>
    <mergeCell ref="L90:L91"/>
    <mergeCell ref="L92:L94"/>
    <mergeCell ref="L95:L100"/>
    <mergeCell ref="L102:L103"/>
    <mergeCell ref="L107:L109"/>
    <mergeCell ref="L113:L114"/>
    <mergeCell ref="L116:L117"/>
    <mergeCell ref="L123:L124"/>
    <mergeCell ref="L129:L130"/>
    <mergeCell ref="L134:L135"/>
    <mergeCell ref="L153:L156"/>
    <mergeCell ref="L157:L158"/>
    <mergeCell ref="L163:L164"/>
    <mergeCell ref="L169:L170"/>
    <mergeCell ref="L173:L175"/>
    <mergeCell ref="L176:L177"/>
    <mergeCell ref="L183:L185"/>
    <mergeCell ref="L193:L194"/>
    <mergeCell ref="L204:L206"/>
    <mergeCell ref="L210:L211"/>
    <mergeCell ref="L223:L225"/>
    <mergeCell ref="L248:L249"/>
    <mergeCell ref="L256:L257"/>
    <mergeCell ref="L263:L264"/>
    <mergeCell ref="L267:L268"/>
    <mergeCell ref="M26:M27"/>
    <mergeCell ref="M30:M31"/>
    <mergeCell ref="M34:M36"/>
    <mergeCell ref="M39:M40"/>
    <mergeCell ref="M41:M43"/>
    <mergeCell ref="M44:M47"/>
    <mergeCell ref="M48:M49"/>
    <mergeCell ref="M50:M56"/>
    <mergeCell ref="M57:M59"/>
    <mergeCell ref="M65:M67"/>
    <mergeCell ref="M68:M69"/>
    <mergeCell ref="M71:M74"/>
    <mergeCell ref="M75:M78"/>
    <mergeCell ref="M82:M85"/>
    <mergeCell ref="M86:M89"/>
    <mergeCell ref="M90:M91"/>
    <mergeCell ref="M92:M94"/>
    <mergeCell ref="M95:M100"/>
    <mergeCell ref="M102:M103"/>
    <mergeCell ref="M107:M109"/>
    <mergeCell ref="M113:M114"/>
    <mergeCell ref="M116:M117"/>
    <mergeCell ref="M123:M124"/>
    <mergeCell ref="M129:M130"/>
    <mergeCell ref="M134:M135"/>
    <mergeCell ref="M153:M156"/>
    <mergeCell ref="M157:M158"/>
    <mergeCell ref="M163:M164"/>
    <mergeCell ref="M169:M170"/>
    <mergeCell ref="M173:M175"/>
    <mergeCell ref="M176:M177"/>
    <mergeCell ref="M183:M185"/>
    <mergeCell ref="M193:M194"/>
    <mergeCell ref="M204:M206"/>
    <mergeCell ref="M210:M211"/>
    <mergeCell ref="M223:M225"/>
    <mergeCell ref="M248:M249"/>
    <mergeCell ref="M256:M257"/>
    <mergeCell ref="M263:M264"/>
    <mergeCell ref="M267:M268"/>
    <mergeCell ref="R26:R27"/>
    <mergeCell ref="R30:R31"/>
    <mergeCell ref="R32:R33"/>
    <mergeCell ref="R34:R36"/>
    <mergeCell ref="R39:R40"/>
    <mergeCell ref="R41:R43"/>
    <mergeCell ref="R44:R47"/>
    <mergeCell ref="R48:R49"/>
    <mergeCell ref="R50:R56"/>
    <mergeCell ref="R57:R59"/>
    <mergeCell ref="R65:R67"/>
    <mergeCell ref="R68:R69"/>
    <mergeCell ref="R71:R74"/>
    <mergeCell ref="R75:R78"/>
    <mergeCell ref="R82:R85"/>
    <mergeCell ref="R86:R89"/>
    <mergeCell ref="R90:R91"/>
    <mergeCell ref="R92:R94"/>
    <mergeCell ref="R95:R100"/>
    <mergeCell ref="R102:R103"/>
    <mergeCell ref="R107:R109"/>
    <mergeCell ref="R113:R114"/>
    <mergeCell ref="R116:R117"/>
    <mergeCell ref="R123:R124"/>
    <mergeCell ref="R129:R130"/>
    <mergeCell ref="R134:R135"/>
    <mergeCell ref="R144:R145"/>
    <mergeCell ref="R153:R156"/>
    <mergeCell ref="R157:R158"/>
    <mergeCell ref="R160:R161"/>
    <mergeCell ref="R163:R164"/>
    <mergeCell ref="R169:R170"/>
    <mergeCell ref="R173:R175"/>
    <mergeCell ref="R176:R177"/>
    <mergeCell ref="R183:R185"/>
    <mergeCell ref="R193:R194"/>
    <mergeCell ref="R204:R206"/>
    <mergeCell ref="R210:R211"/>
    <mergeCell ref="R213:R214"/>
    <mergeCell ref="R220:R221"/>
    <mergeCell ref="R223:R225"/>
    <mergeCell ref="R230:R231"/>
    <mergeCell ref="R234:R235"/>
    <mergeCell ref="R243:R244"/>
    <mergeCell ref="R246:R247"/>
    <mergeCell ref="R248:R249"/>
    <mergeCell ref="R256:R257"/>
    <mergeCell ref="R263:R264"/>
    <mergeCell ref="R267:R268"/>
    <mergeCell ref="R271:R272"/>
    <mergeCell ref="S26:S27"/>
    <mergeCell ref="S30:S31"/>
    <mergeCell ref="S32:S33"/>
    <mergeCell ref="S34:S36"/>
    <mergeCell ref="S39:S40"/>
    <mergeCell ref="S41:S43"/>
    <mergeCell ref="S44:S47"/>
    <mergeCell ref="S48:S49"/>
    <mergeCell ref="S50:S56"/>
    <mergeCell ref="S57:S59"/>
    <mergeCell ref="S65:S67"/>
    <mergeCell ref="S68:S69"/>
    <mergeCell ref="S71:S74"/>
    <mergeCell ref="S75:S78"/>
    <mergeCell ref="S82:S85"/>
    <mergeCell ref="S86:S89"/>
    <mergeCell ref="S90:S91"/>
    <mergeCell ref="S92:S94"/>
    <mergeCell ref="S95:S100"/>
    <mergeCell ref="S102:S103"/>
    <mergeCell ref="S107:S109"/>
    <mergeCell ref="S113:S114"/>
    <mergeCell ref="S116:S117"/>
    <mergeCell ref="S123:S124"/>
    <mergeCell ref="S129:S130"/>
    <mergeCell ref="S134:S135"/>
    <mergeCell ref="S144:S145"/>
    <mergeCell ref="S153:S156"/>
    <mergeCell ref="S157:S158"/>
    <mergeCell ref="S160:S161"/>
    <mergeCell ref="S163:S164"/>
    <mergeCell ref="S169:S170"/>
    <mergeCell ref="S173:S175"/>
    <mergeCell ref="S176:S177"/>
    <mergeCell ref="S183:S185"/>
    <mergeCell ref="S193:S194"/>
    <mergeCell ref="S204:S206"/>
    <mergeCell ref="S210:S211"/>
    <mergeCell ref="S213:S214"/>
    <mergeCell ref="S220:S221"/>
    <mergeCell ref="S223:S225"/>
    <mergeCell ref="S230:S231"/>
    <mergeCell ref="S234:S235"/>
    <mergeCell ref="S243:S244"/>
    <mergeCell ref="S246:S247"/>
    <mergeCell ref="S248:S249"/>
    <mergeCell ref="S256:S257"/>
    <mergeCell ref="S263:S264"/>
    <mergeCell ref="S267:S268"/>
    <mergeCell ref="S271:S272"/>
    <mergeCell ref="T26:T27"/>
    <mergeCell ref="T30:T31"/>
    <mergeCell ref="T32:T33"/>
    <mergeCell ref="T34:T36"/>
    <mergeCell ref="T39:T40"/>
    <mergeCell ref="T41:T43"/>
    <mergeCell ref="T44:T47"/>
    <mergeCell ref="T48:T49"/>
    <mergeCell ref="T50:T56"/>
    <mergeCell ref="T57:T59"/>
    <mergeCell ref="T65:T67"/>
    <mergeCell ref="T68:T69"/>
    <mergeCell ref="T71:T74"/>
    <mergeCell ref="T75:T78"/>
    <mergeCell ref="T82:T85"/>
    <mergeCell ref="T86:T89"/>
    <mergeCell ref="T90:T91"/>
    <mergeCell ref="T92:T94"/>
    <mergeCell ref="T95:T100"/>
    <mergeCell ref="T102:T103"/>
    <mergeCell ref="T107:T109"/>
    <mergeCell ref="T113:T114"/>
    <mergeCell ref="T116:T117"/>
    <mergeCell ref="T123:T124"/>
    <mergeCell ref="T129:T130"/>
    <mergeCell ref="T134:T135"/>
    <mergeCell ref="T144:T145"/>
    <mergeCell ref="T153:T156"/>
    <mergeCell ref="T157:T158"/>
    <mergeCell ref="T160:T161"/>
    <mergeCell ref="T163:T164"/>
    <mergeCell ref="T169:T170"/>
    <mergeCell ref="T173:T175"/>
    <mergeCell ref="T176:T177"/>
    <mergeCell ref="T183:T185"/>
    <mergeCell ref="T193:T194"/>
    <mergeCell ref="T204:T206"/>
    <mergeCell ref="T210:T211"/>
    <mergeCell ref="T213:T214"/>
    <mergeCell ref="T220:T221"/>
    <mergeCell ref="T223:T225"/>
    <mergeCell ref="T230:T231"/>
    <mergeCell ref="T234:T235"/>
    <mergeCell ref="T243:T244"/>
    <mergeCell ref="T246:T247"/>
    <mergeCell ref="T248:T249"/>
    <mergeCell ref="T256:T257"/>
    <mergeCell ref="T263:T264"/>
    <mergeCell ref="T267:T268"/>
    <mergeCell ref="T271:T272"/>
    <mergeCell ref="B1:H2"/>
    <mergeCell ref="N121:Q141"/>
    <mergeCell ref="N142:Q150"/>
    <mergeCell ref="N151:Q166"/>
  </mergeCells>
  <conditionalFormatting sqref="B$1:XFD$1048576 A1:A301 A303:A1048576">
    <cfRule type="cellIs" dxfId="2" priority="1" operator="between">
      <formula>0</formula>
      <formula>-0.1</formula>
    </cfRule>
    <cfRule type="cellIs" dxfId="3" priority="2" operator="between">
      <formula>0</formula>
      <formula>0.1</formula>
    </cfRule>
    <cfRule type="cellIs" dxfId="4" priority="3" operator="equal">
      <formula>"跌停"</formula>
    </cfRule>
    <cfRule type="cellIs" dxfId="5" priority="4" operator="equal">
      <formula>"涨停"</formula>
    </cfRule>
  </conditionalFormatting>
  <dataValidations count="2">
    <dataValidation type="list" allowBlank="1" showInputMessage="1" showErrorMessage="1" sqref="C28 C32 C41 C58 C60 C62 C70 C81 C104 C20:C24">
      <formula1>"缩量连扳一字,缩量一字,缩量T字,缩量换手,缩量其它,放量一字,放量T字,放量快速换手,放量微快速换手,放量低预期快速换手,放量其它"</formula1>
    </dataValidation>
    <dataValidation type="list" allowBlank="1" showInputMessage="1" showErrorMessage="1" sqref="C59 C61 C105 C119 C139 C18:C19 C25:C27 C29:C31 C33:C40 C42:C57 C63:C69 C71:C80 C82:C103 C107:C109 C111:C117 C123:C126 C128:C135 C141:C309">
      <formula1>"连扳一字,一字板,T字板,快速换手板,微快速换手板,低预期快速换手板,其它"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6"/>
  <sheetViews>
    <sheetView workbookViewId="0">
      <selection activeCell="D40" sqref="D40"/>
    </sheetView>
  </sheetViews>
  <sheetFormatPr defaultColWidth="9.14166666666667" defaultRowHeight="15.75"/>
  <cols>
    <col min="1" max="1" width="12.125" style="2" customWidth="1"/>
    <col min="2" max="2" width="8.625" style="3" customWidth="1"/>
    <col min="3" max="3" width="13.8333333333333" style="4" customWidth="1"/>
    <col min="4" max="4" width="12.3333333333333" style="124" customWidth="1"/>
    <col min="5" max="5" width="7.125" style="125" customWidth="1"/>
    <col min="6" max="6" width="12.75" style="4" customWidth="1"/>
    <col min="7" max="7" width="10.375" style="4" customWidth="1"/>
    <col min="8" max="8" width="9.875" style="4" customWidth="1"/>
    <col min="9" max="9" width="5.125" style="4" customWidth="1"/>
    <col min="10" max="10" width="8.25" style="4" customWidth="1"/>
    <col min="11" max="11" width="9.125" style="4" customWidth="1"/>
    <col min="12" max="12" width="9.25" style="6" customWidth="1"/>
    <col min="13" max="13" width="6.875" style="4" customWidth="1"/>
    <col min="14" max="14" width="6.875" style="7" customWidth="1"/>
    <col min="15" max="15" width="10.375" style="7" customWidth="1"/>
    <col min="16" max="16" width="10.375" style="8" customWidth="1"/>
    <col min="17" max="17" width="14.375" style="9" customWidth="1"/>
    <col min="18" max="16384" width="9.14166666666667" style="1"/>
  </cols>
  <sheetData>
    <row r="1" s="1" customFormat="1" spans="1:17">
      <c r="A1" s="28" t="s">
        <v>44</v>
      </c>
      <c r="B1" s="13" t="s">
        <v>77</v>
      </c>
      <c r="C1" s="29" t="s">
        <v>79</v>
      </c>
      <c r="D1" s="124" t="s">
        <v>80</v>
      </c>
      <c r="E1" s="126" t="s">
        <v>81</v>
      </c>
      <c r="F1" s="31" t="s">
        <v>82</v>
      </c>
      <c r="G1" s="32" t="s">
        <v>86</v>
      </c>
      <c r="H1" s="32" t="s">
        <v>85</v>
      </c>
      <c r="I1" s="6"/>
      <c r="J1" s="6"/>
      <c r="K1" s="6"/>
      <c r="L1" s="87" t="s">
        <v>87</v>
      </c>
      <c r="M1" s="88" t="s">
        <v>55</v>
      </c>
      <c r="N1" s="88" t="s">
        <v>56</v>
      </c>
      <c r="O1" s="51"/>
      <c r="P1" s="89"/>
      <c r="Q1" s="90"/>
    </row>
    <row r="2" s="1" customFormat="1" spans="1:17">
      <c r="A2" s="127">
        <v>45811</v>
      </c>
      <c r="B2" s="13"/>
      <c r="C2" s="29"/>
      <c r="D2" s="124"/>
      <c r="E2" s="126"/>
      <c r="F2" s="31"/>
      <c r="G2" s="32"/>
      <c r="H2" s="32"/>
      <c r="I2" s="4"/>
      <c r="J2" s="4"/>
      <c r="K2" s="4"/>
      <c r="L2" s="34"/>
      <c r="M2" s="122"/>
      <c r="N2" s="122"/>
      <c r="O2" s="91"/>
      <c r="P2" s="92"/>
      <c r="Q2" s="93"/>
    </row>
    <row r="3" s="1" customFormat="1" spans="1:17">
      <c r="A3" s="101">
        <v>45812</v>
      </c>
      <c r="B3" s="13"/>
      <c r="C3" s="29"/>
      <c r="D3" s="124"/>
      <c r="E3" s="126"/>
      <c r="F3" s="31"/>
      <c r="G3" s="32"/>
      <c r="H3" s="32"/>
      <c r="I3" s="4"/>
      <c r="J3" s="4"/>
      <c r="K3" s="4"/>
      <c r="L3" s="34"/>
      <c r="M3" s="122"/>
      <c r="N3" s="122"/>
      <c r="O3" s="68"/>
      <c r="P3" s="123"/>
      <c r="Q3" s="64"/>
    </row>
    <row r="4" s="1" customFormat="1" spans="1:17">
      <c r="A4" s="101">
        <v>45813</v>
      </c>
      <c r="B4" s="13"/>
      <c r="C4" s="29"/>
      <c r="D4" s="124"/>
      <c r="E4" s="126"/>
      <c r="F4" s="31"/>
      <c r="G4" s="32"/>
      <c r="H4" s="32"/>
      <c r="I4" s="4"/>
      <c r="J4" s="4"/>
      <c r="K4" s="4"/>
      <c r="L4" s="34"/>
      <c r="M4" s="122"/>
      <c r="N4" s="122"/>
      <c r="O4" s="68"/>
      <c r="P4" s="123"/>
      <c r="Q4" s="64"/>
    </row>
    <row r="5" s="1" customFormat="1" spans="1:17">
      <c r="A5" s="127">
        <v>45814</v>
      </c>
      <c r="B5" s="13"/>
      <c r="C5" s="29"/>
      <c r="D5" s="124"/>
      <c r="E5" s="126"/>
      <c r="F5" s="31"/>
      <c r="G5" s="32"/>
      <c r="H5" s="32"/>
      <c r="I5" s="4"/>
      <c r="J5" s="4"/>
      <c r="K5" s="4"/>
      <c r="L5" s="34"/>
      <c r="M5" s="122"/>
      <c r="N5" s="122"/>
      <c r="O5" s="68"/>
      <c r="P5" s="123"/>
      <c r="Q5" s="64"/>
    </row>
    <row r="6" s="1" customFormat="1" spans="1:17">
      <c r="A6" s="127">
        <v>45817</v>
      </c>
      <c r="B6" s="13" t="s">
        <v>156</v>
      </c>
      <c r="C6" s="29">
        <v>-0.0503</v>
      </c>
      <c r="D6" s="124">
        <v>0.0378</v>
      </c>
      <c r="E6" s="126">
        <v>0.0153</v>
      </c>
      <c r="F6" s="31" t="s">
        <v>96</v>
      </c>
      <c r="G6" s="32"/>
      <c r="H6" s="32"/>
      <c r="I6" s="4"/>
      <c r="J6" s="4"/>
      <c r="K6" s="4"/>
      <c r="L6" s="34"/>
      <c r="M6" s="122"/>
      <c r="N6" s="122"/>
      <c r="O6" s="68"/>
      <c r="P6" s="123"/>
      <c r="Q6" s="64"/>
    </row>
    <row r="7" s="1" customFormat="1" spans="1:17">
      <c r="A7" s="77">
        <v>45818</v>
      </c>
      <c r="B7" s="13"/>
      <c r="C7" s="29"/>
      <c r="D7" s="124"/>
      <c r="E7" s="126"/>
      <c r="F7" s="31"/>
      <c r="G7" s="32"/>
      <c r="H7" s="32"/>
      <c r="I7" s="4"/>
      <c r="J7" s="4"/>
      <c r="K7" s="4"/>
      <c r="L7" s="34"/>
      <c r="M7" s="122"/>
      <c r="N7" s="122"/>
      <c r="O7" s="68"/>
      <c r="P7" s="123"/>
      <c r="Q7" s="64"/>
    </row>
    <row r="8" spans="1:17">
      <c r="A8" s="101">
        <v>45819</v>
      </c>
      <c r="B8" s="128" t="s">
        <v>340</v>
      </c>
      <c r="C8" s="29">
        <v>-0.0282</v>
      </c>
      <c r="D8" s="124">
        <v>0.0838</v>
      </c>
      <c r="E8" s="126">
        <v>-0.0694</v>
      </c>
      <c r="F8" s="31">
        <v>-0.039</v>
      </c>
      <c r="G8" s="32"/>
      <c r="H8" s="32"/>
      <c r="L8" s="34"/>
      <c r="M8" s="122"/>
      <c r="N8" s="122"/>
      <c r="O8" s="68"/>
      <c r="P8" s="123"/>
      <c r="Q8" s="64"/>
    </row>
    <row r="9" spans="1:17">
      <c r="A9" s="104"/>
      <c r="B9" s="13" t="s">
        <v>341</v>
      </c>
      <c r="C9" s="29"/>
      <c r="E9" s="126"/>
      <c r="F9" s="31"/>
      <c r="G9" s="32"/>
      <c r="H9" s="32"/>
      <c r="L9" s="34"/>
      <c r="M9" s="122"/>
      <c r="N9" s="122"/>
      <c r="O9" s="68"/>
      <c r="P9" s="123"/>
      <c r="Q9" s="64"/>
    </row>
    <row r="10" spans="1:17">
      <c r="A10" s="77">
        <v>45820</v>
      </c>
      <c r="B10" s="13"/>
      <c r="C10" s="29"/>
      <c r="E10" s="126"/>
      <c r="F10" s="31"/>
      <c r="G10" s="32"/>
      <c r="H10" s="32"/>
      <c r="L10" s="34"/>
      <c r="M10" s="122"/>
      <c r="N10" s="122"/>
      <c r="O10" s="68"/>
      <c r="P10" s="123"/>
      <c r="Q10" s="64"/>
    </row>
    <row r="11" spans="1:17">
      <c r="A11" s="117">
        <v>45821</v>
      </c>
      <c r="B11" s="13" t="s">
        <v>342</v>
      </c>
      <c r="C11" s="29"/>
      <c r="E11" s="126"/>
      <c r="F11" s="31"/>
      <c r="G11" s="32"/>
      <c r="H11" s="32"/>
      <c r="L11" s="34"/>
      <c r="M11" s="122"/>
      <c r="N11" s="122"/>
      <c r="O11" s="68"/>
      <c r="P11" s="123"/>
      <c r="Q11" s="64"/>
    </row>
    <row r="12" spans="1:17">
      <c r="A12" s="101">
        <v>45824</v>
      </c>
      <c r="B12" s="13"/>
      <c r="C12" s="29"/>
      <c r="E12" s="126"/>
      <c r="F12" s="31"/>
      <c r="G12" s="32"/>
      <c r="H12" s="32"/>
      <c r="L12" s="34"/>
      <c r="M12" s="122"/>
      <c r="N12" s="122"/>
      <c r="O12" s="68"/>
      <c r="P12" s="123"/>
      <c r="Q12" s="64"/>
    </row>
    <row r="13" spans="1:17">
      <c r="A13" s="77">
        <v>45825</v>
      </c>
      <c r="B13" s="13" t="s">
        <v>343</v>
      </c>
      <c r="C13" s="29"/>
      <c r="E13" s="126"/>
      <c r="F13" s="31"/>
      <c r="G13" s="32"/>
      <c r="H13" s="32"/>
      <c r="L13" s="34"/>
      <c r="M13" s="122"/>
      <c r="N13" s="122"/>
      <c r="O13" s="68"/>
      <c r="P13" s="123"/>
      <c r="Q13" s="64"/>
    </row>
    <row r="14" spans="1:17">
      <c r="A14" s="127">
        <v>45826</v>
      </c>
      <c r="B14" s="13"/>
      <c r="C14" s="29"/>
      <c r="E14" s="126"/>
      <c r="F14" s="31"/>
      <c r="G14" s="32"/>
      <c r="H14" s="32"/>
      <c r="L14" s="34"/>
      <c r="M14" s="122"/>
      <c r="N14" s="122"/>
      <c r="O14" s="68"/>
      <c r="P14" s="123"/>
      <c r="Q14" s="64"/>
    </row>
    <row r="15" spans="1:17">
      <c r="A15" s="101">
        <v>45827</v>
      </c>
      <c r="B15" s="13" t="s">
        <v>344</v>
      </c>
      <c r="C15" s="29"/>
      <c r="E15" s="126"/>
      <c r="F15" s="31"/>
      <c r="G15" s="32"/>
      <c r="H15" s="32"/>
      <c r="L15" s="34"/>
      <c r="M15" s="122"/>
      <c r="N15" s="122"/>
      <c r="O15" s="68"/>
      <c r="P15" s="123"/>
      <c r="Q15" s="64"/>
    </row>
    <row r="16" spans="1:17">
      <c r="A16" s="127">
        <v>45828</v>
      </c>
      <c r="B16" s="13"/>
      <c r="C16" s="29"/>
      <c r="E16" s="126"/>
      <c r="F16" s="31"/>
      <c r="G16" s="32"/>
      <c r="H16" s="32"/>
      <c r="L16" s="34"/>
      <c r="M16" s="122"/>
      <c r="N16" s="122"/>
      <c r="O16" s="68"/>
      <c r="P16" s="123"/>
      <c r="Q16" s="64"/>
    </row>
    <row r="17" spans="1:17">
      <c r="A17" s="127">
        <v>45831</v>
      </c>
      <c r="B17" s="13"/>
      <c r="C17" s="29"/>
      <c r="E17" s="126"/>
      <c r="F17" s="31"/>
      <c r="G17" s="32"/>
      <c r="H17" s="32"/>
      <c r="L17" s="34"/>
      <c r="M17" s="122"/>
      <c r="N17" s="122"/>
      <c r="O17" s="68"/>
      <c r="P17" s="123"/>
      <c r="Q17" s="64"/>
    </row>
    <row r="18" spans="1:17">
      <c r="A18" s="101">
        <v>45832</v>
      </c>
      <c r="B18" s="13"/>
      <c r="C18" s="29"/>
      <c r="E18" s="126"/>
      <c r="F18" s="31"/>
      <c r="G18" s="32"/>
      <c r="H18" s="32"/>
      <c r="L18" s="34"/>
      <c r="M18" s="122"/>
      <c r="N18" s="122"/>
      <c r="O18" s="68"/>
      <c r="P18" s="123"/>
      <c r="Q18" s="64"/>
    </row>
    <row r="19" spans="1:17">
      <c r="A19" s="127">
        <v>45833</v>
      </c>
      <c r="B19" s="13"/>
      <c r="C19" s="29"/>
      <c r="E19" s="126"/>
      <c r="F19" s="31"/>
      <c r="G19" s="32"/>
      <c r="H19" s="32"/>
      <c r="L19" s="34"/>
      <c r="M19" s="122"/>
      <c r="N19" s="122"/>
      <c r="O19" s="68"/>
      <c r="P19" s="123"/>
      <c r="Q19" s="64"/>
    </row>
    <row r="20" spans="1:17">
      <c r="A20" s="77">
        <v>45834</v>
      </c>
      <c r="B20" s="13"/>
      <c r="C20" s="29"/>
      <c r="E20" s="126"/>
      <c r="F20" s="31"/>
      <c r="G20" s="32"/>
      <c r="H20" s="32"/>
      <c r="L20" s="34"/>
      <c r="M20" s="122"/>
      <c r="N20" s="122"/>
      <c r="O20" s="68"/>
      <c r="P20" s="123"/>
      <c r="Q20" s="64"/>
    </row>
    <row r="21" spans="1:17">
      <c r="A21" s="105">
        <v>45835</v>
      </c>
      <c r="B21" s="13"/>
      <c r="C21" s="29"/>
      <c r="E21" s="126"/>
      <c r="F21" s="31"/>
      <c r="G21" s="32"/>
      <c r="H21" s="32"/>
      <c r="L21" s="34"/>
      <c r="M21" s="122"/>
      <c r="N21" s="122"/>
      <c r="O21" s="68"/>
      <c r="P21" s="123"/>
      <c r="Q21" s="64"/>
    </row>
    <row r="22" spans="1:17">
      <c r="A22" s="77">
        <v>45838</v>
      </c>
      <c r="B22" s="13" t="s">
        <v>345</v>
      </c>
      <c r="C22" s="29"/>
      <c r="E22" s="126"/>
      <c r="F22" s="31"/>
      <c r="G22" s="32"/>
      <c r="H22" s="32"/>
      <c r="L22" s="34"/>
      <c r="M22" s="122"/>
      <c r="N22" s="122"/>
      <c r="O22" s="68"/>
      <c r="P22" s="123"/>
      <c r="Q22" s="64"/>
    </row>
    <row r="23" spans="1:17">
      <c r="A23" s="129">
        <v>45839</v>
      </c>
      <c r="B23" s="13" t="s">
        <v>346</v>
      </c>
      <c r="C23" s="29"/>
      <c r="E23" s="126"/>
      <c r="F23" s="31"/>
      <c r="G23" s="32"/>
      <c r="H23" s="32"/>
      <c r="L23" s="34"/>
      <c r="M23" s="122"/>
      <c r="N23" s="122"/>
      <c r="O23" s="68"/>
      <c r="P23" s="123"/>
      <c r="Q23" s="64"/>
    </row>
    <row r="24" spans="1:17">
      <c r="A24" s="130"/>
      <c r="B24" s="13" t="s">
        <v>347</v>
      </c>
      <c r="C24" s="29"/>
      <c r="E24" s="126"/>
      <c r="F24" s="31"/>
      <c r="G24" s="32"/>
      <c r="H24" s="32"/>
      <c r="L24" s="34"/>
      <c r="M24" s="122"/>
      <c r="N24" s="122"/>
      <c r="O24" s="68"/>
      <c r="P24" s="123"/>
      <c r="Q24" s="64"/>
    </row>
    <row r="25" spans="1:17">
      <c r="A25" s="101">
        <v>45840</v>
      </c>
      <c r="B25" s="13"/>
      <c r="C25" s="29"/>
      <c r="E25" s="126"/>
      <c r="F25" s="31"/>
      <c r="G25" s="32"/>
      <c r="H25" s="32"/>
      <c r="L25" s="34"/>
      <c r="M25" s="122"/>
      <c r="N25" s="122"/>
      <c r="O25" s="68"/>
      <c r="P25" s="123"/>
      <c r="Q25" s="64"/>
    </row>
    <row r="26" spans="1:17">
      <c r="A26" s="77">
        <v>45841</v>
      </c>
      <c r="B26" s="13"/>
      <c r="C26" s="29"/>
      <c r="E26" s="126"/>
      <c r="F26" s="31"/>
      <c r="G26" s="32"/>
      <c r="H26" s="32"/>
      <c r="L26" s="34"/>
      <c r="M26" s="122"/>
      <c r="N26" s="122"/>
      <c r="O26" s="68"/>
      <c r="P26" s="123"/>
      <c r="Q26" s="64"/>
    </row>
    <row r="27" spans="1:17">
      <c r="A27" s="117">
        <v>45842</v>
      </c>
      <c r="B27" s="13"/>
      <c r="C27" s="29"/>
      <c r="E27" s="126"/>
      <c r="F27" s="31"/>
      <c r="G27" s="32"/>
      <c r="H27" s="32"/>
      <c r="L27" s="34"/>
      <c r="M27" s="122"/>
      <c r="N27" s="122"/>
      <c r="O27" s="68"/>
      <c r="P27" s="123"/>
      <c r="Q27" s="64"/>
    </row>
    <row r="28" spans="1:17">
      <c r="A28" s="127">
        <v>45845</v>
      </c>
      <c r="B28" s="13"/>
      <c r="C28" s="29"/>
      <c r="E28" s="126"/>
      <c r="F28" s="31"/>
      <c r="G28" s="32"/>
      <c r="H28" s="32"/>
      <c r="L28" s="34"/>
      <c r="M28" s="122"/>
      <c r="N28" s="122"/>
      <c r="O28" s="68"/>
      <c r="P28" s="123"/>
      <c r="Q28" s="64"/>
    </row>
    <row r="29" spans="1:17">
      <c r="A29" s="77">
        <v>45846</v>
      </c>
      <c r="B29" s="13"/>
      <c r="C29" s="29"/>
      <c r="E29" s="126"/>
      <c r="F29" s="31"/>
      <c r="G29" s="32"/>
      <c r="H29" s="32"/>
      <c r="L29" s="34"/>
      <c r="M29" s="122"/>
      <c r="N29" s="122"/>
      <c r="O29" s="68"/>
      <c r="P29" s="123"/>
      <c r="Q29" s="64"/>
    </row>
    <row r="30" spans="1:17">
      <c r="A30" s="77">
        <v>45847</v>
      </c>
      <c r="B30" s="13"/>
      <c r="C30" s="29"/>
      <c r="E30" s="126"/>
      <c r="F30" s="31"/>
      <c r="G30" s="32"/>
      <c r="H30" s="32"/>
      <c r="L30" s="34"/>
      <c r="M30" s="122"/>
      <c r="N30" s="122"/>
      <c r="O30" s="68"/>
      <c r="P30" s="123"/>
      <c r="Q30" s="64"/>
    </row>
    <row r="31" spans="1:17">
      <c r="A31" s="101">
        <v>45848</v>
      </c>
      <c r="B31" s="13" t="s">
        <v>348</v>
      </c>
      <c r="C31" s="29"/>
      <c r="E31" s="126"/>
      <c r="F31" s="31"/>
      <c r="G31" s="32"/>
      <c r="H31" s="32"/>
      <c r="L31" s="34"/>
      <c r="M31" s="122"/>
      <c r="N31" s="122"/>
      <c r="O31" s="68"/>
      <c r="P31" s="123"/>
      <c r="Q31" s="64"/>
    </row>
    <row r="32" spans="1:17">
      <c r="A32" s="104"/>
      <c r="B32" s="13" t="s">
        <v>349</v>
      </c>
      <c r="C32" s="29"/>
      <c r="E32" s="126"/>
      <c r="F32" s="31"/>
      <c r="G32" s="32"/>
      <c r="H32" s="32"/>
      <c r="L32" s="34"/>
      <c r="M32" s="122"/>
      <c r="N32" s="122"/>
      <c r="O32" s="68"/>
      <c r="P32" s="123"/>
      <c r="Q32" s="64"/>
    </row>
    <row r="33" spans="1:17">
      <c r="A33" s="117">
        <v>45849</v>
      </c>
      <c r="B33" s="128" t="s">
        <v>350</v>
      </c>
      <c r="C33" s="29"/>
      <c r="E33" s="126"/>
      <c r="F33" s="31"/>
      <c r="G33" s="32"/>
      <c r="H33" s="32"/>
      <c r="L33" s="34"/>
      <c r="M33" s="122"/>
      <c r="N33" s="122"/>
      <c r="O33" s="68"/>
      <c r="P33" s="123"/>
      <c r="Q33" s="64"/>
    </row>
    <row r="34" spans="1:17">
      <c r="A34" s="77">
        <v>45852</v>
      </c>
      <c r="B34" s="13" t="s">
        <v>142</v>
      </c>
      <c r="C34" s="29"/>
      <c r="E34" s="126"/>
      <c r="F34" s="31"/>
      <c r="G34" s="32"/>
      <c r="H34" s="32"/>
      <c r="L34" s="34"/>
      <c r="M34" s="122"/>
      <c r="N34" s="122"/>
      <c r="O34" s="68"/>
      <c r="P34" s="123"/>
      <c r="Q34" s="64"/>
    </row>
    <row r="35" spans="1:17">
      <c r="A35" s="77">
        <v>45853</v>
      </c>
      <c r="B35" s="13"/>
      <c r="C35" s="29"/>
      <c r="E35" s="126"/>
      <c r="F35" s="31"/>
      <c r="G35" s="32"/>
      <c r="H35" s="32"/>
      <c r="L35" s="34"/>
      <c r="M35" s="122"/>
      <c r="N35" s="122"/>
      <c r="O35" s="68"/>
      <c r="P35" s="123"/>
      <c r="Q35" s="64"/>
    </row>
    <row r="36" spans="1:17">
      <c r="A36" s="101">
        <v>45854</v>
      </c>
      <c r="B36" s="13"/>
      <c r="C36" s="29"/>
      <c r="E36" s="126"/>
      <c r="F36" s="31"/>
      <c r="G36" s="32"/>
      <c r="H36" s="32"/>
      <c r="L36" s="34"/>
      <c r="M36" s="122"/>
      <c r="N36" s="122"/>
      <c r="O36" s="68"/>
      <c r="P36" s="123"/>
      <c r="Q36" s="64"/>
    </row>
    <row r="37" spans="1:17">
      <c r="A37" s="77">
        <v>45855</v>
      </c>
      <c r="B37" s="13" t="s">
        <v>351</v>
      </c>
      <c r="C37" s="29"/>
      <c r="E37" s="126"/>
      <c r="F37" s="31"/>
      <c r="G37" s="32"/>
      <c r="H37" s="32"/>
      <c r="L37" s="34"/>
      <c r="M37" s="122"/>
      <c r="N37" s="122"/>
      <c r="O37" s="68"/>
      <c r="P37" s="123"/>
      <c r="Q37" s="64"/>
    </row>
    <row r="38" spans="1:17">
      <c r="A38" s="117">
        <v>45856</v>
      </c>
      <c r="B38" s="13"/>
      <c r="C38" s="29"/>
      <c r="E38" s="126"/>
      <c r="F38" s="31"/>
      <c r="G38" s="32"/>
      <c r="H38" s="32"/>
      <c r="L38" s="34"/>
      <c r="M38" s="122"/>
      <c r="N38" s="122"/>
      <c r="O38" s="68"/>
      <c r="P38" s="123"/>
      <c r="Q38" s="64"/>
    </row>
    <row r="39" spans="1:17">
      <c r="A39" s="77">
        <v>45859</v>
      </c>
      <c r="B39" s="13" t="s">
        <v>352</v>
      </c>
      <c r="C39" s="29"/>
      <c r="E39" s="126"/>
      <c r="F39" s="31"/>
      <c r="G39" s="32"/>
      <c r="H39" s="32"/>
      <c r="L39" s="34"/>
      <c r="M39" s="122"/>
      <c r="N39" s="122"/>
      <c r="O39" s="68"/>
      <c r="P39" s="123"/>
      <c r="Q39" s="64"/>
    </row>
    <row r="40" spans="1:17">
      <c r="A40" s="77">
        <v>45860</v>
      </c>
      <c r="B40" s="13"/>
      <c r="C40" s="29"/>
      <c r="E40" s="126"/>
      <c r="F40" s="31"/>
      <c r="G40" s="32"/>
      <c r="H40" s="32"/>
      <c r="L40" s="34"/>
      <c r="M40" s="122"/>
      <c r="N40" s="122"/>
      <c r="O40" s="68"/>
      <c r="P40" s="123"/>
      <c r="Q40" s="64"/>
    </row>
    <row r="41" spans="1:17">
      <c r="A41" s="77">
        <v>45861</v>
      </c>
      <c r="B41" s="13"/>
      <c r="C41" s="29"/>
      <c r="E41" s="126"/>
      <c r="F41" s="31"/>
      <c r="G41" s="32"/>
      <c r="H41" s="32"/>
      <c r="L41" s="34"/>
      <c r="M41" s="122"/>
      <c r="N41" s="122"/>
      <c r="O41" s="68"/>
      <c r="P41" s="123"/>
      <c r="Q41" s="64"/>
    </row>
    <row r="42" spans="1:17">
      <c r="A42" s="77">
        <v>45862</v>
      </c>
      <c r="B42" s="13"/>
      <c r="C42" s="29"/>
      <c r="E42" s="126"/>
      <c r="F42" s="31"/>
      <c r="G42" s="32"/>
      <c r="H42" s="32"/>
      <c r="L42" s="34"/>
      <c r="M42" s="122"/>
      <c r="N42" s="122"/>
      <c r="O42" s="68"/>
      <c r="P42" s="123"/>
      <c r="Q42" s="64"/>
    </row>
    <row r="43" spans="1:17">
      <c r="A43" s="117">
        <v>45863</v>
      </c>
      <c r="B43" s="13"/>
      <c r="C43" s="29"/>
      <c r="E43" s="126"/>
      <c r="F43" s="31"/>
      <c r="G43" s="32"/>
      <c r="H43" s="32"/>
      <c r="L43" s="34"/>
      <c r="M43" s="122"/>
      <c r="N43" s="122"/>
      <c r="O43" s="68"/>
      <c r="P43" s="123"/>
      <c r="Q43" s="64"/>
    </row>
    <row r="44" spans="1:17">
      <c r="A44" s="117"/>
      <c r="B44" s="13"/>
      <c r="C44" s="29"/>
      <c r="E44" s="126"/>
      <c r="F44" s="31"/>
      <c r="G44" s="32"/>
      <c r="H44" s="32"/>
      <c r="L44" s="34"/>
      <c r="M44" s="122"/>
      <c r="N44" s="122"/>
      <c r="O44" s="68"/>
      <c r="P44" s="123"/>
      <c r="Q44" s="64"/>
    </row>
    <row r="45" spans="1:17">
      <c r="A45" s="117"/>
      <c r="B45" s="13"/>
      <c r="C45" s="29"/>
      <c r="E45" s="126"/>
      <c r="F45" s="31"/>
      <c r="G45" s="32"/>
      <c r="H45" s="32"/>
      <c r="L45" s="34"/>
      <c r="M45" s="122"/>
      <c r="N45" s="122"/>
      <c r="O45" s="68"/>
      <c r="P45" s="123"/>
      <c r="Q45" s="64"/>
    </row>
    <row r="46" spans="1:17">
      <c r="A46" s="117"/>
      <c r="B46" s="13"/>
      <c r="C46" s="29"/>
      <c r="E46" s="126"/>
      <c r="F46" s="31"/>
      <c r="G46" s="32"/>
      <c r="H46" s="32"/>
      <c r="L46" s="34"/>
      <c r="M46" s="122"/>
      <c r="N46" s="122"/>
      <c r="O46" s="68"/>
      <c r="P46" s="123"/>
      <c r="Q46" s="64"/>
    </row>
    <row r="47" spans="1:17">
      <c r="A47" s="117"/>
      <c r="B47" s="13"/>
      <c r="C47" s="29"/>
      <c r="E47" s="126"/>
      <c r="F47" s="31"/>
      <c r="G47" s="32"/>
      <c r="H47" s="32"/>
      <c r="L47" s="34"/>
      <c r="M47" s="122"/>
      <c r="N47" s="122"/>
      <c r="O47" s="68"/>
      <c r="P47" s="123"/>
      <c r="Q47" s="64"/>
    </row>
    <row r="48" spans="1:17">
      <c r="A48" s="117"/>
      <c r="B48" s="13"/>
      <c r="C48" s="29"/>
      <c r="E48" s="126"/>
      <c r="F48" s="31"/>
      <c r="G48" s="32"/>
      <c r="H48" s="32"/>
      <c r="L48" s="34"/>
      <c r="M48" s="122"/>
      <c r="N48" s="122"/>
      <c r="O48" s="68"/>
      <c r="P48" s="123"/>
      <c r="Q48" s="64"/>
    </row>
    <row r="49" spans="1:17">
      <c r="A49" s="117"/>
      <c r="B49" s="13"/>
      <c r="C49" s="29"/>
      <c r="E49" s="126"/>
      <c r="F49" s="31"/>
      <c r="G49" s="32"/>
      <c r="H49" s="32"/>
      <c r="L49" s="34"/>
      <c r="M49" s="122"/>
      <c r="N49" s="122"/>
      <c r="O49" s="68"/>
      <c r="P49" s="123"/>
      <c r="Q49" s="64"/>
    </row>
    <row r="50" spans="1:17">
      <c r="A50" s="117"/>
      <c r="B50" s="13"/>
      <c r="C50" s="29"/>
      <c r="E50" s="126"/>
      <c r="F50" s="31"/>
      <c r="G50" s="32"/>
      <c r="H50" s="32"/>
      <c r="L50" s="34"/>
      <c r="M50" s="122"/>
      <c r="N50" s="122"/>
      <c r="O50" s="68"/>
      <c r="P50" s="123"/>
      <c r="Q50" s="64"/>
    </row>
    <row r="51" spans="1:17">
      <c r="A51" s="117"/>
      <c r="B51" s="13"/>
      <c r="C51" s="29"/>
      <c r="E51" s="126"/>
      <c r="F51" s="31"/>
      <c r="G51" s="32"/>
      <c r="H51" s="32"/>
      <c r="L51" s="34"/>
      <c r="M51" s="122"/>
      <c r="N51" s="122"/>
      <c r="O51" s="68"/>
      <c r="P51" s="123"/>
      <c r="Q51" s="64"/>
    </row>
    <row r="52" spans="1:17">
      <c r="A52" s="117"/>
      <c r="B52" s="13"/>
      <c r="C52" s="29"/>
      <c r="E52" s="126"/>
      <c r="F52" s="31"/>
      <c r="G52" s="32"/>
      <c r="H52" s="32"/>
      <c r="L52" s="34"/>
      <c r="M52" s="122"/>
      <c r="N52" s="122"/>
      <c r="O52" s="68"/>
      <c r="P52" s="123"/>
      <c r="Q52" s="64"/>
    </row>
    <row r="53" spans="1:17">
      <c r="A53" s="117"/>
      <c r="B53" s="13"/>
      <c r="C53" s="29"/>
      <c r="E53" s="126"/>
      <c r="F53" s="31"/>
      <c r="G53" s="32"/>
      <c r="H53" s="32"/>
      <c r="L53" s="34"/>
      <c r="M53" s="122"/>
      <c r="N53" s="122"/>
      <c r="O53" s="68"/>
      <c r="P53" s="123"/>
      <c r="Q53" s="64"/>
    </row>
    <row r="54" spans="1:17">
      <c r="A54" s="117"/>
      <c r="B54" s="13"/>
      <c r="C54" s="29"/>
      <c r="E54" s="126"/>
      <c r="F54" s="31"/>
      <c r="G54" s="32"/>
      <c r="H54" s="32"/>
      <c r="L54" s="34"/>
      <c r="M54" s="122"/>
      <c r="N54" s="122"/>
      <c r="O54" s="68"/>
      <c r="P54" s="123"/>
      <c r="Q54" s="64"/>
    </row>
    <row r="55" spans="1:17">
      <c r="A55" s="117"/>
      <c r="B55" s="13"/>
      <c r="C55" s="29"/>
      <c r="E55" s="126"/>
      <c r="F55" s="31"/>
      <c r="G55" s="32"/>
      <c r="H55" s="32"/>
      <c r="L55" s="34"/>
      <c r="M55" s="122"/>
      <c r="N55" s="122"/>
      <c r="O55" s="68"/>
      <c r="P55" s="123"/>
      <c r="Q55" s="64"/>
    </row>
    <row r="56" spans="1:17">
      <c r="A56" s="117"/>
      <c r="B56" s="13"/>
      <c r="C56" s="29"/>
      <c r="E56" s="126"/>
      <c r="F56" s="31"/>
      <c r="G56" s="32"/>
      <c r="H56" s="32"/>
      <c r="L56" s="34"/>
      <c r="M56" s="122"/>
      <c r="N56" s="122"/>
      <c r="O56" s="68"/>
      <c r="P56" s="123"/>
      <c r="Q56" s="64"/>
    </row>
    <row r="57" spans="1:17">
      <c r="A57" s="117"/>
      <c r="B57" s="13"/>
      <c r="C57" s="29"/>
      <c r="E57" s="126"/>
      <c r="F57" s="31"/>
      <c r="G57" s="32"/>
      <c r="H57" s="32"/>
      <c r="L57" s="34"/>
      <c r="M57" s="122"/>
      <c r="N57" s="122"/>
      <c r="O57" s="68"/>
      <c r="P57" s="123"/>
      <c r="Q57" s="64"/>
    </row>
    <row r="58" spans="1:17">
      <c r="A58" s="117"/>
      <c r="B58" s="13"/>
      <c r="C58" s="29"/>
      <c r="E58" s="126"/>
      <c r="F58" s="31"/>
      <c r="G58" s="32"/>
      <c r="H58" s="32"/>
      <c r="L58" s="34"/>
      <c r="M58" s="122"/>
      <c r="N58" s="122"/>
      <c r="O58" s="68"/>
      <c r="P58" s="123"/>
      <c r="Q58" s="64"/>
    </row>
    <row r="59" spans="1:17">
      <c r="A59" s="117"/>
      <c r="B59" s="13"/>
      <c r="C59" s="29"/>
      <c r="E59" s="126"/>
      <c r="F59" s="31"/>
      <c r="G59" s="32"/>
      <c r="H59" s="32"/>
      <c r="L59" s="34"/>
      <c r="M59" s="122"/>
      <c r="N59" s="122"/>
      <c r="O59" s="68"/>
      <c r="P59" s="123"/>
      <c r="Q59" s="64"/>
    </row>
    <row r="60" spans="1:17">
      <c r="A60" s="117"/>
      <c r="B60" s="13"/>
      <c r="C60" s="29"/>
      <c r="E60" s="126"/>
      <c r="F60" s="31"/>
      <c r="G60" s="32"/>
      <c r="H60" s="32"/>
      <c r="L60" s="34"/>
      <c r="M60" s="122"/>
      <c r="N60" s="122"/>
      <c r="O60" s="68"/>
      <c r="P60" s="123"/>
      <c r="Q60" s="64"/>
    </row>
    <row r="61" spans="1:17">
      <c r="A61" s="117"/>
      <c r="B61" s="13"/>
      <c r="C61" s="29"/>
      <c r="E61" s="126"/>
      <c r="F61" s="31"/>
      <c r="G61" s="32"/>
      <c r="H61" s="32"/>
      <c r="L61" s="34"/>
      <c r="M61" s="122"/>
      <c r="N61" s="122"/>
      <c r="O61" s="68"/>
      <c r="P61" s="123"/>
      <c r="Q61" s="64"/>
    </row>
    <row r="62" spans="1:17">
      <c r="A62" s="117"/>
      <c r="B62" s="13"/>
      <c r="C62" s="29"/>
      <c r="E62" s="126"/>
      <c r="F62" s="31"/>
      <c r="G62" s="32"/>
      <c r="H62" s="32"/>
      <c r="L62" s="34"/>
      <c r="M62" s="122"/>
      <c r="N62" s="122"/>
      <c r="O62" s="68"/>
      <c r="P62" s="123"/>
      <c r="Q62" s="64"/>
    </row>
    <row r="63" spans="1:17">
      <c r="A63" s="117"/>
      <c r="B63" s="13"/>
      <c r="C63" s="29"/>
      <c r="E63" s="126"/>
      <c r="F63" s="31"/>
      <c r="G63" s="32"/>
      <c r="H63" s="32"/>
      <c r="L63" s="34"/>
      <c r="M63" s="122"/>
      <c r="N63" s="122"/>
      <c r="O63" s="68"/>
      <c r="P63" s="123"/>
      <c r="Q63" s="64"/>
    </row>
    <row r="64" spans="1:17">
      <c r="A64" s="117"/>
      <c r="B64" s="13"/>
      <c r="C64" s="29"/>
      <c r="E64" s="126"/>
      <c r="F64" s="31"/>
      <c r="G64" s="32"/>
      <c r="H64" s="32"/>
      <c r="L64" s="34"/>
      <c r="M64" s="122"/>
      <c r="N64" s="122"/>
      <c r="O64" s="68"/>
      <c r="P64" s="123"/>
      <c r="Q64" s="64"/>
    </row>
    <row r="65" spans="1:17">
      <c r="A65" s="117"/>
      <c r="B65" s="13"/>
      <c r="C65" s="29"/>
      <c r="E65" s="126"/>
      <c r="F65" s="31"/>
      <c r="G65" s="32"/>
      <c r="H65" s="32"/>
      <c r="L65" s="34"/>
      <c r="M65" s="122"/>
      <c r="N65" s="122"/>
      <c r="O65" s="68"/>
      <c r="P65" s="123"/>
      <c r="Q65" s="64"/>
    </row>
    <row r="66" spans="1:17">
      <c r="A66" s="117"/>
      <c r="B66" s="13"/>
      <c r="C66" s="29"/>
      <c r="E66" s="126"/>
      <c r="F66" s="31"/>
      <c r="G66" s="32"/>
      <c r="H66" s="32"/>
      <c r="L66" s="34"/>
      <c r="M66" s="122"/>
      <c r="N66" s="122"/>
      <c r="O66" s="68"/>
      <c r="P66" s="123"/>
      <c r="Q66" s="64"/>
    </row>
    <row r="67" spans="1:17">
      <c r="A67" s="117"/>
      <c r="B67" s="13"/>
      <c r="C67" s="29"/>
      <c r="E67" s="126"/>
      <c r="F67" s="31"/>
      <c r="G67" s="32"/>
      <c r="H67" s="32"/>
      <c r="L67" s="34"/>
      <c r="M67" s="122"/>
      <c r="N67" s="122"/>
      <c r="O67" s="68"/>
      <c r="P67" s="123"/>
      <c r="Q67" s="64"/>
    </row>
    <row r="68" spans="1:17">
      <c r="A68" s="117"/>
      <c r="B68" s="13"/>
      <c r="C68" s="29"/>
      <c r="E68" s="126"/>
      <c r="F68" s="31"/>
      <c r="G68" s="32"/>
      <c r="H68" s="32"/>
      <c r="L68" s="34"/>
      <c r="M68" s="122"/>
      <c r="N68" s="122"/>
      <c r="O68" s="68"/>
      <c r="P68" s="123"/>
      <c r="Q68" s="64"/>
    </row>
    <row r="69" spans="1:17">
      <c r="A69" s="117"/>
      <c r="B69" s="13"/>
      <c r="C69" s="29"/>
      <c r="E69" s="126"/>
      <c r="F69" s="31"/>
      <c r="G69" s="32"/>
      <c r="H69" s="32"/>
      <c r="L69" s="34"/>
      <c r="M69" s="122"/>
      <c r="N69" s="122"/>
      <c r="O69" s="68"/>
      <c r="P69" s="123"/>
      <c r="Q69" s="64"/>
    </row>
    <row r="70" spans="1:17">
      <c r="A70" s="117"/>
      <c r="B70" s="13"/>
      <c r="C70" s="29"/>
      <c r="E70" s="126"/>
      <c r="F70" s="31"/>
      <c r="G70" s="32"/>
      <c r="H70" s="32"/>
      <c r="L70" s="34"/>
      <c r="M70" s="122"/>
      <c r="N70" s="122"/>
      <c r="O70" s="68"/>
      <c r="P70" s="123"/>
      <c r="Q70" s="64"/>
    </row>
    <row r="71" spans="1:17">
      <c r="A71" s="117"/>
      <c r="B71" s="13"/>
      <c r="C71" s="29"/>
      <c r="E71" s="126"/>
      <c r="F71" s="31"/>
      <c r="G71" s="32"/>
      <c r="H71" s="32"/>
      <c r="L71" s="34"/>
      <c r="M71" s="122"/>
      <c r="N71" s="122"/>
      <c r="O71" s="68"/>
      <c r="P71" s="123"/>
      <c r="Q71" s="64"/>
    </row>
    <row r="72" spans="1:17">
      <c r="A72" s="117"/>
      <c r="B72" s="13"/>
      <c r="C72" s="29"/>
      <c r="E72" s="126"/>
      <c r="F72" s="31"/>
      <c r="G72" s="32"/>
      <c r="H72" s="32"/>
      <c r="L72" s="34"/>
      <c r="M72" s="122"/>
      <c r="N72" s="122"/>
      <c r="O72" s="68"/>
      <c r="P72" s="123"/>
      <c r="Q72" s="64"/>
    </row>
    <row r="73" spans="1:17">
      <c r="A73" s="117"/>
      <c r="B73" s="13"/>
      <c r="C73" s="29"/>
      <c r="E73" s="126"/>
      <c r="F73" s="31"/>
      <c r="G73" s="32"/>
      <c r="H73" s="32"/>
      <c r="L73" s="34"/>
      <c r="M73" s="122"/>
      <c r="N73" s="122"/>
      <c r="O73" s="68"/>
      <c r="P73" s="123"/>
      <c r="Q73" s="64"/>
    </row>
    <row r="74" spans="1:17">
      <c r="A74" s="117"/>
      <c r="B74" s="13"/>
      <c r="C74" s="29"/>
      <c r="E74" s="126"/>
      <c r="F74" s="31"/>
      <c r="G74" s="32"/>
      <c r="H74" s="32"/>
      <c r="L74" s="34"/>
      <c r="M74" s="122"/>
      <c r="N74" s="122"/>
      <c r="O74" s="68"/>
      <c r="P74" s="123"/>
      <c r="Q74" s="64"/>
    </row>
    <row r="75" spans="1:17">
      <c r="A75" s="117"/>
      <c r="B75" s="13"/>
      <c r="C75" s="29"/>
      <c r="E75" s="126"/>
      <c r="F75" s="31"/>
      <c r="G75" s="32"/>
      <c r="H75" s="32"/>
      <c r="L75" s="34"/>
      <c r="M75" s="122"/>
      <c r="N75" s="122"/>
      <c r="O75" s="68"/>
      <c r="P75" s="123"/>
      <c r="Q75" s="64"/>
    </row>
    <row r="76" spans="1:17">
      <c r="A76" s="117"/>
      <c r="B76" s="13"/>
      <c r="C76" s="29"/>
      <c r="E76" s="126"/>
      <c r="F76" s="31"/>
      <c r="G76" s="32"/>
      <c r="H76" s="32"/>
      <c r="L76" s="34"/>
      <c r="M76" s="122"/>
      <c r="N76" s="122"/>
      <c r="O76" s="68"/>
      <c r="P76" s="123"/>
      <c r="Q76" s="64"/>
    </row>
    <row r="77" spans="1:17">
      <c r="A77" s="117"/>
      <c r="B77" s="13"/>
      <c r="C77" s="29"/>
      <c r="E77" s="126"/>
      <c r="F77" s="31"/>
      <c r="G77" s="32"/>
      <c r="H77" s="32"/>
      <c r="L77" s="34"/>
      <c r="M77" s="122"/>
      <c r="N77" s="122"/>
      <c r="O77" s="68"/>
      <c r="P77" s="123"/>
      <c r="Q77" s="64"/>
    </row>
    <row r="78" spans="1:17">
      <c r="A78" s="117"/>
      <c r="B78" s="13"/>
      <c r="C78" s="29"/>
      <c r="E78" s="126"/>
      <c r="F78" s="31"/>
      <c r="G78" s="32"/>
      <c r="H78" s="32"/>
      <c r="L78" s="34"/>
      <c r="M78" s="122"/>
      <c r="N78" s="122"/>
      <c r="O78" s="68"/>
      <c r="P78" s="123"/>
      <c r="Q78" s="64"/>
    </row>
    <row r="79" spans="1:17">
      <c r="A79" s="117"/>
      <c r="B79" s="13"/>
      <c r="C79" s="29"/>
      <c r="E79" s="126"/>
      <c r="F79" s="31"/>
      <c r="G79" s="32"/>
      <c r="H79" s="32"/>
      <c r="L79" s="34"/>
      <c r="M79" s="122"/>
      <c r="N79" s="122"/>
      <c r="O79" s="68"/>
      <c r="P79" s="123"/>
      <c r="Q79" s="64"/>
    </row>
    <row r="80" spans="1:17">
      <c r="A80" s="117"/>
      <c r="B80" s="13"/>
      <c r="C80" s="29"/>
      <c r="E80" s="126"/>
      <c r="F80" s="31"/>
      <c r="G80" s="32"/>
      <c r="H80" s="32"/>
      <c r="L80" s="34"/>
      <c r="M80" s="122"/>
      <c r="N80" s="122"/>
      <c r="O80" s="68"/>
      <c r="P80" s="123"/>
      <c r="Q80" s="64"/>
    </row>
    <row r="81" spans="1:17">
      <c r="A81" s="117"/>
      <c r="B81" s="13"/>
      <c r="C81" s="29"/>
      <c r="E81" s="126"/>
      <c r="F81" s="31"/>
      <c r="G81" s="32"/>
      <c r="H81" s="32"/>
      <c r="L81" s="34"/>
      <c r="M81" s="122"/>
      <c r="N81" s="122"/>
      <c r="O81" s="68"/>
      <c r="P81" s="123"/>
      <c r="Q81" s="64"/>
    </row>
    <row r="82" spans="1:17">
      <c r="A82" s="117"/>
      <c r="B82" s="13"/>
      <c r="C82" s="29"/>
      <c r="E82" s="126"/>
      <c r="F82" s="31"/>
      <c r="G82" s="32"/>
      <c r="H82" s="32"/>
      <c r="L82" s="34"/>
      <c r="M82" s="122"/>
      <c r="N82" s="122"/>
      <c r="O82" s="68"/>
      <c r="P82" s="123"/>
      <c r="Q82" s="64"/>
    </row>
    <row r="83" spans="1:17">
      <c r="A83" s="117"/>
      <c r="B83" s="13"/>
      <c r="C83" s="29"/>
      <c r="E83" s="126"/>
      <c r="F83" s="31"/>
      <c r="G83" s="32"/>
      <c r="H83" s="32"/>
      <c r="L83" s="34"/>
      <c r="M83" s="122"/>
      <c r="N83" s="122"/>
      <c r="O83" s="68"/>
      <c r="P83" s="123"/>
      <c r="Q83" s="64"/>
    </row>
    <row r="84" spans="1:17">
      <c r="A84" s="117"/>
      <c r="B84" s="13"/>
      <c r="C84" s="29"/>
      <c r="E84" s="126"/>
      <c r="F84" s="31"/>
      <c r="G84" s="32"/>
      <c r="H84" s="32"/>
      <c r="L84" s="34"/>
      <c r="M84" s="122"/>
      <c r="N84" s="122"/>
      <c r="O84" s="68"/>
      <c r="P84" s="123"/>
      <c r="Q84" s="64"/>
    </row>
    <row r="85" spans="1:17">
      <c r="A85" s="117"/>
      <c r="B85" s="13"/>
      <c r="C85" s="29"/>
      <c r="E85" s="126"/>
      <c r="F85" s="31"/>
      <c r="G85" s="32"/>
      <c r="H85" s="32"/>
      <c r="L85" s="34"/>
      <c r="M85" s="122"/>
      <c r="N85" s="122"/>
      <c r="O85" s="68"/>
      <c r="P85" s="123"/>
      <c r="Q85" s="64"/>
    </row>
    <row r="86" spans="1:17">
      <c r="A86" s="117"/>
      <c r="B86" s="13"/>
      <c r="C86" s="29"/>
      <c r="E86" s="126"/>
      <c r="F86" s="31"/>
      <c r="G86" s="32"/>
      <c r="H86" s="32"/>
      <c r="L86" s="34"/>
      <c r="M86" s="122"/>
      <c r="N86" s="122"/>
      <c r="O86" s="68"/>
      <c r="P86" s="123"/>
      <c r="Q86" s="64"/>
    </row>
    <row r="87" spans="1:17">
      <c r="A87" s="117"/>
      <c r="B87" s="13"/>
      <c r="C87" s="29"/>
      <c r="E87" s="126"/>
      <c r="F87" s="31"/>
      <c r="G87" s="32"/>
      <c r="H87" s="32"/>
      <c r="L87" s="34"/>
      <c r="M87" s="122"/>
      <c r="N87" s="122"/>
      <c r="O87" s="68"/>
      <c r="P87" s="123"/>
      <c r="Q87" s="64"/>
    </row>
    <row r="88" spans="1:17">
      <c r="A88" s="117"/>
      <c r="B88" s="13"/>
      <c r="C88" s="29"/>
      <c r="E88" s="126"/>
      <c r="F88" s="31"/>
      <c r="G88" s="32"/>
      <c r="H88" s="32"/>
      <c r="L88" s="34"/>
      <c r="M88" s="122"/>
      <c r="N88" s="122"/>
      <c r="O88" s="68"/>
      <c r="P88" s="123"/>
      <c r="Q88" s="64"/>
    </row>
    <row r="89" spans="1:17">
      <c r="A89" s="117"/>
      <c r="B89" s="13"/>
      <c r="C89" s="29"/>
      <c r="E89" s="126"/>
      <c r="F89" s="31"/>
      <c r="G89" s="32"/>
      <c r="H89" s="32"/>
      <c r="L89" s="34"/>
      <c r="M89" s="122"/>
      <c r="N89" s="122"/>
      <c r="O89" s="68"/>
      <c r="P89" s="123"/>
      <c r="Q89" s="64"/>
    </row>
    <row r="90" spans="1:17">
      <c r="A90" s="117"/>
      <c r="B90" s="13"/>
      <c r="C90" s="29"/>
      <c r="E90" s="126"/>
      <c r="F90" s="31"/>
      <c r="G90" s="32"/>
      <c r="H90" s="32"/>
      <c r="L90" s="34"/>
      <c r="M90" s="122"/>
      <c r="N90" s="122"/>
      <c r="O90" s="68"/>
      <c r="P90" s="123"/>
      <c r="Q90" s="64"/>
    </row>
    <row r="91" spans="1:17">
      <c r="A91" s="117"/>
      <c r="B91" s="13"/>
      <c r="C91" s="29"/>
      <c r="E91" s="126"/>
      <c r="F91" s="31"/>
      <c r="G91" s="32"/>
      <c r="H91" s="32"/>
      <c r="L91" s="34"/>
      <c r="M91" s="122"/>
      <c r="N91" s="122"/>
      <c r="O91" s="68"/>
      <c r="P91" s="123"/>
      <c r="Q91" s="64"/>
    </row>
    <row r="92" spans="1:17">
      <c r="A92" s="117"/>
      <c r="B92" s="13"/>
      <c r="C92" s="29"/>
      <c r="E92" s="126"/>
      <c r="F92" s="31"/>
      <c r="G92" s="32"/>
      <c r="H92" s="32"/>
      <c r="L92" s="34"/>
      <c r="M92" s="122"/>
      <c r="N92" s="122"/>
      <c r="O92" s="68"/>
      <c r="P92" s="123"/>
      <c r="Q92" s="64"/>
    </row>
    <row r="93" spans="1:17">
      <c r="A93" s="117"/>
      <c r="B93" s="13"/>
      <c r="C93" s="29"/>
      <c r="E93" s="126"/>
      <c r="F93" s="31"/>
      <c r="G93" s="32"/>
      <c r="H93" s="32"/>
      <c r="L93" s="34"/>
      <c r="M93" s="122"/>
      <c r="N93" s="122"/>
      <c r="O93" s="68"/>
      <c r="P93" s="123"/>
      <c r="Q93" s="64"/>
    </row>
    <row r="94" spans="1:17">
      <c r="A94" s="117"/>
      <c r="B94" s="13"/>
      <c r="C94" s="29"/>
      <c r="E94" s="126"/>
      <c r="F94" s="31"/>
      <c r="G94" s="32"/>
      <c r="H94" s="32"/>
      <c r="L94" s="34"/>
      <c r="M94" s="122"/>
      <c r="N94" s="122"/>
      <c r="O94" s="68"/>
      <c r="P94" s="123"/>
      <c r="Q94" s="64"/>
    </row>
    <row r="95" spans="1:17">
      <c r="A95" s="117"/>
      <c r="B95" s="13"/>
      <c r="C95" s="29"/>
      <c r="E95" s="126"/>
      <c r="F95" s="31"/>
      <c r="G95" s="32"/>
      <c r="H95" s="32"/>
      <c r="L95" s="34"/>
      <c r="M95" s="122"/>
      <c r="N95" s="122"/>
      <c r="O95" s="68"/>
      <c r="P95" s="123"/>
      <c r="Q95" s="64"/>
    </row>
    <row r="96" spans="1:17">
      <c r="A96" s="117"/>
      <c r="B96" s="13"/>
      <c r="C96" s="29"/>
      <c r="E96" s="126"/>
      <c r="F96" s="31"/>
      <c r="G96" s="32"/>
      <c r="H96" s="32"/>
      <c r="L96" s="34"/>
      <c r="M96" s="122"/>
      <c r="N96" s="122"/>
      <c r="O96" s="68"/>
      <c r="P96" s="123"/>
      <c r="Q96" s="64"/>
    </row>
  </sheetData>
  <mergeCells count="95">
    <mergeCell ref="O2:Q2"/>
    <mergeCell ref="O3:Q3"/>
    <mergeCell ref="O4:Q4"/>
    <mergeCell ref="O5:Q5"/>
    <mergeCell ref="O6:Q6"/>
    <mergeCell ref="O7:Q7"/>
    <mergeCell ref="O8:Q8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5:Q25"/>
    <mergeCell ref="O26:Q26"/>
    <mergeCell ref="O27:Q27"/>
    <mergeCell ref="O28:Q28"/>
    <mergeCell ref="O29:Q29"/>
    <mergeCell ref="O30:Q30"/>
    <mergeCell ref="O31:Q31"/>
    <mergeCell ref="O33:Q33"/>
    <mergeCell ref="O34:Q34"/>
    <mergeCell ref="O35:Q35"/>
    <mergeCell ref="O36:Q36"/>
    <mergeCell ref="O37:Q37"/>
    <mergeCell ref="O38:Q38"/>
    <mergeCell ref="O39:Q39"/>
    <mergeCell ref="O40:Q40"/>
    <mergeCell ref="O41:Q41"/>
    <mergeCell ref="O42:Q42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55:Q55"/>
    <mergeCell ref="O56:Q56"/>
    <mergeCell ref="O57:Q57"/>
    <mergeCell ref="O58:Q58"/>
    <mergeCell ref="O59:Q59"/>
    <mergeCell ref="O60:Q60"/>
    <mergeCell ref="O61:Q61"/>
    <mergeCell ref="O62:Q62"/>
    <mergeCell ref="O63:Q63"/>
    <mergeCell ref="O64:Q64"/>
    <mergeCell ref="O65:Q65"/>
    <mergeCell ref="O66:Q66"/>
    <mergeCell ref="O67:Q67"/>
    <mergeCell ref="O68:Q68"/>
    <mergeCell ref="O69:Q69"/>
    <mergeCell ref="O70:Q70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87:Q87"/>
    <mergeCell ref="O88:Q88"/>
    <mergeCell ref="O89:Q89"/>
    <mergeCell ref="O90:Q90"/>
    <mergeCell ref="O91:Q91"/>
    <mergeCell ref="O92:Q92"/>
    <mergeCell ref="O93:Q93"/>
    <mergeCell ref="O94:Q94"/>
    <mergeCell ref="O95:Q95"/>
    <mergeCell ref="O96:Q96"/>
    <mergeCell ref="A8:A9"/>
    <mergeCell ref="A23:A24"/>
    <mergeCell ref="A31:A3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3"/>
  <sheetViews>
    <sheetView workbookViewId="0">
      <pane xSplit="1" ySplit="16" topLeftCell="B98" activePane="bottomRight" state="frozen"/>
      <selection/>
      <selection pane="topRight"/>
      <selection pane="bottomLeft"/>
      <selection pane="bottomRight" activeCell="E108" sqref="E108"/>
    </sheetView>
  </sheetViews>
  <sheetFormatPr defaultColWidth="9.14166666666667" defaultRowHeight="15.75"/>
  <cols>
    <col min="1" max="1" width="12.125" style="2" customWidth="1"/>
    <col min="2" max="2" width="8.625" style="3" customWidth="1"/>
    <col min="3" max="3" width="13.8333333333333" style="4" customWidth="1"/>
    <col min="4" max="4" width="7.125" style="5" customWidth="1"/>
    <col min="5" max="5" width="12.75" style="4" customWidth="1"/>
    <col min="6" max="6" width="10.375" style="4" customWidth="1"/>
    <col min="7" max="7" width="9.875" style="4" customWidth="1"/>
    <col min="8" max="8" width="5.125" style="4" customWidth="1"/>
    <col min="9" max="9" width="8.25" style="4" customWidth="1"/>
    <col min="10" max="10" width="9.125" style="4" customWidth="1"/>
    <col min="11" max="11" width="9.25" style="6" customWidth="1"/>
    <col min="12" max="12" width="6.875" style="4" customWidth="1"/>
    <col min="13" max="13" width="6.875" style="7" customWidth="1"/>
    <col min="14" max="14" width="10.375" style="7" customWidth="1"/>
    <col min="15" max="15" width="10.375" style="8" customWidth="1"/>
    <col min="16" max="16" width="14.375" style="9" customWidth="1"/>
    <col min="17" max="16384" width="9.14166666666667" style="1"/>
  </cols>
  <sheetData>
    <row r="1" s="1" customFormat="1" spans="1:16">
      <c r="A1" s="10"/>
      <c r="B1" s="11"/>
      <c r="C1" s="11"/>
      <c r="D1" s="12"/>
      <c r="E1" s="13" t="s">
        <v>33</v>
      </c>
      <c r="F1" s="14" t="s">
        <v>62</v>
      </c>
      <c r="G1" s="15" t="s">
        <v>51</v>
      </c>
      <c r="H1" s="15" t="s">
        <v>63</v>
      </c>
      <c r="I1" s="32" t="s">
        <v>64</v>
      </c>
      <c r="J1" s="32" t="s">
        <v>52</v>
      </c>
      <c r="K1" s="13" t="s">
        <v>33</v>
      </c>
      <c r="L1" s="14" t="s">
        <v>62</v>
      </c>
      <c r="M1" s="15" t="s">
        <v>51</v>
      </c>
      <c r="N1" s="15" t="s">
        <v>63</v>
      </c>
      <c r="O1" s="32" t="s">
        <v>64</v>
      </c>
      <c r="P1" s="32" t="s">
        <v>52</v>
      </c>
    </row>
    <row r="2" s="1" customFormat="1" spans="1:16">
      <c r="A2" s="10"/>
      <c r="B2" s="11"/>
      <c r="C2" s="11"/>
      <c r="D2" s="12"/>
      <c r="E2" s="16">
        <v>45658</v>
      </c>
      <c r="F2" s="17">
        <f>G2+H2</f>
        <v>7</v>
      </c>
      <c r="G2" s="18">
        <v>7</v>
      </c>
      <c r="H2" s="18">
        <v>0</v>
      </c>
      <c r="I2" s="34">
        <v>0.8194</v>
      </c>
      <c r="J2" s="34">
        <v>1.8194</v>
      </c>
      <c r="K2" s="16">
        <v>46023</v>
      </c>
      <c r="L2" s="14"/>
      <c r="M2" s="15"/>
      <c r="N2" s="15"/>
      <c r="O2" s="34"/>
      <c r="P2" s="34"/>
    </row>
    <row r="3" s="1" customFormat="1" spans="1:16">
      <c r="A3" s="10"/>
      <c r="B3" s="19"/>
      <c r="C3" s="19"/>
      <c r="D3" s="10"/>
      <c r="E3" s="16">
        <v>45689</v>
      </c>
      <c r="F3" s="17">
        <v>1</v>
      </c>
      <c r="G3" s="18">
        <v>2</v>
      </c>
      <c r="H3" s="18">
        <v>0</v>
      </c>
      <c r="I3" s="34">
        <f>J3/J2-1</f>
        <v>0.0661756623062548</v>
      </c>
      <c r="J3" s="34">
        <v>1.9398</v>
      </c>
      <c r="K3" s="16">
        <v>46054</v>
      </c>
      <c r="L3" s="14"/>
      <c r="M3" s="15"/>
      <c r="N3" s="15"/>
      <c r="O3" s="34"/>
      <c r="P3" s="34"/>
    </row>
    <row r="4" s="1" customFormat="1" spans="1:16">
      <c r="A4" s="10"/>
      <c r="B4" s="19"/>
      <c r="C4" s="19"/>
      <c r="D4" s="10"/>
      <c r="E4" s="16">
        <v>45717</v>
      </c>
      <c r="F4" s="17">
        <v>1</v>
      </c>
      <c r="G4" s="18">
        <v>1</v>
      </c>
      <c r="H4" s="18">
        <v>0</v>
      </c>
      <c r="I4" s="34">
        <v>0.0389</v>
      </c>
      <c r="J4" s="34">
        <v>2.9398</v>
      </c>
      <c r="K4" s="16">
        <v>46082</v>
      </c>
      <c r="L4" s="17"/>
      <c r="M4" s="18"/>
      <c r="N4" s="18"/>
      <c r="O4" s="34"/>
      <c r="P4" s="34"/>
    </row>
    <row r="5" s="1" customFormat="1" spans="1:16">
      <c r="A5" s="10"/>
      <c r="B5" s="19"/>
      <c r="C5" s="19"/>
      <c r="D5" s="10"/>
      <c r="E5" s="16">
        <v>45748</v>
      </c>
      <c r="F5" s="20"/>
      <c r="G5" s="21"/>
      <c r="H5" s="22"/>
      <c r="I5" s="82"/>
      <c r="J5" s="82"/>
      <c r="K5" s="16">
        <v>46113</v>
      </c>
      <c r="L5" s="20"/>
      <c r="M5" s="21"/>
      <c r="N5" s="21"/>
      <c r="O5" s="21"/>
      <c r="P5" s="21"/>
    </row>
    <row r="6" s="1" customFormat="1" spans="1:16">
      <c r="A6" s="10"/>
      <c r="B6" s="19"/>
      <c r="C6" s="19"/>
      <c r="D6" s="10"/>
      <c r="E6" s="16">
        <v>45778</v>
      </c>
      <c r="F6" s="20"/>
      <c r="G6" s="21"/>
      <c r="H6" s="22"/>
      <c r="I6" s="82"/>
      <c r="J6" s="82"/>
      <c r="K6" s="16">
        <v>46143</v>
      </c>
      <c r="L6" s="20"/>
      <c r="M6" s="21"/>
      <c r="N6" s="21"/>
      <c r="O6" s="21"/>
      <c r="P6" s="21"/>
    </row>
    <row r="7" s="1" customFormat="1" spans="1:16">
      <c r="A7" s="10"/>
      <c r="B7" s="19"/>
      <c r="C7" s="19"/>
      <c r="D7" s="10"/>
      <c r="E7" s="16">
        <v>45809</v>
      </c>
      <c r="F7" s="20"/>
      <c r="G7" s="21"/>
      <c r="H7" s="22"/>
      <c r="I7" s="82"/>
      <c r="J7" s="82"/>
      <c r="K7" s="16">
        <v>46174</v>
      </c>
      <c r="L7" s="20"/>
      <c r="M7" s="21"/>
      <c r="N7" s="21"/>
      <c r="O7" s="21"/>
      <c r="P7" s="21"/>
    </row>
    <row r="8" s="1" customFormat="1" spans="1:16">
      <c r="A8" s="10"/>
      <c r="B8" s="19"/>
      <c r="C8" s="19"/>
      <c r="D8" s="10"/>
      <c r="E8" s="16">
        <v>45839</v>
      </c>
      <c r="F8" s="20"/>
      <c r="G8" s="21"/>
      <c r="H8" s="22"/>
      <c r="I8" s="82"/>
      <c r="J8" s="82"/>
      <c r="K8" s="16">
        <v>46204</v>
      </c>
      <c r="L8" s="20"/>
      <c r="M8" s="21"/>
      <c r="N8" s="21"/>
      <c r="O8" s="21"/>
      <c r="P8" s="21"/>
    </row>
    <row r="9" s="1" customFormat="1" spans="1:16">
      <c r="A9" s="10"/>
      <c r="B9" s="19"/>
      <c r="C9" s="19"/>
      <c r="D9" s="10"/>
      <c r="E9" s="16">
        <v>45870</v>
      </c>
      <c r="F9" s="20"/>
      <c r="G9" s="21"/>
      <c r="H9" s="22"/>
      <c r="I9" s="82"/>
      <c r="J9" s="82"/>
      <c r="K9" s="16">
        <v>46235</v>
      </c>
      <c r="L9" s="20"/>
      <c r="M9" s="21"/>
      <c r="N9" s="21"/>
      <c r="O9" s="21"/>
      <c r="P9" s="21"/>
    </row>
    <row r="10" s="1" customFormat="1" spans="1:16">
      <c r="A10" s="10"/>
      <c r="B10" s="19"/>
      <c r="C10" s="19"/>
      <c r="D10" s="10"/>
      <c r="E10" s="16">
        <v>45901</v>
      </c>
      <c r="F10" s="20"/>
      <c r="G10" s="21"/>
      <c r="H10" s="22"/>
      <c r="I10" s="82"/>
      <c r="J10" s="82"/>
      <c r="K10" s="16">
        <v>46266</v>
      </c>
      <c r="L10" s="20"/>
      <c r="M10" s="21"/>
      <c r="N10" s="21"/>
      <c r="O10" s="21"/>
      <c r="P10" s="21"/>
    </row>
    <row r="11" s="1" customFormat="1" spans="1:16">
      <c r="A11" s="10"/>
      <c r="B11" s="19"/>
      <c r="C11" s="19"/>
      <c r="D11" s="10"/>
      <c r="E11" s="16">
        <v>45931</v>
      </c>
      <c r="F11" s="17"/>
      <c r="G11" s="18"/>
      <c r="H11" s="18"/>
      <c r="I11" s="34"/>
      <c r="J11" s="34"/>
      <c r="K11" s="16">
        <v>46296</v>
      </c>
      <c r="L11" s="17"/>
      <c r="M11" s="18"/>
      <c r="N11" s="18"/>
      <c r="O11" s="34"/>
      <c r="P11" s="34"/>
    </row>
    <row r="12" s="1" customFormat="1" spans="1:16">
      <c r="A12" s="10"/>
      <c r="B12" s="19"/>
      <c r="C12" s="19"/>
      <c r="D12" s="10"/>
      <c r="E12" s="16">
        <v>45962</v>
      </c>
      <c r="F12" s="23"/>
      <c r="G12" s="24"/>
      <c r="H12" s="24"/>
      <c r="I12" s="60"/>
      <c r="J12" s="60"/>
      <c r="K12" s="16">
        <v>46327</v>
      </c>
      <c r="L12" s="23"/>
      <c r="M12" s="24"/>
      <c r="N12" s="24"/>
      <c r="O12" s="60"/>
      <c r="P12" s="60"/>
    </row>
    <row r="13" s="1" customFormat="1" spans="1:16">
      <c r="A13" s="10"/>
      <c r="B13" s="19"/>
      <c r="C13" s="19"/>
      <c r="D13" s="10"/>
      <c r="E13" s="16">
        <v>45992</v>
      </c>
      <c r="F13" s="23"/>
      <c r="G13" s="24"/>
      <c r="H13" s="24"/>
      <c r="I13" s="60"/>
      <c r="J13" s="60"/>
      <c r="K13" s="16">
        <v>46357</v>
      </c>
      <c r="L13" s="23"/>
      <c r="M13" s="24"/>
      <c r="N13" s="24"/>
      <c r="O13" s="60"/>
      <c r="P13" s="60"/>
    </row>
    <row r="14" s="1" customFormat="1" spans="1:16">
      <c r="A14" s="10"/>
      <c r="B14" s="19"/>
      <c r="C14" s="19"/>
      <c r="D14" s="10"/>
      <c r="E14" s="25" t="s">
        <v>76</v>
      </c>
      <c r="F14" s="17">
        <f>SUM(F2:F13)</f>
        <v>9</v>
      </c>
      <c r="G14" s="17">
        <f>SUM(G2:G13)</f>
        <v>10</v>
      </c>
      <c r="H14" s="17">
        <f>SUM(H2:H13)</f>
        <v>0</v>
      </c>
      <c r="I14" s="34">
        <f>AVERAGE(I2:I13)</f>
        <v>0.308158554102085</v>
      </c>
      <c r="J14" s="34">
        <f>J3</f>
        <v>1.9398</v>
      </c>
      <c r="K14" s="25" t="s">
        <v>76</v>
      </c>
      <c r="L14" s="17"/>
      <c r="M14" s="18"/>
      <c r="N14" s="18"/>
      <c r="O14" s="34"/>
      <c r="P14" s="34"/>
    </row>
    <row r="15" s="1" customFormat="1" spans="1:16">
      <c r="A15" s="10"/>
      <c r="B15" s="10"/>
      <c r="C15" s="10"/>
      <c r="D15" s="10"/>
      <c r="E15" s="26"/>
      <c r="F15" s="27"/>
      <c r="G15" s="27"/>
      <c r="H15" s="27"/>
      <c r="I15" s="27"/>
      <c r="J15" s="27"/>
      <c r="K15" s="27"/>
      <c r="L15" s="83"/>
      <c r="M15" s="84"/>
      <c r="N15" s="84"/>
      <c r="O15" s="85"/>
      <c r="P15" s="86"/>
    </row>
    <row r="16" s="1" customFormat="1" spans="1:16">
      <c r="A16" s="28" t="s">
        <v>44</v>
      </c>
      <c r="B16" s="13" t="s">
        <v>77</v>
      </c>
      <c r="C16" s="29" t="s">
        <v>79</v>
      </c>
      <c r="D16" s="30" t="s">
        <v>80</v>
      </c>
      <c r="E16" s="31" t="s">
        <v>81</v>
      </c>
      <c r="F16" s="32" t="s">
        <v>86</v>
      </c>
      <c r="G16" s="32" t="s">
        <v>85</v>
      </c>
      <c r="H16" s="6"/>
      <c r="I16" s="6"/>
      <c r="J16" s="6"/>
      <c r="K16" s="87" t="s">
        <v>87</v>
      </c>
      <c r="L16" s="88" t="s">
        <v>55</v>
      </c>
      <c r="M16" s="88" t="s">
        <v>56</v>
      </c>
      <c r="N16" s="51"/>
      <c r="O16" s="89"/>
      <c r="P16" s="90"/>
    </row>
    <row r="17" s="1" customFormat="1" spans="1:16">
      <c r="A17" s="33">
        <v>45659</v>
      </c>
      <c r="B17" s="13"/>
      <c r="C17" s="29"/>
      <c r="D17" s="30"/>
      <c r="E17" s="31"/>
      <c r="F17" s="32"/>
      <c r="G17" s="34">
        <v>1</v>
      </c>
      <c r="H17" s="35"/>
      <c r="I17" s="35"/>
      <c r="J17" s="35"/>
      <c r="K17" s="34">
        <f ca="1">M17/L17</f>
        <v>0.477611940298507</v>
      </c>
      <c r="L17" s="18">
        <f ca="1">VLOOKUP(INDIRECT("A"&amp;ROW()),收益表!$A$16:$U$10014,20,0)</f>
        <v>67</v>
      </c>
      <c r="M17" s="18">
        <f ca="1">VLOOKUP(INDIRECT("A"&amp;ROW()),收益表!$A$16:$U$10014,21,0)</f>
        <v>32</v>
      </c>
      <c r="N17" s="91"/>
      <c r="O17" s="92"/>
      <c r="P17" s="93"/>
    </row>
    <row r="18" s="1" customFormat="1" spans="1:16">
      <c r="A18" s="36">
        <v>45660</v>
      </c>
      <c r="B18" s="37" t="s">
        <v>353</v>
      </c>
      <c r="C18" s="38">
        <v>-0.093</v>
      </c>
      <c r="D18" s="39" t="s">
        <v>96</v>
      </c>
      <c r="E18" s="40">
        <v>0.0433</v>
      </c>
      <c r="F18" s="34">
        <v>0.1</v>
      </c>
      <c r="G18" s="41">
        <f>(1+F18)*G17</f>
        <v>1.1</v>
      </c>
      <c r="H18" s="42" t="s">
        <v>354</v>
      </c>
      <c r="I18" s="47"/>
      <c r="J18" s="47"/>
      <c r="K18" s="40">
        <f ca="1">M18/L18</f>
        <v>2.01818181818182</v>
      </c>
      <c r="L18" s="18">
        <f ca="1">VLOOKUP(INDIRECT("A"&amp;ROW()),收益表!$A$16:$U$10014,20,0)</f>
        <v>55</v>
      </c>
      <c r="M18" s="18">
        <f ca="1">VLOOKUP(INDIRECT("A"&amp;ROW()),收益表!$A$16:$U$10014,21,0)</f>
        <v>111</v>
      </c>
      <c r="N18" s="91"/>
      <c r="O18" s="92"/>
      <c r="P18" s="93"/>
    </row>
    <row r="19" s="1" customFormat="1" spans="1:16">
      <c r="A19" s="43"/>
      <c r="B19" s="44" t="s">
        <v>355</v>
      </c>
      <c r="C19" s="45">
        <v>0.0047</v>
      </c>
      <c r="D19" s="46" t="s">
        <v>93</v>
      </c>
      <c r="E19" s="40">
        <v>-0.0859</v>
      </c>
      <c r="F19" s="34"/>
      <c r="G19" s="41"/>
      <c r="H19" s="47"/>
      <c r="I19" s="47"/>
      <c r="J19" s="47"/>
      <c r="K19" s="40"/>
      <c r="L19" s="18"/>
      <c r="M19" s="18"/>
      <c r="N19" s="94" t="s">
        <v>356</v>
      </c>
      <c r="O19" s="95"/>
      <c r="P19" s="96"/>
    </row>
    <row r="20" s="1" customFormat="1" spans="1:16">
      <c r="A20" s="36">
        <v>45663</v>
      </c>
      <c r="B20" s="37" t="s">
        <v>357</v>
      </c>
      <c r="C20" s="38" t="s">
        <v>93</v>
      </c>
      <c r="D20" s="39" t="s">
        <v>96</v>
      </c>
      <c r="E20" s="40">
        <v>0.0438</v>
      </c>
      <c r="F20" s="34">
        <v>0.1</v>
      </c>
      <c r="G20" s="41">
        <f>(1+F20)*G18</f>
        <v>1.21</v>
      </c>
      <c r="H20" s="47"/>
      <c r="I20" s="47"/>
      <c r="J20" s="47"/>
      <c r="K20" s="40">
        <f ca="1">M20/L20</f>
        <v>1.33823529411765</v>
      </c>
      <c r="L20" s="18">
        <f ca="1">VLOOKUP(INDIRECT("A"&amp;ROW()),收益表!$A$16:$U$10014,20,0)</f>
        <v>68</v>
      </c>
      <c r="M20" s="18">
        <f ca="1">VLOOKUP(INDIRECT("A"&amp;ROW()),收益表!$A$16:$U$10014,21,0)</f>
        <v>91</v>
      </c>
      <c r="N20" s="91"/>
      <c r="O20" s="92"/>
      <c r="P20" s="93"/>
    </row>
    <row r="21" s="1" customFormat="1" spans="1:16">
      <c r="A21" s="36">
        <v>45664</v>
      </c>
      <c r="B21" s="48" t="s">
        <v>358</v>
      </c>
      <c r="C21" s="38">
        <v>-0.0163</v>
      </c>
      <c r="D21" s="39" t="s">
        <v>96</v>
      </c>
      <c r="E21" s="351" t="s">
        <v>359</v>
      </c>
      <c r="F21" s="34">
        <v>0.1</v>
      </c>
      <c r="G21" s="41">
        <f>(1+F21)*G20</f>
        <v>1.331</v>
      </c>
      <c r="H21" s="47"/>
      <c r="I21" s="47"/>
      <c r="J21" s="47"/>
      <c r="K21" s="64">
        <f ca="1">M21/L21</f>
        <v>0.173076923076923</v>
      </c>
      <c r="L21" s="18">
        <f ca="1">VLOOKUP(INDIRECT("A"&amp;ROW()),收益表!$A$16:$U$10014,20,0)</f>
        <v>104</v>
      </c>
      <c r="M21" s="18">
        <f ca="1">VLOOKUP(INDIRECT("A"&amp;ROW()),收益表!$A$16:$U$10014,21,0)</f>
        <v>18</v>
      </c>
      <c r="N21" s="91"/>
      <c r="O21" s="92"/>
      <c r="P21" s="93"/>
    </row>
    <row r="22" s="1" customFormat="1" spans="1:16">
      <c r="A22" s="49"/>
      <c r="B22" s="50" t="s">
        <v>360</v>
      </c>
      <c r="C22" s="45">
        <v>0.0314</v>
      </c>
      <c r="D22" s="46" t="s">
        <v>93</v>
      </c>
      <c r="E22" s="40" t="s">
        <v>96</v>
      </c>
      <c r="F22" s="51"/>
      <c r="G22" s="52"/>
      <c r="H22" s="47"/>
      <c r="I22" s="47"/>
      <c r="J22" s="47"/>
      <c r="K22" s="64"/>
      <c r="L22" s="18"/>
      <c r="M22" s="18"/>
      <c r="N22" s="91" t="s">
        <v>361</v>
      </c>
      <c r="O22" s="92"/>
      <c r="P22" s="93"/>
    </row>
    <row r="23" s="1" customFormat="1" spans="1:16">
      <c r="A23" s="53">
        <v>45665</v>
      </c>
      <c r="B23" s="50" t="s">
        <v>362</v>
      </c>
      <c r="C23" s="45">
        <v>0.0291</v>
      </c>
      <c r="D23" s="46" t="s">
        <v>93</v>
      </c>
      <c r="E23" s="40">
        <v>-0.0531</v>
      </c>
      <c r="F23" s="51"/>
      <c r="G23" s="52"/>
      <c r="H23" s="47"/>
      <c r="I23" s="47"/>
      <c r="J23" s="47"/>
      <c r="K23" s="64">
        <f ca="1">M23/L23</f>
        <v>0.121621621621622</v>
      </c>
      <c r="L23" s="18">
        <f ca="1">VLOOKUP(INDIRECT("A"&amp;ROW()),收益表!$A$16:$U$10014,20,0)</f>
        <v>74</v>
      </c>
      <c r="M23" s="18">
        <f ca="1">VLOOKUP(INDIRECT("A"&amp;ROW()),收益表!$A$16:$U$10014,21,0)</f>
        <v>9</v>
      </c>
      <c r="N23" s="91" t="s">
        <v>363</v>
      </c>
      <c r="O23" s="92"/>
      <c r="P23" s="93"/>
    </row>
    <row r="24" s="1" customFormat="1" spans="1:16">
      <c r="A24" s="54"/>
      <c r="B24" s="55" t="s">
        <v>364</v>
      </c>
      <c r="C24" s="29">
        <v>-0.0677</v>
      </c>
      <c r="D24" s="30">
        <v>0.0726</v>
      </c>
      <c r="E24" s="31">
        <v>-0.0698</v>
      </c>
      <c r="F24" s="51"/>
      <c r="G24" s="52"/>
      <c r="H24" s="47"/>
      <c r="I24" s="47"/>
      <c r="J24" s="47"/>
      <c r="K24" s="64"/>
      <c r="L24" s="18"/>
      <c r="M24" s="18"/>
      <c r="N24" s="94" t="s">
        <v>365</v>
      </c>
      <c r="O24" s="95"/>
      <c r="P24" s="96"/>
    </row>
    <row r="25" s="1" customFormat="1" spans="1:16">
      <c r="A25" s="54"/>
      <c r="B25" s="55" t="s">
        <v>366</v>
      </c>
      <c r="C25" s="29">
        <v>-0.0184</v>
      </c>
      <c r="D25" s="30">
        <v>-0.0238</v>
      </c>
      <c r="E25" s="31">
        <v>-0.02</v>
      </c>
      <c r="F25" s="51"/>
      <c r="G25" s="52"/>
      <c r="H25" s="47"/>
      <c r="I25" s="47"/>
      <c r="J25" s="47"/>
      <c r="K25" s="64"/>
      <c r="L25" s="18"/>
      <c r="M25" s="18"/>
      <c r="N25" s="94" t="s">
        <v>365</v>
      </c>
      <c r="O25" s="95"/>
      <c r="P25" s="96"/>
    </row>
    <row r="26" s="1" customFormat="1" spans="1:16">
      <c r="A26" s="54"/>
      <c r="B26" s="55" t="s">
        <v>367</v>
      </c>
      <c r="C26" s="29">
        <v>0.0166</v>
      </c>
      <c r="D26" s="30">
        <v>0.0225</v>
      </c>
      <c r="E26" s="31">
        <v>-0.0515</v>
      </c>
      <c r="F26" s="51"/>
      <c r="G26" s="52"/>
      <c r="H26" s="47"/>
      <c r="I26" s="47"/>
      <c r="J26" s="47"/>
      <c r="K26" s="64"/>
      <c r="L26" s="18"/>
      <c r="M26" s="18"/>
      <c r="N26" s="94" t="s">
        <v>365</v>
      </c>
      <c r="O26" s="95"/>
      <c r="P26" s="96"/>
    </row>
    <row r="27" s="1" customFormat="1" spans="1:16">
      <c r="A27" s="56"/>
      <c r="B27" s="55" t="s">
        <v>368</v>
      </c>
      <c r="C27" s="29">
        <v>-0.0383</v>
      </c>
      <c r="D27" s="30">
        <v>-0.0607</v>
      </c>
      <c r="E27" s="31" t="s">
        <v>96</v>
      </c>
      <c r="F27" s="51"/>
      <c r="G27" s="52"/>
      <c r="H27" s="47"/>
      <c r="I27" s="47"/>
      <c r="J27" s="47"/>
      <c r="K27" s="64"/>
      <c r="L27" s="18"/>
      <c r="M27" s="18"/>
      <c r="N27" s="94" t="s">
        <v>365</v>
      </c>
      <c r="O27" s="95"/>
      <c r="P27" s="96"/>
    </row>
    <row r="28" s="1" customFormat="1" spans="1:16">
      <c r="A28" s="53">
        <v>45666</v>
      </c>
      <c r="B28" s="57" t="s">
        <v>369</v>
      </c>
      <c r="C28" s="29"/>
      <c r="D28" s="30"/>
      <c r="E28" s="31"/>
      <c r="F28" s="32"/>
      <c r="G28" s="29"/>
      <c r="H28" s="47"/>
      <c r="I28" s="47"/>
      <c r="J28" s="47"/>
      <c r="K28" s="64">
        <f ca="1">M28/L28</f>
        <v>0.11340206185567</v>
      </c>
      <c r="L28" s="18">
        <f ca="1">VLOOKUP(INDIRECT("A"&amp;ROW()),收益表!$A$16:$U$10014,20,0)</f>
        <v>97</v>
      </c>
      <c r="M28" s="18">
        <f ca="1">VLOOKUP(INDIRECT("A"&amp;ROW()),收益表!$A$16:$U$10014,21,0)</f>
        <v>11</v>
      </c>
      <c r="N28" s="91"/>
      <c r="O28" s="92"/>
      <c r="P28" s="93"/>
    </row>
    <row r="29" s="1" customFormat="1" spans="1:16">
      <c r="A29" s="54"/>
      <c r="B29" s="58" t="s">
        <v>370</v>
      </c>
      <c r="C29" s="41">
        <v>-0.0222</v>
      </c>
      <c r="D29" s="59">
        <v>-0.0373</v>
      </c>
      <c r="E29" s="40"/>
      <c r="F29" s="51"/>
      <c r="G29" s="52"/>
      <c r="H29" s="47"/>
      <c r="I29" s="47"/>
      <c r="J29" s="47"/>
      <c r="K29" s="40"/>
      <c r="L29" s="18"/>
      <c r="M29" s="18"/>
      <c r="N29" s="94" t="s">
        <v>365</v>
      </c>
      <c r="O29" s="95"/>
      <c r="P29" s="96"/>
    </row>
    <row r="30" s="1" customFormat="1" spans="1:16">
      <c r="A30" s="56"/>
      <c r="B30" s="57" t="s">
        <v>371</v>
      </c>
      <c r="C30" s="41"/>
      <c r="D30" s="59"/>
      <c r="E30" s="40"/>
      <c r="F30" s="51"/>
      <c r="G30" s="52"/>
      <c r="H30" s="47"/>
      <c r="I30" s="47"/>
      <c r="J30" s="47"/>
      <c r="K30" s="40"/>
      <c r="L30" s="18"/>
      <c r="M30" s="18"/>
      <c r="N30" s="91"/>
      <c r="O30" s="92"/>
      <c r="P30" s="93"/>
    </row>
    <row r="31" s="1" customFormat="1" spans="1:16">
      <c r="A31" s="53">
        <v>45667</v>
      </c>
      <c r="B31" s="58" t="s">
        <v>372</v>
      </c>
      <c r="C31" s="41">
        <v>-0.0209</v>
      </c>
      <c r="D31" s="59">
        <v>0.088</v>
      </c>
      <c r="E31" s="40"/>
      <c r="F31" s="51"/>
      <c r="G31" s="52"/>
      <c r="H31" s="47"/>
      <c r="I31" s="47"/>
      <c r="J31" s="47"/>
      <c r="K31" s="40">
        <f ca="1">M31/L31</f>
        <v>1.18181818181818</v>
      </c>
      <c r="L31" s="18">
        <f ca="1">VLOOKUP(INDIRECT("A"&amp;ROW()),收益表!$A$16:$U$10014,20,0)</f>
        <v>44</v>
      </c>
      <c r="M31" s="18">
        <f ca="1">VLOOKUP(INDIRECT("A"&amp;ROW()),收益表!$A$16:$U$10014,21,0)</f>
        <v>52</v>
      </c>
      <c r="N31" s="91" t="s">
        <v>373</v>
      </c>
      <c r="O31" s="92"/>
      <c r="P31" s="93"/>
    </row>
    <row r="32" s="1" customFormat="1" spans="1:16">
      <c r="A32" s="54"/>
      <c r="B32" s="48" t="s">
        <v>374</v>
      </c>
      <c r="C32" s="38">
        <v>-0.019</v>
      </c>
      <c r="D32" s="39">
        <v>0.0133</v>
      </c>
      <c r="E32" s="40"/>
      <c r="F32" s="60"/>
      <c r="G32" s="61"/>
      <c r="H32" s="47"/>
      <c r="I32" s="47"/>
      <c r="J32" s="47"/>
      <c r="K32" s="97"/>
      <c r="L32" s="18"/>
      <c r="M32" s="18"/>
      <c r="N32" s="91"/>
      <c r="O32" s="92"/>
      <c r="P32" s="93"/>
    </row>
    <row r="33" s="1" customFormat="1" spans="1:16">
      <c r="A33" s="54"/>
      <c r="B33" s="48" t="s">
        <v>375</v>
      </c>
      <c r="C33" s="352" t="s">
        <v>376</v>
      </c>
      <c r="D33" s="39" t="s">
        <v>93</v>
      </c>
      <c r="E33" s="40" t="s">
        <v>93</v>
      </c>
      <c r="F33" s="60"/>
      <c r="G33" s="61"/>
      <c r="H33" s="47"/>
      <c r="I33" s="47"/>
      <c r="J33" s="47"/>
      <c r="K33" s="97"/>
      <c r="L33" s="18"/>
      <c r="M33" s="18"/>
      <c r="N33" s="91" t="s">
        <v>377</v>
      </c>
      <c r="O33" s="92"/>
      <c r="P33" s="93"/>
    </row>
    <row r="34" s="1" customFormat="1" spans="1:16">
      <c r="A34" s="56"/>
      <c r="B34" s="48" t="s">
        <v>378</v>
      </c>
      <c r="C34" s="38">
        <v>0.0845</v>
      </c>
      <c r="D34" s="39">
        <v>-0.0131</v>
      </c>
      <c r="E34" s="40">
        <v>-0.0473</v>
      </c>
      <c r="F34" s="60"/>
      <c r="G34" s="61"/>
      <c r="H34" s="47"/>
      <c r="I34" s="47"/>
      <c r="J34" s="47"/>
      <c r="K34" s="97"/>
      <c r="L34" s="18"/>
      <c r="M34" s="18"/>
      <c r="N34" s="91" t="s">
        <v>377</v>
      </c>
      <c r="O34" s="92"/>
      <c r="P34" s="93"/>
    </row>
    <row r="35" s="1" customFormat="1" spans="1:16">
      <c r="A35" s="28">
        <v>45670</v>
      </c>
      <c r="B35" s="48" t="s">
        <v>379</v>
      </c>
      <c r="C35" s="38">
        <v>-0.09</v>
      </c>
      <c r="D35" s="39" t="s">
        <v>96</v>
      </c>
      <c r="E35" s="40">
        <v>0.0566</v>
      </c>
      <c r="F35" s="60">
        <v>0.1</v>
      </c>
      <c r="G35" s="61">
        <f>(1+F35)*G21</f>
        <v>1.4641</v>
      </c>
      <c r="H35" s="47"/>
      <c r="I35" s="47"/>
      <c r="J35" s="47"/>
      <c r="K35" s="97">
        <f ca="1">M35/L35</f>
        <v>0.788461538461538</v>
      </c>
      <c r="L35" s="18">
        <f ca="1">VLOOKUP(INDIRECT("A"&amp;ROW()),收益表!$A$16:$U$10014,20,0)</f>
        <v>52</v>
      </c>
      <c r="M35" s="18">
        <f ca="1">VLOOKUP(INDIRECT("A"&amp;ROW()),收益表!$A$16:$U$10014,21,0)</f>
        <v>41</v>
      </c>
      <c r="N35" s="91"/>
      <c r="O35" s="92"/>
      <c r="P35" s="93"/>
    </row>
    <row r="36" s="1" customFormat="1" spans="1:16">
      <c r="A36" s="28"/>
      <c r="B36" s="48" t="s">
        <v>380</v>
      </c>
      <c r="C36" s="38">
        <v>-0.0876</v>
      </c>
      <c r="D36" s="39" t="s">
        <v>96</v>
      </c>
      <c r="E36" s="40">
        <v>0.0213</v>
      </c>
      <c r="F36" s="62"/>
      <c r="G36" s="63"/>
      <c r="H36" s="47"/>
      <c r="I36" s="47"/>
      <c r="J36" s="47"/>
      <c r="K36" s="40"/>
      <c r="L36" s="18"/>
      <c r="M36" s="18"/>
      <c r="N36" s="91"/>
      <c r="O36" s="92"/>
      <c r="P36" s="93"/>
    </row>
    <row r="37" s="1" customFormat="1" spans="1:16">
      <c r="A37" s="28"/>
      <c r="B37" s="48" t="s">
        <v>220</v>
      </c>
      <c r="C37" s="38">
        <v>-0.094</v>
      </c>
      <c r="D37" s="39" t="s">
        <v>96</v>
      </c>
      <c r="E37" s="40">
        <v>0.0318</v>
      </c>
      <c r="F37" s="62"/>
      <c r="G37" s="63"/>
      <c r="H37" s="47"/>
      <c r="I37" s="47"/>
      <c r="J37" s="47"/>
      <c r="K37" s="40"/>
      <c r="L37" s="18"/>
      <c r="M37" s="18"/>
      <c r="N37" s="91"/>
      <c r="O37" s="92"/>
      <c r="P37" s="93"/>
    </row>
    <row r="38" s="1" customFormat="1" spans="1:16">
      <c r="A38" s="28">
        <v>45671</v>
      </c>
      <c r="B38" s="58" t="s">
        <v>381</v>
      </c>
      <c r="C38" s="41" t="s">
        <v>93</v>
      </c>
      <c r="D38" s="59">
        <v>0.0377</v>
      </c>
      <c r="E38" s="64" t="s">
        <v>93</v>
      </c>
      <c r="F38" s="60">
        <v>0.027</v>
      </c>
      <c r="G38" s="61">
        <f>(1+F38)*G35</f>
        <v>1.5036307</v>
      </c>
      <c r="H38" s="47"/>
      <c r="I38" s="47"/>
      <c r="J38" s="47"/>
      <c r="K38" s="98">
        <f ca="1">M38/L38</f>
        <v>0.0191082802547771</v>
      </c>
      <c r="L38" s="18">
        <f ca="1">VLOOKUP(INDIRECT("A"&amp;ROW()),收益表!$A$16:$U$10014,20,0)</f>
        <v>157</v>
      </c>
      <c r="M38" s="18">
        <f ca="1">VLOOKUP(INDIRECT("A"&amp;ROW()),收益表!$A$16:$U$10014,21,0)</f>
        <v>3</v>
      </c>
      <c r="N38" s="91"/>
      <c r="O38" s="92"/>
      <c r="P38" s="93"/>
    </row>
    <row r="39" s="1" customFormat="1" spans="1:16">
      <c r="A39" s="28"/>
      <c r="B39" s="58" t="s">
        <v>382</v>
      </c>
      <c r="C39" s="41">
        <v>-0.0918</v>
      </c>
      <c r="D39" s="59">
        <v>0.0146</v>
      </c>
      <c r="E39" s="40" t="s">
        <v>96</v>
      </c>
      <c r="F39" s="65"/>
      <c r="G39" s="66"/>
      <c r="H39" s="47"/>
      <c r="I39" s="47"/>
      <c r="J39" s="47"/>
      <c r="K39" s="99"/>
      <c r="L39" s="18"/>
      <c r="M39" s="18"/>
      <c r="N39" s="91"/>
      <c r="O39" s="92"/>
      <c r="P39" s="93"/>
    </row>
    <row r="40" s="1" customFormat="1" spans="1:16">
      <c r="A40" s="56">
        <v>45672</v>
      </c>
      <c r="B40" s="13"/>
      <c r="C40" s="29"/>
      <c r="D40" s="30"/>
      <c r="E40" s="31"/>
      <c r="F40" s="32"/>
      <c r="G40" s="29"/>
      <c r="H40" s="47"/>
      <c r="I40" s="47"/>
      <c r="J40" s="47"/>
      <c r="K40" s="64">
        <f ca="1">M40/L40</f>
        <v>0.123456790123457</v>
      </c>
      <c r="L40" s="18">
        <f ca="1">VLOOKUP(INDIRECT("A"&amp;ROW()),收益表!$A$16:$U$10014,20,0)</f>
        <v>81</v>
      </c>
      <c r="M40" s="18">
        <f ca="1">VLOOKUP(INDIRECT("A"&amp;ROW()),收益表!$A$16:$U$10014,21,0)</f>
        <v>10</v>
      </c>
      <c r="N40" s="91"/>
      <c r="O40" s="92"/>
      <c r="P40" s="93"/>
    </row>
    <row r="41" s="1" customFormat="1" spans="1:16">
      <c r="A41" s="53">
        <v>45673</v>
      </c>
      <c r="B41" s="67" t="s">
        <v>383</v>
      </c>
      <c r="C41" s="68">
        <v>0.0518</v>
      </c>
      <c r="D41" s="69">
        <v>0.0231</v>
      </c>
      <c r="E41" s="64">
        <v>-0.012</v>
      </c>
      <c r="F41" s="32"/>
      <c r="G41" s="29"/>
      <c r="H41" s="47"/>
      <c r="I41" s="47"/>
      <c r="J41" s="47"/>
      <c r="K41" s="64">
        <f ca="1">M41/L41</f>
        <v>0.0833333333333333</v>
      </c>
      <c r="L41" s="18">
        <f ca="1">VLOOKUP(INDIRECT("A"&amp;ROW()),收益表!$A$16:$U$10014,20,0)</f>
        <v>84</v>
      </c>
      <c r="M41" s="18">
        <f ca="1">VLOOKUP(INDIRECT("A"&amp;ROW()),收益表!$A$16:$U$10014,21,0)</f>
        <v>7</v>
      </c>
      <c r="N41" s="91"/>
      <c r="O41" s="92"/>
      <c r="P41" s="93"/>
    </row>
    <row r="42" s="1" customFormat="1" spans="1:16">
      <c r="A42" s="53">
        <v>45674</v>
      </c>
      <c r="B42" s="67" t="s">
        <v>384</v>
      </c>
      <c r="C42" s="68">
        <v>-0.015</v>
      </c>
      <c r="D42" s="30" t="s">
        <v>96</v>
      </c>
      <c r="E42" s="31">
        <v>-0.026</v>
      </c>
      <c r="F42" s="32"/>
      <c r="G42" s="29"/>
      <c r="H42" s="47"/>
      <c r="I42" s="47"/>
      <c r="J42" s="47"/>
      <c r="K42" s="64">
        <f ca="1">M42/L42</f>
        <v>0.246153846153846</v>
      </c>
      <c r="L42" s="18">
        <f ca="1">VLOOKUP(INDIRECT("A"&amp;ROW()),收益表!$A$16:$U$10014,20,0)</f>
        <v>65</v>
      </c>
      <c r="M42" s="18">
        <f ca="1">VLOOKUP(INDIRECT("A"&amp;ROW()),收益表!$A$16:$U$10014,21,0)</f>
        <v>16</v>
      </c>
      <c r="N42" s="91"/>
      <c r="O42" s="92"/>
      <c r="P42" s="93"/>
    </row>
    <row r="43" s="1" customFormat="1" spans="1:16">
      <c r="A43" s="70">
        <v>45677</v>
      </c>
      <c r="B43" s="71" t="s">
        <v>385</v>
      </c>
      <c r="C43" s="72">
        <v>-4.04</v>
      </c>
      <c r="D43" s="30" t="s">
        <v>96</v>
      </c>
      <c r="E43" s="31">
        <v>-0.0501</v>
      </c>
      <c r="F43" s="73"/>
      <c r="G43" s="74"/>
      <c r="H43" s="47"/>
      <c r="I43" s="47"/>
      <c r="J43" s="47"/>
      <c r="K43" s="64">
        <f ca="1">M43/L43</f>
        <v>0.325</v>
      </c>
      <c r="L43" s="18">
        <f ca="1">VLOOKUP(INDIRECT("A"&amp;ROW()),收益表!$A$16:$U$10014,20,0)</f>
        <v>80</v>
      </c>
      <c r="M43" s="18">
        <f ca="1">VLOOKUP(INDIRECT("A"&amp;ROW()),收益表!$A$16:$U$10014,21,0)</f>
        <v>26</v>
      </c>
      <c r="N43" s="91"/>
      <c r="O43" s="92"/>
      <c r="P43" s="93"/>
    </row>
    <row r="44" s="1" customFormat="1" spans="1:16">
      <c r="A44" s="70"/>
      <c r="B44" s="13" t="s">
        <v>233</v>
      </c>
      <c r="C44" s="29">
        <v>-0.0755</v>
      </c>
      <c r="D44" s="30">
        <v>-0.0733</v>
      </c>
      <c r="E44" s="31" t="s">
        <v>96</v>
      </c>
      <c r="F44" s="73"/>
      <c r="G44" s="74"/>
      <c r="H44" s="47"/>
      <c r="I44" s="47"/>
      <c r="J44" s="47"/>
      <c r="K44" s="40"/>
      <c r="L44" s="18"/>
      <c r="M44" s="18"/>
      <c r="N44" s="91"/>
      <c r="O44" s="92"/>
      <c r="P44" s="93"/>
    </row>
    <row r="45" s="1" customFormat="1" spans="1:16">
      <c r="A45" s="70"/>
      <c r="B45" s="13" t="s">
        <v>386</v>
      </c>
      <c r="C45" s="29">
        <v>-0.0908</v>
      </c>
      <c r="D45" s="30">
        <v>0.0256</v>
      </c>
      <c r="E45" s="31" t="s">
        <v>96</v>
      </c>
      <c r="F45" s="73"/>
      <c r="G45" s="74"/>
      <c r="H45" s="47"/>
      <c r="I45" s="47"/>
      <c r="J45" s="47"/>
      <c r="K45" s="40"/>
      <c r="L45" s="18"/>
      <c r="M45" s="18"/>
      <c r="N45" s="91"/>
      <c r="O45" s="92"/>
      <c r="P45" s="93"/>
    </row>
    <row r="46" s="1" customFormat="1" spans="1:16">
      <c r="A46" s="70">
        <v>45678</v>
      </c>
      <c r="B46" s="13"/>
      <c r="C46" s="29"/>
      <c r="D46" s="30"/>
      <c r="E46" s="31"/>
      <c r="F46" s="32"/>
      <c r="G46" s="29"/>
      <c r="H46" s="47"/>
      <c r="I46" s="47"/>
      <c r="J46" s="47"/>
      <c r="K46" s="40">
        <f ca="1">M46/L46</f>
        <v>0.519230769230769</v>
      </c>
      <c r="L46" s="18">
        <f ca="1">VLOOKUP(INDIRECT("A"&amp;ROW()),收益表!$A$16:$U$10014,20,0)</f>
        <v>52</v>
      </c>
      <c r="M46" s="18">
        <f ca="1">VLOOKUP(INDIRECT("A"&amp;ROW()),收益表!$A$16:$U$10014,21,0)</f>
        <v>27</v>
      </c>
      <c r="N46" s="91"/>
      <c r="O46" s="92"/>
      <c r="P46" s="93"/>
    </row>
    <row r="47" s="1" customFormat="1" spans="1:16">
      <c r="A47" s="70">
        <v>45679</v>
      </c>
      <c r="B47" s="13"/>
      <c r="C47" s="29"/>
      <c r="D47" s="30"/>
      <c r="E47" s="31"/>
      <c r="F47" s="32"/>
      <c r="G47" s="29"/>
      <c r="H47" s="47"/>
      <c r="I47" s="47"/>
      <c r="J47" s="47"/>
      <c r="K47" s="40">
        <f ca="1">M47/L47</f>
        <v>0.541666666666667</v>
      </c>
      <c r="L47" s="18">
        <f ca="1">VLOOKUP(INDIRECT("A"&amp;ROW()),收益表!$A$16:$U$10014,20,0)</f>
        <v>48</v>
      </c>
      <c r="M47" s="18">
        <f ca="1">VLOOKUP(INDIRECT("A"&amp;ROW()),收益表!$A$16:$U$10014,21,0)</f>
        <v>26</v>
      </c>
      <c r="N47" s="91"/>
      <c r="O47" s="92"/>
      <c r="P47" s="93"/>
    </row>
    <row r="48" s="1" customFormat="1" spans="1:16">
      <c r="A48" s="28">
        <v>45680</v>
      </c>
      <c r="B48" s="37" t="s">
        <v>387</v>
      </c>
      <c r="C48" s="38">
        <v>-0.0647</v>
      </c>
      <c r="D48" s="39" t="s">
        <v>96</v>
      </c>
      <c r="E48" s="351" t="s">
        <v>388</v>
      </c>
      <c r="F48" s="34">
        <v>0.1</v>
      </c>
      <c r="G48" s="41">
        <f>(1+F48)*G38</f>
        <v>1.65399377</v>
      </c>
      <c r="H48" s="47"/>
      <c r="I48" s="47"/>
      <c r="J48" s="47"/>
      <c r="K48" s="40">
        <f ca="1">M48/L48</f>
        <v>0.630434782608696</v>
      </c>
      <c r="L48" s="18">
        <f ca="1">VLOOKUP(INDIRECT("A"&amp;ROW()),收益表!$A$16:$U$10014,20,0)</f>
        <v>46</v>
      </c>
      <c r="M48" s="18">
        <f ca="1">VLOOKUP(INDIRECT("A"&amp;ROW()),收益表!$A$16:$U$10014,21,0)</f>
        <v>29</v>
      </c>
      <c r="N48" s="91"/>
      <c r="O48" s="92"/>
      <c r="P48" s="93"/>
    </row>
    <row r="49" s="1" customFormat="1" spans="1:16">
      <c r="A49" s="53">
        <v>45681</v>
      </c>
      <c r="B49" s="13" t="s">
        <v>389</v>
      </c>
      <c r="C49" s="29"/>
      <c r="D49" s="30"/>
      <c r="E49" s="31"/>
      <c r="F49" s="32"/>
      <c r="G49" s="29"/>
      <c r="H49" s="47"/>
      <c r="I49" s="47"/>
      <c r="J49" s="47"/>
      <c r="K49" s="40">
        <f ca="1">M49/L49</f>
        <v>0.391891891891892</v>
      </c>
      <c r="L49" s="18">
        <f ca="1">VLOOKUP(INDIRECT("A"&amp;ROW()),收益表!$A$16:$U$10014,20,0)</f>
        <v>74</v>
      </c>
      <c r="M49" s="18">
        <f ca="1">VLOOKUP(INDIRECT("A"&amp;ROW()),收益表!$A$16:$U$10014,21,0)</f>
        <v>29</v>
      </c>
      <c r="N49" s="91"/>
      <c r="O49" s="92"/>
      <c r="P49" s="93"/>
    </row>
    <row r="50" s="1" customFormat="1" spans="1:16">
      <c r="A50" s="56"/>
      <c r="B50" s="13" t="s">
        <v>390</v>
      </c>
      <c r="C50" s="29"/>
      <c r="D50" s="30"/>
      <c r="E50" s="31"/>
      <c r="F50" s="32"/>
      <c r="G50" s="29"/>
      <c r="H50" s="47"/>
      <c r="I50" s="47"/>
      <c r="J50" s="47"/>
      <c r="K50" s="40"/>
      <c r="L50" s="18"/>
      <c r="M50" s="18"/>
      <c r="N50" s="91"/>
      <c r="O50" s="92"/>
      <c r="P50" s="93"/>
    </row>
    <row r="51" spans="1:16">
      <c r="A51" s="28">
        <v>45684</v>
      </c>
      <c r="B51" s="37" t="s">
        <v>391</v>
      </c>
      <c r="C51" s="38" t="s">
        <v>93</v>
      </c>
      <c r="D51" s="39" t="s">
        <v>392</v>
      </c>
      <c r="E51" s="40">
        <v>-0.0136</v>
      </c>
      <c r="F51" s="34">
        <v>0.1</v>
      </c>
      <c r="G51" s="41">
        <f>(1+F51)*G48</f>
        <v>1.819393147</v>
      </c>
      <c r="H51" s="47"/>
      <c r="I51" s="47"/>
      <c r="J51" s="47"/>
      <c r="K51" s="40">
        <f ca="1" t="shared" ref="K51:K65" si="0">M51/L51</f>
        <v>1.06666666666667</v>
      </c>
      <c r="L51" s="18">
        <f ca="1">VLOOKUP(INDIRECT("A"&amp;ROW()),收益表!$A$16:$U$10014,20,0)</f>
        <v>45</v>
      </c>
      <c r="M51" s="18">
        <f ca="1">VLOOKUP(INDIRECT("A"&amp;ROW()),收益表!$A$16:$U$10014,21,0)</f>
        <v>48</v>
      </c>
      <c r="N51" s="91"/>
      <c r="O51" s="92"/>
      <c r="P51" s="93"/>
    </row>
    <row r="52" spans="1:16">
      <c r="A52" s="75">
        <v>45693</v>
      </c>
      <c r="B52" s="13"/>
      <c r="C52" s="29"/>
      <c r="D52" s="30"/>
      <c r="E52" s="31"/>
      <c r="F52" s="32"/>
      <c r="G52" s="32"/>
      <c r="H52" s="76" t="s">
        <v>393</v>
      </c>
      <c r="I52" s="76"/>
      <c r="J52" s="76"/>
      <c r="K52" s="34">
        <f ca="1" t="shared" si="0"/>
        <v>0.542168674698795</v>
      </c>
      <c r="L52" s="18">
        <f ca="1">VLOOKUP(INDIRECT("A"&amp;ROW()),收益表!$A$16:$U$10014,20,0)</f>
        <v>83</v>
      </c>
      <c r="M52" s="18">
        <f ca="1">VLOOKUP(INDIRECT("A"&amp;ROW()),收益表!$A$16:$U$10014,21,0)</f>
        <v>45</v>
      </c>
      <c r="N52" s="91"/>
      <c r="O52" s="92"/>
      <c r="P52" s="93"/>
    </row>
    <row r="53" spans="1:16">
      <c r="A53" s="77">
        <v>45694</v>
      </c>
      <c r="B53" s="71" t="s">
        <v>394</v>
      </c>
      <c r="C53" s="41"/>
      <c r="D53" s="59"/>
      <c r="E53" s="40"/>
      <c r="F53" s="34"/>
      <c r="G53" s="34"/>
      <c r="H53" s="76"/>
      <c r="I53" s="76"/>
      <c r="J53" s="76"/>
      <c r="K53" s="100">
        <f ca="1" t="shared" si="0"/>
        <v>0.0396039603960396</v>
      </c>
      <c r="L53" s="18">
        <f ca="1">VLOOKUP(INDIRECT("A"&amp;ROW()),收益表!$A$16:$U$10014,20,0)</f>
        <v>101</v>
      </c>
      <c r="M53" s="18">
        <f ca="1">VLOOKUP(INDIRECT("A"&amp;ROW()),收益表!$A$16:$U$10014,21,0)</f>
        <v>4</v>
      </c>
      <c r="N53" s="91"/>
      <c r="O53" s="92"/>
      <c r="P53" s="93"/>
    </row>
    <row r="54" spans="1:16">
      <c r="A54" s="75">
        <v>45695</v>
      </c>
      <c r="B54" s="13" t="s">
        <v>202</v>
      </c>
      <c r="C54" s="29"/>
      <c r="D54" s="30"/>
      <c r="E54" s="31"/>
      <c r="F54" s="32"/>
      <c r="G54" s="32"/>
      <c r="H54" s="76"/>
      <c r="I54" s="76"/>
      <c r="J54" s="76"/>
      <c r="K54" s="100">
        <f ca="1" t="shared" si="0"/>
        <v>0.021505376344086</v>
      </c>
      <c r="L54" s="18">
        <f ca="1">VLOOKUP(INDIRECT("A"&amp;ROW()),收益表!$A$16:$U$10014,20,0)</f>
        <v>93</v>
      </c>
      <c r="M54" s="18">
        <f ca="1">VLOOKUP(INDIRECT("A"&amp;ROW()),收益表!$A$16:$U$10014,21,0)</f>
        <v>2</v>
      </c>
      <c r="N54" s="91"/>
      <c r="O54" s="92"/>
      <c r="P54" s="93"/>
    </row>
    <row r="55" spans="1:16">
      <c r="A55" s="75">
        <v>45698</v>
      </c>
      <c r="B55" s="13"/>
      <c r="C55" s="29"/>
      <c r="D55" s="30"/>
      <c r="E55" s="31"/>
      <c r="F55" s="32"/>
      <c r="G55" s="32"/>
      <c r="H55" s="76"/>
      <c r="I55" s="76"/>
      <c r="J55" s="76"/>
      <c r="K55" s="100">
        <f ca="1" t="shared" si="0"/>
        <v>0.0142857142857143</v>
      </c>
      <c r="L55" s="18">
        <f ca="1">VLOOKUP(INDIRECT("A"&amp;ROW()),收益表!$A$16:$U$10014,20,0)</f>
        <v>140</v>
      </c>
      <c r="M55" s="18">
        <f ca="1">VLOOKUP(INDIRECT("A"&amp;ROW()),收益表!$A$16:$U$10014,21,0)</f>
        <v>2</v>
      </c>
      <c r="N55" s="91"/>
      <c r="O55" s="92"/>
      <c r="P55" s="93"/>
    </row>
    <row r="56" spans="1:16">
      <c r="A56" s="75">
        <v>45699</v>
      </c>
      <c r="B56" s="13" t="s">
        <v>395</v>
      </c>
      <c r="C56" s="29"/>
      <c r="D56" s="30"/>
      <c r="E56" s="31"/>
      <c r="F56" s="32"/>
      <c r="G56" s="32"/>
      <c r="H56" s="76"/>
      <c r="I56" s="76"/>
      <c r="J56" s="76"/>
      <c r="K56" s="100">
        <f ca="1" t="shared" si="0"/>
        <v>0.0238095238095238</v>
      </c>
      <c r="L56" s="18">
        <f ca="1">VLOOKUP(INDIRECT("A"&amp;ROW()),收益表!$A$16:$U$10014,20,0)</f>
        <v>84</v>
      </c>
      <c r="M56" s="18">
        <f ca="1">VLOOKUP(INDIRECT("A"&amp;ROW()),收益表!$A$16:$U$10014,21,0)</f>
        <v>2</v>
      </c>
      <c r="N56" s="91"/>
      <c r="O56" s="92"/>
      <c r="P56" s="93"/>
    </row>
    <row r="57" spans="1:16">
      <c r="A57" s="75">
        <v>45700</v>
      </c>
      <c r="B57" s="13" t="s">
        <v>396</v>
      </c>
      <c r="C57" s="29"/>
      <c r="D57" s="30"/>
      <c r="E57" s="31"/>
      <c r="F57" s="32"/>
      <c r="G57" s="32"/>
      <c r="H57" s="76"/>
      <c r="I57" s="76"/>
      <c r="J57" s="76"/>
      <c r="K57" s="100">
        <f ca="1" t="shared" si="0"/>
        <v>0.0210526315789474</v>
      </c>
      <c r="L57" s="18">
        <f ca="1">VLOOKUP(INDIRECT("A"&amp;ROW()),收益表!$A$16:$U$10014,20,0)</f>
        <v>95</v>
      </c>
      <c r="M57" s="18">
        <f ca="1">VLOOKUP(INDIRECT("A"&amp;ROW()),收益表!$A$16:$U$10014,21,0)</f>
        <v>2</v>
      </c>
      <c r="N57" s="91"/>
      <c r="O57" s="92"/>
      <c r="P57" s="93"/>
    </row>
    <row r="58" spans="1:16">
      <c r="A58" s="78">
        <v>45701</v>
      </c>
      <c r="B58" s="13" t="s">
        <v>397</v>
      </c>
      <c r="C58" s="29"/>
      <c r="D58" s="30"/>
      <c r="E58" s="31"/>
      <c r="F58" s="32"/>
      <c r="G58" s="32"/>
      <c r="H58" s="76"/>
      <c r="I58" s="76"/>
      <c r="J58" s="76"/>
      <c r="K58" s="100">
        <f ca="1" t="shared" si="0"/>
        <v>0.0945945945945946</v>
      </c>
      <c r="L58" s="18">
        <f ca="1">VLOOKUP(INDIRECT("A"&amp;ROW()),收益表!$A$16:$U$10014,20,0)</f>
        <v>74</v>
      </c>
      <c r="M58" s="18">
        <f ca="1">VLOOKUP(INDIRECT("A"&amp;ROW()),收益表!$A$16:$U$10014,21,0)</f>
        <v>7</v>
      </c>
      <c r="N58" s="91"/>
      <c r="O58" s="92"/>
      <c r="P58" s="93"/>
    </row>
    <row r="59" spans="1:16">
      <c r="A59" s="79"/>
      <c r="B59" s="13" t="s">
        <v>398</v>
      </c>
      <c r="C59" s="29"/>
      <c r="D59" s="30"/>
      <c r="E59" s="31"/>
      <c r="F59" s="32"/>
      <c r="G59" s="32"/>
      <c r="H59" s="76"/>
      <c r="I59" s="76"/>
      <c r="J59" s="76"/>
      <c r="K59" s="100"/>
      <c r="L59" s="18"/>
      <c r="M59" s="18"/>
      <c r="N59" s="91"/>
      <c r="O59" s="92"/>
      <c r="P59" s="93"/>
    </row>
    <row r="60" spans="1:16">
      <c r="A60" s="80"/>
      <c r="B60" s="13" t="s">
        <v>399</v>
      </c>
      <c r="C60" s="29"/>
      <c r="D60" s="30"/>
      <c r="E60" s="31"/>
      <c r="F60" s="32"/>
      <c r="G60" s="32"/>
      <c r="H60" s="76"/>
      <c r="I60" s="76"/>
      <c r="J60" s="76"/>
      <c r="K60" s="100"/>
      <c r="L60" s="18"/>
      <c r="M60" s="18"/>
      <c r="N60" s="91"/>
      <c r="O60" s="92"/>
      <c r="P60" s="93"/>
    </row>
    <row r="61" spans="1:16">
      <c r="A61" s="75">
        <v>45702</v>
      </c>
      <c r="B61" s="13" t="s">
        <v>400</v>
      </c>
      <c r="C61" s="29"/>
      <c r="D61" s="30"/>
      <c r="E61" s="31"/>
      <c r="F61" s="32"/>
      <c r="G61" s="32"/>
      <c r="H61" s="76"/>
      <c r="I61" s="76"/>
      <c r="J61" s="76"/>
      <c r="K61" s="100">
        <f ca="1">M61/L61</f>
        <v>0.103448275862069</v>
      </c>
      <c r="L61" s="18">
        <f ca="1">VLOOKUP(INDIRECT("A"&amp;ROW()),收益表!$A$16:$U$10014,20,0)</f>
        <v>87</v>
      </c>
      <c r="M61" s="18">
        <f ca="1">VLOOKUP(INDIRECT("A"&amp;ROW()),收益表!$A$16:$U$10014,21,0)</f>
        <v>9</v>
      </c>
      <c r="N61" s="91"/>
      <c r="O61" s="92"/>
      <c r="P61" s="93"/>
    </row>
    <row r="62" spans="1:16">
      <c r="A62" s="75"/>
      <c r="B62" s="13" t="s">
        <v>401</v>
      </c>
      <c r="C62" s="29"/>
      <c r="D62" s="30"/>
      <c r="E62" s="31"/>
      <c r="F62" s="32"/>
      <c r="G62" s="32"/>
      <c r="H62" s="81"/>
      <c r="I62" s="81"/>
      <c r="J62" s="81"/>
      <c r="K62" s="100"/>
      <c r="L62" s="18"/>
      <c r="M62" s="18"/>
      <c r="N62" s="91"/>
      <c r="O62" s="92"/>
      <c r="P62" s="93"/>
    </row>
    <row r="63" spans="1:16">
      <c r="A63" s="75">
        <v>45705</v>
      </c>
      <c r="B63" s="13" t="s">
        <v>402</v>
      </c>
      <c r="C63" s="29"/>
      <c r="D63" s="30"/>
      <c r="E63" s="31"/>
      <c r="F63" s="32"/>
      <c r="G63" s="32"/>
      <c r="H63" s="81"/>
      <c r="I63" s="81"/>
      <c r="J63" s="81"/>
      <c r="K63" s="100">
        <f ca="1">M63/L63</f>
        <v>0.0614035087719298</v>
      </c>
      <c r="L63" s="18">
        <f ca="1">VLOOKUP(INDIRECT("A"&amp;ROW()),收益表!$A$16:$U$10014,20,0)</f>
        <v>114</v>
      </c>
      <c r="M63" s="18">
        <f ca="1">VLOOKUP(INDIRECT("A"&amp;ROW()),收益表!$A$16:$U$10014,21,0)</f>
        <v>7</v>
      </c>
      <c r="N63" s="91"/>
      <c r="O63" s="92"/>
      <c r="P63" s="93"/>
    </row>
    <row r="64" spans="1:16">
      <c r="A64" s="75">
        <v>45706</v>
      </c>
      <c r="B64" s="13" t="s">
        <v>212</v>
      </c>
      <c r="C64" s="29"/>
      <c r="D64" s="30"/>
      <c r="E64" s="31"/>
      <c r="F64" s="32"/>
      <c r="G64" s="32"/>
      <c r="H64" s="81"/>
      <c r="I64" s="81"/>
      <c r="J64" s="81"/>
      <c r="K64" s="100">
        <f ca="1">M64/L64</f>
        <v>0.39622641509434</v>
      </c>
      <c r="L64" s="18">
        <f ca="1">VLOOKUP(INDIRECT("A"&amp;ROW()),收益表!$A$16:$U$10014,20,0)</f>
        <v>53</v>
      </c>
      <c r="M64" s="18">
        <f ca="1">VLOOKUP(INDIRECT("A"&amp;ROW()),收益表!$A$16:$U$10014,21,0)</f>
        <v>21</v>
      </c>
      <c r="N64" s="91"/>
      <c r="O64" s="92"/>
      <c r="P64" s="93"/>
    </row>
    <row r="65" spans="1:16">
      <c r="A65" s="78">
        <v>45707</v>
      </c>
      <c r="B65" s="13" t="s">
        <v>403</v>
      </c>
      <c r="C65" s="29"/>
      <c r="D65" s="30"/>
      <c r="E65" s="31"/>
      <c r="F65" s="32"/>
      <c r="G65" s="29"/>
      <c r="H65" s="81"/>
      <c r="I65" s="81"/>
      <c r="J65" s="81"/>
      <c r="K65" s="100">
        <f ca="1">M65/L65</f>
        <v>0.0333333333333333</v>
      </c>
      <c r="L65" s="18">
        <f ca="1">VLOOKUP(INDIRECT("A"&amp;ROW()),收益表!$A$16:$U$10014,20,0)</f>
        <v>120</v>
      </c>
      <c r="M65" s="18">
        <f ca="1">VLOOKUP(INDIRECT("A"&amp;ROW()),收益表!$A$16:$U$10014,21,0)</f>
        <v>4</v>
      </c>
      <c r="N65" s="91"/>
      <c r="O65" s="92"/>
      <c r="P65" s="93"/>
    </row>
    <row r="66" spans="1:16">
      <c r="A66" s="101">
        <v>45708</v>
      </c>
      <c r="B66" s="13" t="s">
        <v>404</v>
      </c>
      <c r="C66" s="29"/>
      <c r="D66" s="30"/>
      <c r="E66" s="31"/>
      <c r="F66" s="32"/>
      <c r="G66" s="32"/>
      <c r="H66" s="81"/>
      <c r="I66" s="81"/>
      <c r="J66" s="81"/>
      <c r="K66" s="100">
        <f ca="1">M66/L66</f>
        <v>0.00934579439252336</v>
      </c>
      <c r="L66" s="18">
        <f ca="1">VLOOKUP(INDIRECT("A"&amp;ROW()),收益表!$A$16:$U$10014,20,0)</f>
        <v>107</v>
      </c>
      <c r="M66" s="18">
        <f ca="1">VLOOKUP(INDIRECT("A"&amp;ROW()),收益表!$A$16:$U$10014,21,0)</f>
        <v>1</v>
      </c>
      <c r="N66" s="91"/>
      <c r="O66" s="92"/>
      <c r="P66" s="93"/>
    </row>
    <row r="67" spans="1:16">
      <c r="A67" s="102"/>
      <c r="B67" s="13" t="s">
        <v>405</v>
      </c>
      <c r="C67" s="29"/>
      <c r="D67" s="30"/>
      <c r="E67" s="103"/>
      <c r="F67" s="32"/>
      <c r="G67" s="32"/>
      <c r="K67" s="100"/>
      <c r="L67" s="18"/>
      <c r="M67" s="18"/>
      <c r="N67" s="91"/>
      <c r="O67" s="92"/>
      <c r="P67" s="93"/>
    </row>
    <row r="68" spans="1:16">
      <c r="A68" s="104"/>
      <c r="B68" s="13" t="s">
        <v>241</v>
      </c>
      <c r="C68" s="29"/>
      <c r="D68" s="30"/>
      <c r="E68" s="103"/>
      <c r="F68" s="32"/>
      <c r="G68" s="32"/>
      <c r="K68" s="100"/>
      <c r="L68" s="18"/>
      <c r="M68" s="18"/>
      <c r="N68" s="91"/>
      <c r="O68" s="92"/>
      <c r="P68" s="93"/>
    </row>
    <row r="69" spans="1:16">
      <c r="A69" s="105">
        <v>45709</v>
      </c>
      <c r="B69" s="13" t="s">
        <v>406</v>
      </c>
      <c r="C69" s="29"/>
      <c r="D69" s="30"/>
      <c r="E69" s="103"/>
      <c r="F69" s="32"/>
      <c r="G69" s="32"/>
      <c r="H69" s="6"/>
      <c r="I69" s="6"/>
      <c r="J69" s="6"/>
      <c r="K69" s="100">
        <f ca="1">M69/L69</f>
        <v>0.0336134453781513</v>
      </c>
      <c r="L69" s="18">
        <f ca="1">VLOOKUP(INDIRECT("A"&amp;ROW()),收益表!$A$16:$U$10014,20,0)</f>
        <v>119</v>
      </c>
      <c r="M69" s="18">
        <f ca="1">VLOOKUP(INDIRECT("A"&amp;ROW()),收益表!$A$16:$U$10014,21,0)</f>
        <v>4</v>
      </c>
      <c r="N69" s="91"/>
      <c r="O69" s="92"/>
      <c r="P69" s="93"/>
    </row>
    <row r="70" ht="16.5" spans="1:16">
      <c r="A70" s="106"/>
      <c r="B70" s="67" t="s">
        <v>407</v>
      </c>
      <c r="C70" s="68"/>
      <c r="D70" s="107"/>
      <c r="E70" s="35"/>
      <c r="F70" s="108"/>
      <c r="G70" s="60"/>
      <c r="H70" s="6"/>
      <c r="I70" s="6"/>
      <c r="J70" s="6"/>
      <c r="K70" s="120"/>
      <c r="L70" s="18"/>
      <c r="M70" s="18"/>
      <c r="N70" s="91"/>
      <c r="O70" s="92"/>
      <c r="P70" s="93"/>
    </row>
    <row r="71" ht="16.5" spans="1:16">
      <c r="A71" s="101">
        <v>45712</v>
      </c>
      <c r="B71" s="67" t="s">
        <v>408</v>
      </c>
      <c r="C71" s="68"/>
      <c r="D71" s="107"/>
      <c r="E71" s="109"/>
      <c r="F71" s="108"/>
      <c r="G71" s="60">
        <f>(1+F71)*G53</f>
        <v>0</v>
      </c>
      <c r="H71" s="6"/>
      <c r="I71" s="6"/>
      <c r="J71" s="6"/>
      <c r="K71" s="120">
        <f ca="1">M71/L71</f>
        <v>0.197802197802198</v>
      </c>
      <c r="L71" s="18">
        <f ca="1">VLOOKUP(INDIRECT("A"&amp;ROW()),收益表!$A$16:$U$10014,20,0)</f>
        <v>91</v>
      </c>
      <c r="M71" s="18">
        <f ca="1">VLOOKUP(INDIRECT("A"&amp;ROW()),收益表!$A$16:$U$10014,21,0)</f>
        <v>18</v>
      </c>
      <c r="N71" s="91"/>
      <c r="O71" s="92"/>
      <c r="P71" s="93"/>
    </row>
    <row r="72" ht="16.5" spans="1:16">
      <c r="A72" s="102"/>
      <c r="B72" s="71" t="s">
        <v>409</v>
      </c>
      <c r="C72" s="41"/>
      <c r="D72" s="110"/>
      <c r="E72" s="111"/>
      <c r="F72" s="97"/>
      <c r="G72" s="65"/>
      <c r="H72" s="6"/>
      <c r="I72" s="6"/>
      <c r="J72" s="6"/>
      <c r="K72" s="121"/>
      <c r="L72" s="18"/>
      <c r="M72" s="18"/>
      <c r="N72" s="91"/>
      <c r="O72" s="92"/>
      <c r="P72" s="93"/>
    </row>
    <row r="73" spans="1:16">
      <c r="A73" s="104"/>
      <c r="B73" s="13" t="s">
        <v>410</v>
      </c>
      <c r="C73" s="29"/>
      <c r="D73" s="112"/>
      <c r="E73" s="6"/>
      <c r="F73" s="113"/>
      <c r="G73" s="73"/>
      <c r="H73" s="6"/>
      <c r="I73" s="6"/>
      <c r="J73" s="6"/>
      <c r="K73" s="121"/>
      <c r="L73" s="18"/>
      <c r="M73" s="18"/>
      <c r="N73" s="91"/>
      <c r="O73" s="92"/>
      <c r="P73" s="93"/>
    </row>
    <row r="74" spans="1:16">
      <c r="A74" s="114">
        <v>45713</v>
      </c>
      <c r="B74" s="13" t="s">
        <v>411</v>
      </c>
      <c r="C74" s="29"/>
      <c r="D74" s="30"/>
      <c r="E74" s="113"/>
      <c r="F74" s="32"/>
      <c r="G74" s="32"/>
      <c r="H74" s="6"/>
      <c r="I74" s="6"/>
      <c r="J74" s="6"/>
      <c r="K74" s="100">
        <f ca="1">M74/L74</f>
        <v>0.107692307692308</v>
      </c>
      <c r="L74" s="18">
        <f ca="1">VLOOKUP(INDIRECT("A"&amp;ROW()),收益表!$A$16:$U$10014,20,0)</f>
        <v>65</v>
      </c>
      <c r="M74" s="18">
        <f ca="1">VLOOKUP(INDIRECT("A"&amp;ROW()),收益表!$A$16:$U$10014,21,0)</f>
        <v>7</v>
      </c>
      <c r="N74" s="91"/>
      <c r="O74" s="92"/>
      <c r="P74" s="93"/>
    </row>
    <row r="75" spans="1:16">
      <c r="A75" s="114">
        <v>45714</v>
      </c>
      <c r="B75" s="13" t="s">
        <v>225</v>
      </c>
      <c r="C75" s="29"/>
      <c r="D75" s="30"/>
      <c r="E75" s="31"/>
      <c r="F75" s="32"/>
      <c r="G75" s="32"/>
      <c r="H75" s="6"/>
      <c r="I75" s="6"/>
      <c r="J75" s="6"/>
      <c r="K75" s="100">
        <f ca="1">M75/L75</f>
        <v>0.0277777777777778</v>
      </c>
      <c r="L75" s="18">
        <f ca="1">VLOOKUP(INDIRECT("A"&amp;ROW()),收益表!$A$16:$U$10014,20,0)</f>
        <v>108</v>
      </c>
      <c r="M75" s="18">
        <f ca="1">VLOOKUP(INDIRECT("A"&amp;ROW()),收益表!$A$16:$U$10014,21,0)</f>
        <v>3</v>
      </c>
      <c r="N75" s="91"/>
      <c r="O75" s="92"/>
      <c r="P75" s="93"/>
    </row>
    <row r="76" spans="1:16">
      <c r="A76" s="114">
        <v>45715</v>
      </c>
      <c r="B76" s="13" t="s">
        <v>412</v>
      </c>
      <c r="C76" s="29"/>
      <c r="D76" s="30"/>
      <c r="E76" s="31"/>
      <c r="F76" s="32"/>
      <c r="G76" s="32"/>
      <c r="H76" s="6"/>
      <c r="I76" s="6"/>
      <c r="J76" s="6"/>
      <c r="K76" s="100">
        <f ca="1">M76/L76</f>
        <v>0.133333333333333</v>
      </c>
      <c r="L76" s="18">
        <f ca="1">VLOOKUP(INDIRECT("A"&amp;ROW()),收益表!$A$16:$U$10014,20,0)</f>
        <v>90</v>
      </c>
      <c r="M76" s="18">
        <f ca="1">VLOOKUP(INDIRECT("A"&amp;ROW()),收益表!$A$16:$U$10014,21,0)</f>
        <v>12</v>
      </c>
      <c r="N76" s="91"/>
      <c r="O76" s="92"/>
      <c r="P76" s="93"/>
    </row>
    <row r="77" spans="1:16">
      <c r="A77" s="115">
        <v>45716</v>
      </c>
      <c r="B77" s="13" t="s">
        <v>111</v>
      </c>
      <c r="C77" s="29"/>
      <c r="D77" s="30"/>
      <c r="E77" s="31"/>
      <c r="F77" s="32"/>
      <c r="G77" s="32"/>
      <c r="H77" s="6"/>
      <c r="I77" s="6"/>
      <c r="J77" s="6"/>
      <c r="K77" s="34">
        <f ca="1">M77/L77</f>
        <v>0.839285714285714</v>
      </c>
      <c r="L77" s="18">
        <f ca="1">VLOOKUP(INDIRECT("A"&amp;ROW()),收益表!$A$16:$U$10014,20,0)</f>
        <v>56</v>
      </c>
      <c r="M77" s="18">
        <f ca="1">VLOOKUP(INDIRECT("A"&amp;ROW()),收益表!$A$16:$U$10014,21,0)</f>
        <v>47</v>
      </c>
      <c r="N77" s="91"/>
      <c r="O77" s="92"/>
      <c r="P77" s="93"/>
    </row>
    <row r="78" spans="1:16">
      <c r="A78" s="116"/>
      <c r="B78" s="13" t="s">
        <v>413</v>
      </c>
      <c r="C78" s="29"/>
      <c r="D78" s="30"/>
      <c r="E78" s="31"/>
      <c r="F78" s="32"/>
      <c r="G78" s="32"/>
      <c r="K78" s="34"/>
      <c r="L78" s="18"/>
      <c r="M78" s="18"/>
      <c r="N78" s="91"/>
      <c r="O78" s="92"/>
      <c r="P78" s="93"/>
    </row>
    <row r="79" spans="1:16">
      <c r="A79" s="114">
        <v>45719</v>
      </c>
      <c r="B79" s="13"/>
      <c r="C79" s="29"/>
      <c r="D79" s="30"/>
      <c r="E79" s="31"/>
      <c r="F79" s="32"/>
      <c r="G79" s="32"/>
      <c r="K79" s="34">
        <f ca="1">M79/L79</f>
        <v>0.485714285714286</v>
      </c>
      <c r="L79" s="18">
        <f ca="1">VLOOKUP(INDIRECT("A"&amp;ROW()),收益表!$A$16:$U$10014,20,0)</f>
        <v>70</v>
      </c>
      <c r="M79" s="18">
        <f ca="1">VLOOKUP(INDIRECT("A"&amp;ROW()),收益表!$A$16:$U$10014,21,0)</f>
        <v>34</v>
      </c>
      <c r="N79" s="91"/>
      <c r="O79" s="92"/>
      <c r="P79" s="93"/>
    </row>
    <row r="80" spans="1:16">
      <c r="A80" s="101">
        <v>45720</v>
      </c>
      <c r="B80" s="13" t="s">
        <v>414</v>
      </c>
      <c r="C80" s="29"/>
      <c r="D80" s="30"/>
      <c r="E80" s="31"/>
      <c r="F80" s="32"/>
      <c r="G80" s="32"/>
      <c r="K80" s="34"/>
      <c r="L80" s="18"/>
      <c r="M80" s="18"/>
      <c r="N80" s="91"/>
      <c r="O80" s="92"/>
      <c r="P80" s="93"/>
    </row>
    <row r="81" spans="1:16">
      <c r="A81" s="104"/>
      <c r="B81" s="71" t="s">
        <v>415</v>
      </c>
      <c r="C81" s="41">
        <v>-0.084</v>
      </c>
      <c r="D81" s="59">
        <v>0.0389</v>
      </c>
      <c r="E81" s="31">
        <v>-0.0479</v>
      </c>
      <c r="F81" s="32">
        <v>0.0389</v>
      </c>
      <c r="G81" s="32">
        <f>(1+F81)*G71</f>
        <v>0</v>
      </c>
      <c r="K81" s="34" t="e">
        <f ca="1">M81/L81</f>
        <v>#N/A</v>
      </c>
      <c r="L81" s="18" t="e">
        <f ca="1">VLOOKUP(INDIRECT("A"&amp;ROW()),收益表!$A$16:$U$10014,20,0)</f>
        <v>#N/A</v>
      </c>
      <c r="M81" s="18" t="e">
        <f ca="1">VLOOKUP(INDIRECT("A"&amp;ROW()),收益表!$A$16:$U$10014,21,0)</f>
        <v>#N/A</v>
      </c>
      <c r="N81" s="91"/>
      <c r="O81" s="92"/>
      <c r="P81" s="93"/>
    </row>
    <row r="82" spans="1:16">
      <c r="A82" s="75">
        <v>45721</v>
      </c>
      <c r="B82" s="13"/>
      <c r="C82" s="29"/>
      <c r="D82" s="30"/>
      <c r="E82" s="31"/>
      <c r="F82" s="32"/>
      <c r="G82" s="32"/>
      <c r="K82" s="34">
        <f ca="1">M82/L82</f>
        <v>0.0857142857142857</v>
      </c>
      <c r="L82" s="18">
        <f ca="1">VLOOKUP(INDIRECT("A"&amp;ROW()),收益表!$A$16:$U$10014,20,0)</f>
        <v>70</v>
      </c>
      <c r="M82" s="18">
        <f ca="1">VLOOKUP(INDIRECT("A"&amp;ROW()),收益表!$A$16:$U$10014,21,0)</f>
        <v>6</v>
      </c>
      <c r="N82" s="91"/>
      <c r="O82" s="92"/>
      <c r="P82" s="93"/>
    </row>
    <row r="83" spans="1:16">
      <c r="A83" s="75">
        <v>45722</v>
      </c>
      <c r="B83" s="13"/>
      <c r="C83" s="29"/>
      <c r="D83" s="30"/>
      <c r="E83" s="31"/>
      <c r="F83" s="32"/>
      <c r="G83" s="32"/>
      <c r="K83" s="34">
        <f ca="1">M83/L83</f>
        <v>0.0423728813559322</v>
      </c>
      <c r="L83" s="18">
        <f ca="1">VLOOKUP(INDIRECT("A"&amp;ROW()),收益表!$A$16:$U$10014,20,0)</f>
        <v>118</v>
      </c>
      <c r="M83" s="18">
        <f ca="1">VLOOKUP(INDIRECT("A"&amp;ROW()),收益表!$A$16:$U$10014,21,0)</f>
        <v>5</v>
      </c>
      <c r="N83" s="91"/>
      <c r="O83" s="92"/>
      <c r="P83" s="93"/>
    </row>
    <row r="84" spans="1:16">
      <c r="A84" s="117">
        <v>45723</v>
      </c>
      <c r="B84" s="13" t="s">
        <v>416</v>
      </c>
      <c r="C84" s="29"/>
      <c r="D84" s="30"/>
      <c r="E84" s="31"/>
      <c r="F84" s="32"/>
      <c r="G84" s="32"/>
      <c r="K84" s="34">
        <f ca="1">M84/L84</f>
        <v>0.193548387096774</v>
      </c>
      <c r="L84" s="18">
        <f ca="1">VLOOKUP(INDIRECT("A"&amp;ROW()),收益表!$A$16:$U$10014,20,0)</f>
        <v>62</v>
      </c>
      <c r="M84" s="18">
        <f ca="1">VLOOKUP(INDIRECT("A"&amp;ROW()),收益表!$A$16:$U$10014,21,0)</f>
        <v>12</v>
      </c>
      <c r="N84" s="91"/>
      <c r="O84" s="92"/>
      <c r="P84" s="93"/>
    </row>
    <row r="85" spans="1:16">
      <c r="A85" s="101">
        <v>45726</v>
      </c>
      <c r="B85" s="13" t="s">
        <v>417</v>
      </c>
      <c r="C85" s="29"/>
      <c r="D85" s="30"/>
      <c r="E85" s="31"/>
      <c r="F85" s="32"/>
      <c r="G85" s="32"/>
      <c r="K85" s="34">
        <f ca="1">M85/L85</f>
        <v>0.0860215053763441</v>
      </c>
      <c r="L85" s="18">
        <f ca="1">VLOOKUP(INDIRECT("A"&amp;ROW()),收益表!$A$16:$U$10014,20,0)</f>
        <v>93</v>
      </c>
      <c r="M85" s="18">
        <f ca="1">VLOOKUP(INDIRECT("A"&amp;ROW()),收益表!$A$16:$U$10014,21,0)</f>
        <v>8</v>
      </c>
      <c r="N85" s="91"/>
      <c r="O85" s="92"/>
      <c r="P85" s="93"/>
    </row>
    <row r="86" spans="1:16">
      <c r="A86" s="102"/>
      <c r="B86" s="13" t="s">
        <v>418</v>
      </c>
      <c r="C86" s="29"/>
      <c r="D86" s="30"/>
      <c r="E86" s="31"/>
      <c r="F86" s="32"/>
      <c r="G86" s="32"/>
      <c r="K86" s="34"/>
      <c r="L86" s="18"/>
      <c r="M86" s="18"/>
      <c r="N86" s="91"/>
      <c r="O86" s="92"/>
      <c r="P86" s="93"/>
    </row>
    <row r="87" spans="1:16">
      <c r="A87" s="104"/>
      <c r="B87" s="13" t="s">
        <v>419</v>
      </c>
      <c r="C87" s="29"/>
      <c r="D87" s="30"/>
      <c r="E87" s="31"/>
      <c r="F87" s="32"/>
      <c r="G87" s="32"/>
      <c r="K87" s="34"/>
      <c r="L87" s="18"/>
      <c r="M87" s="18"/>
      <c r="N87" s="91"/>
      <c r="O87" s="92"/>
      <c r="P87" s="93"/>
    </row>
    <row r="88" spans="1:16">
      <c r="A88" s="101">
        <v>45727</v>
      </c>
      <c r="B88" s="13" t="s">
        <v>420</v>
      </c>
      <c r="C88" s="29"/>
      <c r="D88" s="30"/>
      <c r="E88" s="31"/>
      <c r="F88" s="32"/>
      <c r="G88" s="32"/>
      <c r="K88" s="34">
        <f ca="1">M88/L88</f>
        <v>0.0757575757575758</v>
      </c>
      <c r="L88" s="18">
        <f ca="1">VLOOKUP(INDIRECT("A"&amp;ROW()),收益表!$A$16:$U$10014,20,0)</f>
        <v>66</v>
      </c>
      <c r="M88" s="18">
        <f ca="1">VLOOKUP(INDIRECT("A"&amp;ROW()),收益表!$A$16:$U$10014,21,0)</f>
        <v>5</v>
      </c>
      <c r="N88" s="91"/>
      <c r="O88" s="92"/>
      <c r="P88" s="93"/>
    </row>
    <row r="89" spans="1:16">
      <c r="A89" s="102"/>
      <c r="B89" s="13" t="s">
        <v>421</v>
      </c>
      <c r="C89" s="29"/>
      <c r="D89" s="30"/>
      <c r="E89" s="31"/>
      <c r="F89" s="32"/>
      <c r="G89" s="32"/>
      <c r="K89" s="34"/>
      <c r="L89" s="18"/>
      <c r="M89" s="18"/>
      <c r="N89" s="91"/>
      <c r="O89" s="92"/>
      <c r="P89" s="93"/>
    </row>
    <row r="90" spans="1:16">
      <c r="A90" s="104"/>
      <c r="B90" s="13" t="s">
        <v>422</v>
      </c>
      <c r="C90" s="29"/>
      <c r="D90" s="30"/>
      <c r="E90" s="31"/>
      <c r="F90" s="32"/>
      <c r="G90" s="32"/>
      <c r="K90" s="34"/>
      <c r="L90" s="18"/>
      <c r="M90" s="18"/>
      <c r="N90" s="91"/>
      <c r="O90" s="92"/>
      <c r="P90" s="93"/>
    </row>
    <row r="91" spans="1:16">
      <c r="A91" s="77">
        <v>45728</v>
      </c>
      <c r="B91" s="13"/>
      <c r="C91" s="29"/>
      <c r="D91" s="30"/>
      <c r="E91" s="31"/>
      <c r="F91" s="32"/>
      <c r="G91" s="32"/>
      <c r="K91" s="34">
        <f ca="1">M91/L91</f>
        <v>0.0212765957446809</v>
      </c>
      <c r="L91" s="18">
        <f ca="1">VLOOKUP(INDIRECT("A"&amp;ROW()),收益表!$A$16:$U$10014,20,0)</f>
        <v>94</v>
      </c>
      <c r="M91" s="18">
        <f ca="1">VLOOKUP(INDIRECT("A"&amp;ROW()),收益表!$A$16:$U$10014,21,0)</f>
        <v>2</v>
      </c>
      <c r="N91" s="91"/>
      <c r="O91" s="92"/>
      <c r="P91" s="93"/>
    </row>
    <row r="92" spans="1:16">
      <c r="A92" s="101">
        <v>45729</v>
      </c>
      <c r="B92" s="13" t="s">
        <v>246</v>
      </c>
      <c r="C92" s="29"/>
      <c r="D92" s="30"/>
      <c r="E92" s="31"/>
      <c r="F92" s="32"/>
      <c r="G92" s="32"/>
      <c r="K92" s="34">
        <f ca="1">M92/L92</f>
        <v>0.245614035087719</v>
      </c>
      <c r="L92" s="18">
        <f ca="1">VLOOKUP(INDIRECT("A"&amp;ROW()),收益表!$A$16:$U$10014,20,0)</f>
        <v>57</v>
      </c>
      <c r="M92" s="18">
        <f ca="1">VLOOKUP(INDIRECT("A"&amp;ROW()),收益表!$A$16:$U$10014,21,0)</f>
        <v>14</v>
      </c>
      <c r="N92" s="91"/>
      <c r="O92" s="92"/>
      <c r="P92" s="93"/>
    </row>
    <row r="93" spans="1:16">
      <c r="A93" s="102"/>
      <c r="B93" s="13" t="s">
        <v>238</v>
      </c>
      <c r="C93" s="29"/>
      <c r="D93" s="30"/>
      <c r="E93" s="31"/>
      <c r="F93" s="32"/>
      <c r="G93" s="32"/>
      <c r="K93" s="34"/>
      <c r="L93" s="18"/>
      <c r="M93" s="18"/>
      <c r="N93" s="91"/>
      <c r="O93" s="92"/>
      <c r="P93" s="93"/>
    </row>
    <row r="94" spans="1:16">
      <c r="A94" s="104"/>
      <c r="B94" s="13" t="s">
        <v>423</v>
      </c>
      <c r="C94" s="29"/>
      <c r="D94" s="30"/>
      <c r="E94" s="31"/>
      <c r="F94" s="32"/>
      <c r="G94" s="32"/>
      <c r="K94" s="34"/>
      <c r="L94" s="18"/>
      <c r="M94" s="18"/>
      <c r="N94" s="91"/>
      <c r="O94" s="92"/>
      <c r="P94" s="93"/>
    </row>
    <row r="95" spans="1:16">
      <c r="A95" s="117">
        <v>45730</v>
      </c>
      <c r="B95" s="13" t="s">
        <v>424</v>
      </c>
      <c r="C95" s="29"/>
      <c r="D95" s="30"/>
      <c r="E95" s="31"/>
      <c r="F95" s="32"/>
      <c r="G95" s="32"/>
      <c r="K95" s="34">
        <f ca="1">M95/L95</f>
        <v>0.0625</v>
      </c>
      <c r="L95" s="18">
        <f ca="1">VLOOKUP(INDIRECT("A"&amp;ROW()),收益表!$A$16:$U$10014,20,0)</f>
        <v>96</v>
      </c>
      <c r="M95" s="18">
        <f ca="1">VLOOKUP(INDIRECT("A"&amp;ROW()),收益表!$A$16:$U$10014,21,0)</f>
        <v>6</v>
      </c>
      <c r="N95" s="91"/>
      <c r="O95" s="92"/>
      <c r="P95" s="93"/>
    </row>
    <row r="96" spans="1:16">
      <c r="A96" s="77">
        <v>45733</v>
      </c>
      <c r="B96" s="13"/>
      <c r="C96" s="29"/>
      <c r="D96" s="30"/>
      <c r="E96" s="31"/>
      <c r="F96" s="32"/>
      <c r="G96" s="32"/>
      <c r="K96" s="34">
        <f ca="1">M96/L96</f>
        <v>0.130952380952381</v>
      </c>
      <c r="L96" s="18">
        <f ca="1">VLOOKUP(INDIRECT("A"&amp;ROW()),收益表!$A$16:$U$10014,20,0)</f>
        <v>84</v>
      </c>
      <c r="M96" s="18">
        <f ca="1">VLOOKUP(INDIRECT("A"&amp;ROW()),收益表!$A$16:$U$10014,21,0)</f>
        <v>11</v>
      </c>
      <c r="N96" s="91"/>
      <c r="O96" s="92"/>
      <c r="P96" s="93"/>
    </row>
    <row r="97" spans="1:16">
      <c r="A97" s="77">
        <v>45734</v>
      </c>
      <c r="B97" s="13"/>
      <c r="C97" s="29"/>
      <c r="D97" s="30"/>
      <c r="E97" s="31"/>
      <c r="F97" s="32"/>
      <c r="G97" s="32"/>
      <c r="K97" s="34">
        <f ca="1">M97/L97</f>
        <v>0.141025641025641</v>
      </c>
      <c r="L97" s="18">
        <f ca="1">VLOOKUP(INDIRECT("A"&amp;ROW()),收益表!$A$16:$U$10014,20,0)</f>
        <v>78</v>
      </c>
      <c r="M97" s="18">
        <f ca="1">VLOOKUP(INDIRECT("A"&amp;ROW()),收益表!$A$16:$U$10014,21,0)</f>
        <v>11</v>
      </c>
      <c r="N97" s="91"/>
      <c r="O97" s="92"/>
      <c r="P97" s="93"/>
    </row>
    <row r="98" spans="1:16">
      <c r="A98" s="101">
        <v>45735</v>
      </c>
      <c r="B98" s="13" t="s">
        <v>425</v>
      </c>
      <c r="C98" s="29"/>
      <c r="D98" s="30"/>
      <c r="E98" s="31"/>
      <c r="F98" s="32"/>
      <c r="G98" s="32"/>
      <c r="K98" s="34">
        <f ca="1">M98/L98</f>
        <v>0.142857142857143</v>
      </c>
      <c r="L98" s="18">
        <f ca="1">VLOOKUP(INDIRECT("A"&amp;ROW()),收益表!$A$16:$U$10014,20,0)</f>
        <v>56</v>
      </c>
      <c r="M98" s="18">
        <f ca="1">VLOOKUP(INDIRECT("A"&amp;ROW()),收益表!$A$16:$U$10014,21,0)</f>
        <v>8</v>
      </c>
      <c r="N98" s="91"/>
      <c r="O98" s="92"/>
      <c r="P98" s="93"/>
    </row>
    <row r="99" spans="1:16">
      <c r="A99" s="104"/>
      <c r="B99" s="13" t="s">
        <v>426</v>
      </c>
      <c r="C99" s="29"/>
      <c r="D99" s="30"/>
      <c r="E99" s="31"/>
      <c r="F99" s="32"/>
      <c r="G99" s="32"/>
      <c r="K99" s="34"/>
      <c r="L99" s="18"/>
      <c r="M99" s="18"/>
      <c r="N99" s="91"/>
      <c r="O99" s="92"/>
      <c r="P99" s="93"/>
    </row>
    <row r="100" spans="1:16">
      <c r="A100" s="77">
        <v>45736</v>
      </c>
      <c r="B100" s="13"/>
      <c r="C100" s="29"/>
      <c r="D100" s="30"/>
      <c r="E100" s="31"/>
      <c r="F100" s="32"/>
      <c r="G100" s="32"/>
      <c r="K100" s="34">
        <f ca="1">M100/L100</f>
        <v>0.0958904109589041</v>
      </c>
      <c r="L100" s="18">
        <f ca="1">VLOOKUP(INDIRECT("A"&amp;ROW()),收益表!$A$16:$U$10014,20,0)</f>
        <v>73</v>
      </c>
      <c r="M100" s="18">
        <f ca="1">VLOOKUP(INDIRECT("A"&amp;ROW()),收益表!$A$16:$U$10014,21,0)</f>
        <v>7</v>
      </c>
      <c r="N100" s="91"/>
      <c r="O100" s="92"/>
      <c r="P100" s="93"/>
    </row>
    <row r="101" spans="1:16">
      <c r="A101" s="105">
        <v>45737</v>
      </c>
      <c r="B101" s="13" t="s">
        <v>427</v>
      </c>
      <c r="C101" s="29"/>
      <c r="D101" s="30"/>
      <c r="E101" s="31"/>
      <c r="F101" s="32"/>
      <c r="G101" s="32"/>
      <c r="K101" s="34">
        <f ca="1">M101/L101</f>
        <v>0.553571428571429</v>
      </c>
      <c r="L101" s="18">
        <f ca="1">VLOOKUP(INDIRECT("A"&amp;ROW()),收益表!$A$16:$U$10014,20,0)</f>
        <v>56</v>
      </c>
      <c r="M101" s="18">
        <f ca="1">VLOOKUP(INDIRECT("A"&amp;ROW()),收益表!$A$16:$U$10014,21,0)</f>
        <v>31</v>
      </c>
      <c r="N101" s="91"/>
      <c r="O101" s="92"/>
      <c r="P101" s="93"/>
    </row>
    <row r="102" spans="1:16">
      <c r="A102" s="118"/>
      <c r="B102" s="13" t="s">
        <v>428</v>
      </c>
      <c r="C102" s="29"/>
      <c r="D102" s="30"/>
      <c r="E102" s="31"/>
      <c r="F102" s="32"/>
      <c r="G102" s="32"/>
      <c r="K102" s="34"/>
      <c r="L102" s="18"/>
      <c r="M102" s="18"/>
      <c r="N102" s="91"/>
      <c r="O102" s="92"/>
      <c r="P102" s="93"/>
    </row>
    <row r="103" spans="1:16">
      <c r="A103" s="101">
        <v>45740</v>
      </c>
      <c r="B103" s="13" t="s">
        <v>317</v>
      </c>
      <c r="C103" s="29"/>
      <c r="D103" s="30"/>
      <c r="E103" s="31"/>
      <c r="F103" s="32"/>
      <c r="G103" s="32"/>
      <c r="K103" s="34">
        <f ca="1">M103/L103</f>
        <v>0.87037037037037</v>
      </c>
      <c r="L103" s="18">
        <f ca="1">VLOOKUP(INDIRECT("A"&amp;ROW()),收益表!$A$16:$U$10014,20,0)</f>
        <v>54</v>
      </c>
      <c r="M103" s="18">
        <f ca="1">VLOOKUP(INDIRECT("A"&amp;ROW()),收益表!$A$16:$U$10014,21,0)</f>
        <v>47</v>
      </c>
      <c r="N103" s="91"/>
      <c r="O103" s="92"/>
      <c r="P103" s="93"/>
    </row>
    <row r="104" spans="1:16">
      <c r="A104" s="102"/>
      <c r="B104" s="13" t="s">
        <v>429</v>
      </c>
      <c r="C104" s="29"/>
      <c r="D104" s="30"/>
      <c r="E104" s="31"/>
      <c r="F104" s="32"/>
      <c r="G104" s="32"/>
      <c r="K104" s="34"/>
      <c r="L104" s="18"/>
      <c r="M104" s="18"/>
      <c r="N104" s="91"/>
      <c r="O104" s="92"/>
      <c r="P104" s="93"/>
    </row>
    <row r="105" spans="1:16">
      <c r="A105" s="104"/>
      <c r="B105" s="13" t="s">
        <v>430</v>
      </c>
      <c r="C105" s="29"/>
      <c r="D105" s="30"/>
      <c r="E105" s="31"/>
      <c r="F105" s="32"/>
      <c r="G105" s="32"/>
      <c r="K105" s="34"/>
      <c r="L105" s="18"/>
      <c r="M105" s="18"/>
      <c r="N105" s="91"/>
      <c r="O105" s="92"/>
      <c r="P105" s="93"/>
    </row>
    <row r="106" spans="1:16">
      <c r="A106" s="77">
        <v>45741</v>
      </c>
      <c r="B106" s="13"/>
      <c r="C106" s="29"/>
      <c r="D106" s="30"/>
      <c r="E106" s="31"/>
      <c r="F106" s="32"/>
      <c r="G106" s="32"/>
      <c r="K106" s="34">
        <f ca="1" t="shared" ref="K106:K113" si="1">M106/L106</f>
        <v>0.807017543859649</v>
      </c>
      <c r="L106" s="18">
        <f ca="1">VLOOKUP(INDIRECT("A"&amp;ROW()),收益表!$A$16:$U$10014,20,0)</f>
        <v>57</v>
      </c>
      <c r="M106" s="18">
        <f ca="1">VLOOKUP(INDIRECT("A"&amp;ROW()),收益表!$A$16:$U$10014,21,0)</f>
        <v>46</v>
      </c>
      <c r="N106" s="91"/>
      <c r="O106" s="92"/>
      <c r="P106" s="93"/>
    </row>
    <row r="107" spans="1:16">
      <c r="A107" s="77">
        <v>45742</v>
      </c>
      <c r="B107" s="13"/>
      <c r="C107" s="29"/>
      <c r="D107" s="30"/>
      <c r="E107" s="31"/>
      <c r="F107" s="32"/>
      <c r="G107" s="32"/>
      <c r="K107" s="34">
        <f ca="1" t="shared" si="1"/>
        <v>0.133333333333333</v>
      </c>
      <c r="L107" s="18">
        <f ca="1">VLOOKUP(INDIRECT("A"&amp;ROW()),收益表!$A$16:$U$10014,20,0)</f>
        <v>90</v>
      </c>
      <c r="M107" s="18">
        <f ca="1">VLOOKUP(INDIRECT("A"&amp;ROW()),收益表!$A$16:$U$10014,21,0)</f>
        <v>12</v>
      </c>
      <c r="N107" s="91"/>
      <c r="O107" s="92"/>
      <c r="P107" s="93"/>
    </row>
    <row r="108" spans="1:16">
      <c r="A108" s="77">
        <v>45743</v>
      </c>
      <c r="B108" s="13" t="s">
        <v>431</v>
      </c>
      <c r="C108" s="29"/>
      <c r="D108" s="30"/>
      <c r="E108" s="31"/>
      <c r="F108" s="32"/>
      <c r="G108" s="32"/>
      <c r="K108" s="34">
        <f ca="1" t="shared" si="1"/>
        <v>0.527272727272727</v>
      </c>
      <c r="L108" s="18">
        <f ca="1">VLOOKUP(INDIRECT("A"&amp;ROW()),收益表!$A$16:$U$10014,20,0)</f>
        <v>55</v>
      </c>
      <c r="M108" s="18">
        <f ca="1">VLOOKUP(INDIRECT("A"&amp;ROW()),收益表!$A$16:$U$10014,21,0)</f>
        <v>29</v>
      </c>
      <c r="N108" s="91"/>
      <c r="O108" s="92"/>
      <c r="P108" s="93"/>
    </row>
    <row r="109" spans="1:16">
      <c r="A109" s="117">
        <v>45744</v>
      </c>
      <c r="B109" s="13"/>
      <c r="C109" s="29"/>
      <c r="D109" s="30"/>
      <c r="E109" s="31"/>
      <c r="F109" s="32"/>
      <c r="G109" s="32"/>
      <c r="K109" s="34">
        <f ca="1" t="shared" si="1"/>
        <v>0.942857142857143</v>
      </c>
      <c r="L109" s="18">
        <f ca="1">VLOOKUP(INDIRECT("A"&amp;ROW()),收益表!$A$16:$U$10014,20,0)</f>
        <v>35</v>
      </c>
      <c r="M109" s="18">
        <f ca="1">VLOOKUP(INDIRECT("A"&amp;ROW()),收益表!$A$16:$U$10014,21,0)</f>
        <v>33</v>
      </c>
      <c r="N109" s="91"/>
      <c r="O109" s="92"/>
      <c r="P109" s="93"/>
    </row>
    <row r="110" spans="1:16">
      <c r="A110" s="119">
        <v>45747</v>
      </c>
      <c r="B110" s="13" t="s">
        <v>432</v>
      </c>
      <c r="C110" s="29"/>
      <c r="D110" s="30"/>
      <c r="E110" s="31"/>
      <c r="F110" s="32"/>
      <c r="G110" s="32"/>
      <c r="K110" s="34">
        <f ca="1" t="shared" si="1"/>
        <v>1.04878048780488</v>
      </c>
      <c r="L110" s="18">
        <f ca="1">VLOOKUP(INDIRECT("A"&amp;ROW()),收益表!$A$16:$U$10014,20,0)</f>
        <v>41</v>
      </c>
      <c r="M110" s="18">
        <f ca="1">VLOOKUP(INDIRECT("A"&amp;ROW()),收益表!$A$16:$U$10014,21,0)</f>
        <v>43</v>
      </c>
      <c r="N110" s="91"/>
      <c r="O110" s="92"/>
      <c r="P110" s="93"/>
    </row>
    <row r="111" spans="1:16">
      <c r="A111" s="119">
        <v>45748</v>
      </c>
      <c r="B111" s="13" t="s">
        <v>433</v>
      </c>
      <c r="C111" s="29"/>
      <c r="D111" s="30"/>
      <c r="E111" s="31"/>
      <c r="F111" s="32"/>
      <c r="G111" s="32"/>
      <c r="K111" s="34">
        <f ca="1" t="shared" si="1"/>
        <v>0.292307692307692</v>
      </c>
      <c r="L111" s="18">
        <f ca="1">VLOOKUP(INDIRECT("A"&amp;ROW()),收益表!$A$16:$U$10014,20,0)</f>
        <v>65</v>
      </c>
      <c r="M111" s="18">
        <f ca="1">VLOOKUP(INDIRECT("A"&amp;ROW()),收益表!$A$16:$U$10014,21,0)</f>
        <v>19</v>
      </c>
      <c r="N111" s="91"/>
      <c r="O111" s="92"/>
      <c r="P111" s="93"/>
    </row>
    <row r="112" spans="1:16">
      <c r="A112" s="119">
        <v>45749</v>
      </c>
      <c r="B112" s="13"/>
      <c r="C112" s="29"/>
      <c r="D112" s="30"/>
      <c r="E112" s="31"/>
      <c r="F112" s="32"/>
      <c r="G112" s="32"/>
      <c r="K112" s="34">
        <f ca="1" t="shared" si="1"/>
        <v>0.395833333333333</v>
      </c>
      <c r="L112" s="18">
        <f ca="1">VLOOKUP(INDIRECT("A"&amp;ROW()),收益表!$A$16:$U$10014,20,0)</f>
        <v>48</v>
      </c>
      <c r="M112" s="18">
        <f ca="1">VLOOKUP(INDIRECT("A"&amp;ROW()),收益表!$A$16:$U$10014,21,0)</f>
        <v>19</v>
      </c>
      <c r="N112" s="91"/>
      <c r="O112" s="92"/>
      <c r="P112" s="93"/>
    </row>
    <row r="113" spans="1:16">
      <c r="A113" s="117">
        <v>45750</v>
      </c>
      <c r="B113" s="13" t="s">
        <v>434</v>
      </c>
      <c r="C113" s="29"/>
      <c r="D113" s="30"/>
      <c r="E113" s="31"/>
      <c r="F113" s="32"/>
      <c r="G113" s="32"/>
      <c r="K113" s="34">
        <f ca="1" t="shared" si="1"/>
        <v>0.508474576271186</v>
      </c>
      <c r="L113" s="18">
        <f ca="1">VLOOKUP(INDIRECT("A"&amp;ROW()),收益表!$A$16:$U$10014,20,0)</f>
        <v>59</v>
      </c>
      <c r="M113" s="18">
        <f ca="1">VLOOKUP(INDIRECT("A"&amp;ROW()),收益表!$A$16:$U$10014,21,0)</f>
        <v>30</v>
      </c>
      <c r="N113" s="91"/>
      <c r="O113" s="92"/>
      <c r="P113" s="93"/>
    </row>
    <row r="114" spans="1:16">
      <c r="A114" s="101">
        <v>45754</v>
      </c>
      <c r="B114" s="13" t="s">
        <v>435</v>
      </c>
      <c r="C114" s="29"/>
      <c r="D114" s="30"/>
      <c r="E114" s="31"/>
      <c r="F114" s="32"/>
      <c r="G114" s="32"/>
      <c r="K114" s="34"/>
      <c r="L114" s="18"/>
      <c r="M114" s="18"/>
      <c r="N114" s="91"/>
      <c r="O114" s="92"/>
      <c r="P114" s="93"/>
    </row>
    <row r="115" spans="1:16">
      <c r="A115" s="104"/>
      <c r="B115" s="13" t="s">
        <v>188</v>
      </c>
      <c r="C115" s="29"/>
      <c r="D115" s="30"/>
      <c r="E115" s="31"/>
      <c r="F115" s="32"/>
      <c r="G115" s="32"/>
      <c r="K115" s="34"/>
      <c r="L115" s="122"/>
      <c r="M115" s="122"/>
      <c r="N115" s="91"/>
      <c r="O115" s="92"/>
      <c r="P115" s="93"/>
    </row>
    <row r="116" spans="1:16">
      <c r="A116" s="101">
        <v>45755</v>
      </c>
      <c r="B116" s="13" t="s">
        <v>436</v>
      </c>
      <c r="C116" s="29"/>
      <c r="D116" s="30"/>
      <c r="E116" s="31"/>
      <c r="F116" s="32"/>
      <c r="G116" s="32"/>
      <c r="K116" s="34"/>
      <c r="L116" s="122"/>
      <c r="M116" s="122"/>
      <c r="N116" s="91"/>
      <c r="O116" s="92"/>
      <c r="P116" s="93"/>
    </row>
    <row r="117" spans="1:16">
      <c r="A117" s="104"/>
      <c r="B117" s="13" t="s">
        <v>437</v>
      </c>
      <c r="C117" s="29"/>
      <c r="D117" s="30"/>
      <c r="E117" s="31"/>
      <c r="F117" s="32"/>
      <c r="G117" s="32"/>
      <c r="K117" s="34"/>
      <c r="L117" s="122"/>
      <c r="M117" s="122"/>
      <c r="N117" s="91"/>
      <c r="O117" s="92"/>
      <c r="P117" s="93"/>
    </row>
    <row r="118" spans="1:16">
      <c r="A118" s="77">
        <v>45756</v>
      </c>
      <c r="B118" s="13" t="s">
        <v>438</v>
      </c>
      <c r="C118" s="29"/>
      <c r="D118" s="30"/>
      <c r="E118" s="31"/>
      <c r="F118" s="32"/>
      <c r="G118" s="32"/>
      <c r="K118" s="34"/>
      <c r="L118" s="122"/>
      <c r="M118" s="122"/>
      <c r="N118" s="91"/>
      <c r="O118" s="92"/>
      <c r="P118" s="93"/>
    </row>
    <row r="119" spans="1:16">
      <c r="A119" s="101">
        <v>45757</v>
      </c>
      <c r="B119" s="13" t="s">
        <v>439</v>
      </c>
      <c r="C119" s="29"/>
      <c r="D119" s="30"/>
      <c r="E119" s="31"/>
      <c r="F119" s="32"/>
      <c r="G119" s="32"/>
      <c r="K119" s="34"/>
      <c r="L119" s="122"/>
      <c r="M119" s="122"/>
      <c r="N119" s="91"/>
      <c r="O119" s="92"/>
      <c r="P119" s="93"/>
    </row>
    <row r="120" spans="1:16">
      <c r="A120" s="102"/>
      <c r="B120" s="13" t="s">
        <v>440</v>
      </c>
      <c r="C120" s="29"/>
      <c r="D120" s="30"/>
      <c r="E120" s="31"/>
      <c r="F120" s="32"/>
      <c r="G120" s="32"/>
      <c r="K120" s="34"/>
      <c r="L120" s="122"/>
      <c r="M120" s="122"/>
      <c r="N120" s="91"/>
      <c r="O120" s="92"/>
      <c r="P120" s="93"/>
    </row>
    <row r="121" spans="1:16">
      <c r="A121" s="104"/>
      <c r="B121" s="13" t="s">
        <v>441</v>
      </c>
      <c r="C121" s="29"/>
      <c r="D121" s="30"/>
      <c r="E121" s="31"/>
      <c r="F121" s="32"/>
      <c r="G121" s="32"/>
      <c r="K121" s="34"/>
      <c r="L121" s="122"/>
      <c r="M121" s="122"/>
      <c r="N121" s="91"/>
      <c r="O121" s="92"/>
      <c r="P121" s="93"/>
    </row>
    <row r="122" spans="1:16">
      <c r="A122" s="117">
        <v>45758</v>
      </c>
      <c r="B122" s="13" t="s">
        <v>141</v>
      </c>
      <c r="C122" s="29"/>
      <c r="D122" s="30"/>
      <c r="E122" s="31"/>
      <c r="F122" s="32"/>
      <c r="G122" s="32"/>
      <c r="K122" s="34"/>
      <c r="L122" s="122"/>
      <c r="M122" s="122"/>
      <c r="N122" s="91"/>
      <c r="O122" s="92"/>
      <c r="P122" s="93"/>
    </row>
    <row r="123" spans="1:16">
      <c r="A123" s="77">
        <v>45761</v>
      </c>
      <c r="B123" s="13"/>
      <c r="C123" s="29"/>
      <c r="D123" s="30"/>
      <c r="E123" s="31"/>
      <c r="F123" s="32"/>
      <c r="G123" s="32"/>
      <c r="K123" s="34"/>
      <c r="L123" s="122"/>
      <c r="M123" s="122"/>
      <c r="N123" s="91"/>
      <c r="O123" s="92"/>
      <c r="P123" s="93"/>
    </row>
    <row r="124" spans="1:16">
      <c r="A124" s="77">
        <v>45762</v>
      </c>
      <c r="B124" s="13"/>
      <c r="C124" s="29"/>
      <c r="D124" s="30"/>
      <c r="E124" s="31"/>
      <c r="F124" s="32"/>
      <c r="G124" s="32"/>
      <c r="K124" s="34"/>
      <c r="L124" s="122"/>
      <c r="M124" s="122"/>
      <c r="N124" s="91"/>
      <c r="O124" s="92"/>
      <c r="P124" s="93"/>
    </row>
    <row r="125" spans="1:16">
      <c r="A125" s="77">
        <v>45763</v>
      </c>
      <c r="B125" s="13"/>
      <c r="C125" s="29"/>
      <c r="D125" s="30"/>
      <c r="E125" s="31"/>
      <c r="F125" s="32"/>
      <c r="G125" s="32"/>
      <c r="K125" s="34"/>
      <c r="L125" s="122"/>
      <c r="M125" s="122"/>
      <c r="N125" s="91"/>
      <c r="O125" s="92"/>
      <c r="P125" s="93"/>
    </row>
    <row r="126" spans="1:16">
      <c r="A126" s="77">
        <v>45764</v>
      </c>
      <c r="B126" s="13"/>
      <c r="C126" s="29"/>
      <c r="D126" s="30"/>
      <c r="E126" s="31"/>
      <c r="F126" s="32"/>
      <c r="G126" s="32"/>
      <c r="K126" s="34"/>
      <c r="L126" s="122"/>
      <c r="M126" s="122"/>
      <c r="N126" s="91"/>
      <c r="O126" s="92"/>
      <c r="P126" s="93"/>
    </row>
    <row r="127" spans="1:16">
      <c r="A127" s="117">
        <v>45765</v>
      </c>
      <c r="B127" s="13"/>
      <c r="C127" s="29"/>
      <c r="D127" s="30"/>
      <c r="E127" s="31"/>
      <c r="F127" s="32"/>
      <c r="G127" s="32"/>
      <c r="K127" s="34"/>
      <c r="L127" s="122"/>
      <c r="M127" s="122"/>
      <c r="N127" s="68"/>
      <c r="O127" s="123"/>
      <c r="P127" s="64"/>
    </row>
    <row r="128" spans="1:16">
      <c r="A128" s="117"/>
      <c r="B128" s="13"/>
      <c r="C128" s="29"/>
      <c r="D128" s="30"/>
      <c r="E128" s="31"/>
      <c r="F128" s="32"/>
      <c r="G128" s="32"/>
      <c r="K128" s="34"/>
      <c r="L128" s="122"/>
      <c r="M128" s="122"/>
      <c r="N128" s="68"/>
      <c r="O128" s="123"/>
      <c r="P128" s="64"/>
    </row>
    <row r="129" spans="1:16">
      <c r="A129" s="117"/>
      <c r="B129" s="13"/>
      <c r="C129" s="29"/>
      <c r="D129" s="30"/>
      <c r="E129" s="31"/>
      <c r="F129" s="32"/>
      <c r="G129" s="32"/>
      <c r="K129" s="34"/>
      <c r="L129" s="122"/>
      <c r="M129" s="122"/>
      <c r="N129" s="68"/>
      <c r="O129" s="123"/>
      <c r="P129" s="64"/>
    </row>
    <row r="130" spans="1:16">
      <c r="A130" s="117"/>
      <c r="B130" s="13"/>
      <c r="C130" s="29"/>
      <c r="D130" s="30"/>
      <c r="E130" s="31"/>
      <c r="F130" s="32"/>
      <c r="G130" s="32"/>
      <c r="K130" s="34"/>
      <c r="L130" s="122"/>
      <c r="M130" s="122"/>
      <c r="N130" s="68"/>
      <c r="O130" s="123"/>
      <c r="P130" s="64"/>
    </row>
    <row r="131" spans="1:16">
      <c r="A131" s="117"/>
      <c r="B131" s="13"/>
      <c r="C131" s="29"/>
      <c r="D131" s="30"/>
      <c r="E131" s="31"/>
      <c r="F131" s="32"/>
      <c r="G131" s="32"/>
      <c r="K131" s="34"/>
      <c r="L131" s="122"/>
      <c r="M131" s="122"/>
      <c r="N131" s="68"/>
      <c r="O131" s="123"/>
      <c r="P131" s="64"/>
    </row>
    <row r="132" spans="1:16">
      <c r="A132" s="117"/>
      <c r="B132" s="13"/>
      <c r="C132" s="29"/>
      <c r="D132" s="30"/>
      <c r="E132" s="31"/>
      <c r="F132" s="32"/>
      <c r="G132" s="32"/>
      <c r="K132" s="34"/>
      <c r="L132" s="122"/>
      <c r="M132" s="122"/>
      <c r="N132" s="68"/>
      <c r="O132" s="123"/>
      <c r="P132" s="64"/>
    </row>
    <row r="133" spans="1:16">
      <c r="A133" s="117"/>
      <c r="B133" s="13"/>
      <c r="C133" s="29"/>
      <c r="D133" s="30"/>
      <c r="E133" s="31"/>
      <c r="F133" s="32"/>
      <c r="G133" s="32"/>
      <c r="K133" s="34"/>
      <c r="L133" s="122"/>
      <c r="M133" s="122"/>
      <c r="N133" s="68"/>
      <c r="O133" s="123"/>
      <c r="P133" s="64"/>
    </row>
  </sheetData>
  <mergeCells count="138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6:P46"/>
    <mergeCell ref="N47:P47"/>
    <mergeCell ref="N48:P48"/>
    <mergeCell ref="N49:P49"/>
    <mergeCell ref="N51:P51"/>
    <mergeCell ref="N52:P52"/>
    <mergeCell ref="N53:P53"/>
    <mergeCell ref="N54:P54"/>
    <mergeCell ref="N55:P55"/>
    <mergeCell ref="N56:P56"/>
    <mergeCell ref="N57:P57"/>
    <mergeCell ref="N58:P58"/>
    <mergeCell ref="N61:P61"/>
    <mergeCell ref="N63:P63"/>
    <mergeCell ref="N64:P64"/>
    <mergeCell ref="N65:P65"/>
    <mergeCell ref="N66:P66"/>
    <mergeCell ref="N69:P69"/>
    <mergeCell ref="N71:P71"/>
    <mergeCell ref="N72:P72"/>
    <mergeCell ref="N74:P74"/>
    <mergeCell ref="N75:P75"/>
    <mergeCell ref="N76:P76"/>
    <mergeCell ref="N77:P77"/>
    <mergeCell ref="N79:P79"/>
    <mergeCell ref="N81:P81"/>
    <mergeCell ref="N82:P82"/>
    <mergeCell ref="N83:P83"/>
    <mergeCell ref="N84:P84"/>
    <mergeCell ref="N85:P85"/>
    <mergeCell ref="N88:P88"/>
    <mergeCell ref="N91:P91"/>
    <mergeCell ref="N92:P92"/>
    <mergeCell ref="N95:P95"/>
    <mergeCell ref="N96:P96"/>
    <mergeCell ref="N97:P97"/>
    <mergeCell ref="N98:P98"/>
    <mergeCell ref="N100:P100"/>
    <mergeCell ref="N101:P101"/>
    <mergeCell ref="N103:P103"/>
    <mergeCell ref="N106:P106"/>
    <mergeCell ref="N107:P107"/>
    <mergeCell ref="N108:P108"/>
    <mergeCell ref="N109:P109"/>
    <mergeCell ref="N110:P110"/>
    <mergeCell ref="N111:P111"/>
    <mergeCell ref="N112:P112"/>
    <mergeCell ref="N113:P113"/>
    <mergeCell ref="N114:P114"/>
    <mergeCell ref="N116:P116"/>
    <mergeCell ref="N118:P118"/>
    <mergeCell ref="N119:P119"/>
    <mergeCell ref="N122:P122"/>
    <mergeCell ref="N123:P123"/>
    <mergeCell ref="N124:P124"/>
    <mergeCell ref="N125:P125"/>
    <mergeCell ref="N126:P126"/>
    <mergeCell ref="N127:P127"/>
    <mergeCell ref="N128:P128"/>
    <mergeCell ref="N129:P129"/>
    <mergeCell ref="N130:P130"/>
    <mergeCell ref="N131:P131"/>
    <mergeCell ref="N132:P132"/>
    <mergeCell ref="N133:P133"/>
    <mergeCell ref="A18:A19"/>
    <mergeCell ref="A21:A22"/>
    <mergeCell ref="A23:A27"/>
    <mergeCell ref="A28:A30"/>
    <mergeCell ref="A31:A34"/>
    <mergeCell ref="A35:A37"/>
    <mergeCell ref="A38:A39"/>
    <mergeCell ref="A49:A50"/>
    <mergeCell ref="A58:A60"/>
    <mergeCell ref="A66:A68"/>
    <mergeCell ref="A69:A70"/>
    <mergeCell ref="A71:A73"/>
    <mergeCell ref="A77:A78"/>
    <mergeCell ref="A80:A81"/>
    <mergeCell ref="A85:A87"/>
    <mergeCell ref="A88:A90"/>
    <mergeCell ref="A92:A94"/>
    <mergeCell ref="A98:A99"/>
    <mergeCell ref="A101:A102"/>
    <mergeCell ref="A103:A105"/>
    <mergeCell ref="A114:A115"/>
    <mergeCell ref="A116:A117"/>
    <mergeCell ref="A119:A121"/>
    <mergeCell ref="F35:F37"/>
    <mergeCell ref="F38:F39"/>
    <mergeCell ref="F71:F72"/>
    <mergeCell ref="G35:G37"/>
    <mergeCell ref="G38:G39"/>
    <mergeCell ref="G71:G72"/>
    <mergeCell ref="K35:K37"/>
    <mergeCell ref="K38:K39"/>
    <mergeCell ref="K71:K72"/>
    <mergeCell ref="B1:C2"/>
    <mergeCell ref="H18:J51"/>
    <mergeCell ref="H52:J6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每日必读</vt:lpstr>
      <vt:lpstr>收益表</vt:lpstr>
      <vt:lpstr>Coin</vt:lpstr>
      <vt:lpstr>二板补涨缩量战法</vt:lpstr>
      <vt:lpstr>二板放量+</vt:lpstr>
      <vt:lpstr>二板补涨放量战法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Mingxue Li</dc:creator>
  <cp:lastModifiedBy>Mingxuel</cp:lastModifiedBy>
  <dcterms:created xsi:type="dcterms:W3CDTF">2015-06-05T18:17:00Z</dcterms:created>
  <dcterms:modified xsi:type="dcterms:W3CDTF">2025-09-12T02:54:45Z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BA5DD32944944C1388A1F2482D59DFD2_12</vt:lpwstr>
  </property>
  <property fmtid="{D5CDD505-2E9C-101B-9397-08002B2CF9AE}" pid="4" name="KSOReadingLayout">
    <vt:bool>false</vt:bool>
  </property>
</Properties>
</file>